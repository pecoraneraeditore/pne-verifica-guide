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746C517-7FE6-46DE-B655-976690CC0B7B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3" i="6"/>
  <c r="T177" i="6"/>
  <c r="T189" i="6"/>
  <c r="T180" i="6" l="1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U82" i="6"/>
  <c r="U204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28" i="6" l="1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N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<sst xmlns="http://schemas.openxmlformats.org/spreadsheetml/2006/main" count="1995" uniqueCount="918">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</sst>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91" activePane="bottomLeft" state="frozen"/>
      <selection pane="bottomLeft" activeCell="I96" sqref="I96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9" width="11.7109375" style="2" customWidth="1"/>
    <col min="10" max="10" width="17.28515625" style="2" customWidth="1"/>
    <col min="11" max="11" width="8.140625" style="2" customWidth="1"/>
    <col min="12" max="12" width="12.140625" style="2" customWidth="1"/>
    <col min="13" max="13" width="6.85546875" style="15" customWidth="1"/>
    <col min="14" max="14" width="28.5703125" style="16" customWidth="1"/>
    <col min="15" max="15" width="22.140625" style="16" customWidth="1"/>
    <col min="16" max="16" width="7.140625" style="2" customWidth="1"/>
    <col min="17" max="17" width="7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39</v>
      </c>
      <c r="F3" s="7">
        <f>+AD6</f>
        <v>39</v>
      </c>
      <c r="G3" s="7">
        <f>+AF6</f>
        <v>30</v>
      </c>
      <c r="H3" s="7">
        <f>+E3-G3</f>
        <v>9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140</v>
      </c>
      <c r="F4" s="10">
        <f>+AE6</f>
        <v>31</v>
      </c>
      <c r="G4" s="10">
        <f>+AG6</f>
        <v>29</v>
      </c>
      <c r="H4" s="7">
        <f>+E4-G4</f>
        <v>111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70</v>
      </c>
      <c r="G5" s="12">
        <f>+G3+G4</f>
        <v>59</v>
      </c>
      <c r="H5" s="12">
        <f>+H3+H4</f>
        <v>120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39</v>
      </c>
      <c r="AE6" s="2">
        <f t="shared" si="1"/>
        <v>31</v>
      </c>
      <c r="AF6" s="2">
        <f t="shared" si="1"/>
        <v>30</v>
      </c>
      <c r="AG6" s="2">
        <f t="shared" si="1"/>
        <v>29</v>
      </c>
      <c r="AH6" s="2">
        <f t="shared" si="1"/>
        <v>39</v>
      </c>
      <c r="AI6" s="2">
        <f t="shared" si="1"/>
        <v>140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43" t="s">
        <v>911</v>
      </c>
      <c r="J7" s="23" t="s">
        <v>11</v>
      </c>
      <c r="K7" s="23" t="s">
        <v>693</v>
      </c>
      <c r="L7" s="29" t="s">
        <v>804</v>
      </c>
      <c r="M7" s="23" t="s">
        <v>19</v>
      </c>
      <c r="N7" s="27" t="s">
        <v>694</v>
      </c>
      <c r="O7" s="24" t="s">
        <v>0</v>
      </c>
      <c r="P7" s="24" t="s">
        <v>1</v>
      </c>
      <c r="Q7" s="24" t="s">
        <v>2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4"/>
      <c r="J8" s="33" t="s">
        <v>594</v>
      </c>
      <c r="K8" s="33">
        <v>99</v>
      </c>
      <c r="L8" s="33" t="s">
        <v>302</v>
      </c>
      <c r="M8" s="33" t="s">
        <v>802</v>
      </c>
      <c r="N8" s="34" t="s">
        <v>728</v>
      </c>
      <c r="O8" s="34" t="s">
        <v>870</v>
      </c>
      <c r="P8" s="35">
        <v>1</v>
      </c>
      <c r="Q8" s="33"/>
      <c r="R8" s="13"/>
      <c r="S8" s="2">
        <f>IF(K8=$S$7,1,0)</f>
        <v>0</v>
      </c>
      <c r="T8" s="2">
        <f>IF(K8=$T$7,1,0)</f>
        <v>0</v>
      </c>
      <c r="U8" s="2">
        <f>IF(K8=$U$7,1,0)</f>
        <v>0</v>
      </c>
      <c r="V8" s="2">
        <f>IF(K8=$V$7,1,0)</f>
        <v>0</v>
      </c>
      <c r="W8" s="2">
        <f>IF(K8=$W$7,1,0)</f>
        <v>0</v>
      </c>
      <c r="X8" s="2">
        <f>IF(K8=$X$7,1,0)</f>
        <v>0</v>
      </c>
      <c r="Y8" s="2">
        <f>IF(K8=$Y$7,1,0)</f>
        <v>0</v>
      </c>
      <c r="Z8" s="2">
        <f>IF(K8=$Z$7,1,0)</f>
        <v>0</v>
      </c>
      <c r="AA8" s="2">
        <f>IF(K8=$AA$7,1,0)</f>
        <v>0</v>
      </c>
      <c r="AB8" s="2">
        <f>IF(K8=$AB$7,1,0)</f>
        <v>0</v>
      </c>
      <c r="AC8" s="2"/>
      <c r="AD8" s="2">
        <f>+P8*Q8</f>
        <v>0</v>
      </c>
      <c r="AE8" s="2">
        <f>P8*(1-Q8)</f>
        <v>1</v>
      </c>
      <c r="AF8" s="2">
        <f t="shared" ref="AF8:AF70" si="3">+P8*Q8*(1-A8)</f>
        <v>0</v>
      </c>
      <c r="AG8" s="2">
        <f t="shared" ref="AG8:AG70" si="4">P8*(1-Q8)*(1-A8)</f>
        <v>1</v>
      </c>
      <c r="AH8" s="2">
        <f t="shared" ref="AH8:AH70" si="5">+Q8*(1-A8)</f>
        <v>0</v>
      </c>
      <c r="AI8" s="2">
        <f t="shared" ref="AI8:AI70" si="6">+(1-A8)*(1-Q8)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1"/>
      <c r="J9" s="30" t="s">
        <v>290</v>
      </c>
      <c r="K9" s="30">
        <v>2</v>
      </c>
      <c r="L9" s="30" t="s">
        <v>301</v>
      </c>
      <c r="M9" s="30" t="s">
        <v>105</v>
      </c>
      <c r="N9" s="31" t="s">
        <v>105</v>
      </c>
      <c r="O9" s="31"/>
      <c r="P9" s="32"/>
      <c r="Q9" s="30">
        <v>1</v>
      </c>
      <c r="R9" s="13"/>
      <c r="S9" s="2">
        <f>IF(K9=$S$7,1,0)</f>
        <v>0</v>
      </c>
      <c r="T9" s="2">
        <f>IF(K9=$T$7,1,0)</f>
        <v>1</v>
      </c>
      <c r="U9" s="2">
        <f>IF(K9=$U$7,1,0)</f>
        <v>0</v>
      </c>
      <c r="V9" s="2">
        <f>IF(K9=$V$7,1,0)</f>
        <v>0</v>
      </c>
      <c r="W9" s="2">
        <f>IF(K9=$W$7,1,0)</f>
        <v>0</v>
      </c>
      <c r="X9" s="2">
        <f>IF(K9=$X$7,1,0)</f>
        <v>0</v>
      </c>
      <c r="Y9" s="2">
        <f>IF(K9=$Y$7,1,0)</f>
        <v>0</v>
      </c>
      <c r="Z9" s="2">
        <f>IF(K9=$Z$7,1,0)</f>
        <v>0</v>
      </c>
      <c r="AA9" s="2">
        <f>IF(K9=$AA$7,1,0)</f>
        <v>0</v>
      </c>
      <c r="AB9" s="2">
        <f>IF(K9=$AB$7,1,0)</f>
        <v>0</v>
      </c>
      <c r="AC9" s="2"/>
      <c r="AD9" s="2">
        <f>+P9*Q9</f>
        <v>0</v>
      </c>
      <c r="AE9" s="2">
        <f>P9*(1-Q9)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4"/>
      <c r="J10" s="33" t="s">
        <v>154</v>
      </c>
      <c r="K10" s="33">
        <v>7</v>
      </c>
      <c r="L10" s="33" t="s">
        <v>301</v>
      </c>
      <c r="M10" s="33">
        <v>130</v>
      </c>
      <c r="N10" s="34" t="s">
        <v>709</v>
      </c>
      <c r="O10" s="34" t="s">
        <v>869</v>
      </c>
      <c r="P10" s="35">
        <v>1</v>
      </c>
      <c r="Q10" s="33"/>
      <c r="R10" s="13"/>
      <c r="S10" s="2">
        <f>IF(K10=$S$7,1,0)</f>
        <v>0</v>
      </c>
      <c r="T10" s="2">
        <f>IF(K10=$T$7,1,0)</f>
        <v>0</v>
      </c>
      <c r="U10" s="2">
        <f>IF(K10=$U$7,1,0)</f>
        <v>0</v>
      </c>
      <c r="V10" s="2">
        <f>IF(K10=$V$7,1,0)</f>
        <v>0</v>
      </c>
      <c r="W10" s="2">
        <f>IF(K10=$W$7,1,0)</f>
        <v>0</v>
      </c>
      <c r="X10" s="2">
        <f>IF(K10=$X$7,1,0)</f>
        <v>0</v>
      </c>
      <c r="Y10" s="2">
        <f>IF(K10=$Y$7,1,0)</f>
        <v>1</v>
      </c>
      <c r="Z10" s="2">
        <f>IF(K10=$Z$7,1,0)</f>
        <v>0</v>
      </c>
      <c r="AA10" s="2">
        <f>IF(K10=$AA$7,1,0)</f>
        <v>0</v>
      </c>
      <c r="AB10" s="2">
        <f>IF(K10=$AB$7,1,0)</f>
        <v>0</v>
      </c>
      <c r="AC10" s="2"/>
      <c r="AD10" s="2">
        <f>+P10*Q10</f>
        <v>0</v>
      </c>
      <c r="AE10" s="2">
        <f>P10*(1-Q10)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7"/>
      <c r="J11" s="36" t="s">
        <v>166</v>
      </c>
      <c r="K11" s="36">
        <v>99</v>
      </c>
      <c r="L11" s="36" t="s">
        <v>795</v>
      </c>
      <c r="M11" s="36" t="s">
        <v>688</v>
      </c>
      <c r="N11" s="37" t="s">
        <v>689</v>
      </c>
      <c r="O11" s="37" t="s">
        <v>861</v>
      </c>
      <c r="P11" s="38"/>
      <c r="Q11" s="36"/>
      <c r="R11" s="13"/>
      <c r="S11" s="2">
        <f t="shared" ref="S11:S72" si="7">IF(K11=$S$7,1,0)</f>
        <v>0</v>
      </c>
      <c r="T11" s="2">
        <f t="shared" ref="T11:T72" si="8">IF(K11=$T$7,1,0)</f>
        <v>0</v>
      </c>
      <c r="U11" s="2">
        <f t="shared" ref="U11:U72" si="9">IF(K11=$U$7,1,0)</f>
        <v>0</v>
      </c>
      <c r="V11" s="2">
        <f t="shared" ref="V11:V72" si="10">IF(K11=$V$7,1,0)</f>
        <v>0</v>
      </c>
      <c r="W11" s="2">
        <f t="shared" ref="W11:W72" si="11">IF(K11=$W$7,1,0)</f>
        <v>0</v>
      </c>
      <c r="X11" s="2">
        <f t="shared" ref="X11:X72" si="12">IF(K11=$X$7,1,0)</f>
        <v>0</v>
      </c>
      <c r="Y11" s="2">
        <f t="shared" ref="Y11:Y72" si="13">IF(K11=$Y$7,1,0)</f>
        <v>0</v>
      </c>
      <c r="Z11" s="2">
        <f t="shared" ref="Z11:Z72" si="14">IF(K11=$Z$7,1,0)</f>
        <v>0</v>
      </c>
      <c r="AA11" s="2">
        <f t="shared" ref="AA11:AA72" si="15">IF(K11=$AA$7,1,0)</f>
        <v>0</v>
      </c>
      <c r="AB11" s="2">
        <f t="shared" ref="AB11:AB72" si="16">IF(K11=$AB$7,1,0)</f>
        <v>0</v>
      </c>
      <c r="AC11" s="2"/>
      <c r="AD11" s="2">
        <f t="shared" ref="AD11:AD72" si="17">+P11*Q11</f>
        <v>0</v>
      </c>
      <c r="AE11" s="2">
        <f t="shared" ref="AE11:AE72" si="18">P11*(1-Q11)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1"/>
      <c r="J12" s="40" t="s">
        <v>592</v>
      </c>
      <c r="K12" s="40">
        <v>99</v>
      </c>
      <c r="L12" s="40" t="s">
        <v>302</v>
      </c>
      <c r="M12" s="40" t="s">
        <v>799</v>
      </c>
      <c r="N12" s="41" t="s">
        <v>727</v>
      </c>
      <c r="O12" s="41"/>
      <c r="P12" s="42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4"/>
      <c r="J13" s="33" t="s">
        <v>256</v>
      </c>
      <c r="K13" s="33">
        <v>1</v>
      </c>
      <c r="L13" s="33" t="s">
        <v>509</v>
      </c>
      <c r="M13" s="33" t="s">
        <v>105</v>
      </c>
      <c r="N13" s="34" t="s">
        <v>105</v>
      </c>
      <c r="O13" s="34" t="s">
        <v>860</v>
      </c>
      <c r="P13" s="35">
        <v>1</v>
      </c>
      <c r="Q13" s="33">
        <v>1</v>
      </c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7"/>
      <c r="J14" s="36" t="s">
        <v>589</v>
      </c>
      <c r="K14" s="36">
        <v>2</v>
      </c>
      <c r="L14" s="36" t="s">
        <v>292</v>
      </c>
      <c r="M14" s="36">
        <v>75</v>
      </c>
      <c r="N14" s="37" t="s">
        <v>197</v>
      </c>
      <c r="O14" s="37" t="s">
        <v>863</v>
      </c>
      <c r="P14" s="38"/>
      <c r="Q14" s="36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1"/>
      <c r="J15" s="30" t="s">
        <v>873</v>
      </c>
      <c r="K15" s="30"/>
      <c r="L15" s="30" t="s">
        <v>388</v>
      </c>
      <c r="M15" s="30"/>
      <c r="N15" s="31"/>
      <c r="O15" s="31"/>
      <c r="P15" s="32"/>
      <c r="Q15" s="30">
        <v>1</v>
      </c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19"/>
      <c r="J16" s="20" t="s">
        <v>791</v>
      </c>
      <c r="K16" s="20">
        <v>1</v>
      </c>
      <c r="L16" s="20" t="s">
        <v>299</v>
      </c>
      <c r="M16" s="20" t="s">
        <v>303</v>
      </c>
      <c r="N16" s="19" t="s">
        <v>520</v>
      </c>
      <c r="O16" s="19"/>
      <c r="P16" s="18"/>
      <c r="Q16" s="20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4"/>
      <c r="J17" s="33" t="s">
        <v>673</v>
      </c>
      <c r="K17" s="33">
        <v>99</v>
      </c>
      <c r="L17" s="33" t="s">
        <v>294</v>
      </c>
      <c r="M17" s="33">
        <v>47</v>
      </c>
      <c r="N17" s="34" t="s">
        <v>708</v>
      </c>
      <c r="O17" s="34" t="s">
        <v>902</v>
      </c>
      <c r="P17" s="35">
        <v>1</v>
      </c>
      <c r="Q17" s="33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7"/>
      <c r="J18" s="36" t="s">
        <v>826</v>
      </c>
      <c r="K18" s="36"/>
      <c r="L18" s="36" t="s">
        <v>388</v>
      </c>
      <c r="M18" s="36">
        <v>45</v>
      </c>
      <c r="N18" s="37" t="s">
        <v>824</v>
      </c>
      <c r="O18" s="37" t="s">
        <v>862</v>
      </c>
      <c r="P18" s="38"/>
      <c r="Q18" s="36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19"/>
      <c r="J19" s="20" t="s">
        <v>453</v>
      </c>
      <c r="K19" s="20">
        <v>6</v>
      </c>
      <c r="L19" s="20" t="s">
        <v>388</v>
      </c>
      <c r="M19" s="20" t="s">
        <v>512</v>
      </c>
      <c r="N19" s="19" t="s">
        <v>197</v>
      </c>
      <c r="O19" s="19"/>
      <c r="P19" s="18"/>
      <c r="Q19" s="20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20">
        <v>0</v>
      </c>
      <c r="B20" s="20">
        <v>1</v>
      </c>
      <c r="C20" s="20">
        <v>2</v>
      </c>
      <c r="D20" s="19" t="s">
        <v>59</v>
      </c>
      <c r="E20" s="19" t="s">
        <v>236</v>
      </c>
      <c r="F20" s="19" t="s">
        <v>346</v>
      </c>
      <c r="G20" s="19" t="s">
        <v>84</v>
      </c>
      <c r="H20" s="19" t="s">
        <v>192</v>
      </c>
      <c r="I20" s="19"/>
      <c r="J20" s="20" t="s">
        <v>60</v>
      </c>
      <c r="K20" s="20">
        <v>1</v>
      </c>
      <c r="L20" s="20" t="s">
        <v>294</v>
      </c>
      <c r="M20" s="20" t="s">
        <v>514</v>
      </c>
      <c r="N20" s="19" t="s">
        <v>732</v>
      </c>
      <c r="O20" s="19"/>
      <c r="P20" s="18"/>
      <c r="Q20" s="20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0</v>
      </c>
      <c r="AE20" s="2">
        <f t="shared" si="18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19"/>
      <c r="J21" s="20" t="s">
        <v>455</v>
      </c>
      <c r="K21" s="20">
        <v>4</v>
      </c>
      <c r="L21" s="20" t="s">
        <v>299</v>
      </c>
      <c r="M21" s="20" t="s">
        <v>303</v>
      </c>
      <c r="N21" s="19" t="s">
        <v>513</v>
      </c>
      <c r="O21" s="19"/>
      <c r="P21" s="18"/>
      <c r="Q21" s="20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20">
        <v>0</v>
      </c>
      <c r="B22" s="20">
        <v>1</v>
      </c>
      <c r="C22" s="20">
        <v>2</v>
      </c>
      <c r="D22" s="19" t="s">
        <v>173</v>
      </c>
      <c r="E22" s="19" t="s">
        <v>237</v>
      </c>
      <c r="F22" s="19" t="s">
        <v>229</v>
      </c>
      <c r="G22" s="19" t="s">
        <v>84</v>
      </c>
      <c r="H22" s="19" t="s">
        <v>192</v>
      </c>
      <c r="I22" s="19"/>
      <c r="J22" s="20" t="s">
        <v>165</v>
      </c>
      <c r="K22" s="20">
        <v>1</v>
      </c>
      <c r="L22" s="20" t="s">
        <v>294</v>
      </c>
      <c r="M22" s="20" t="s">
        <v>303</v>
      </c>
      <c r="N22" s="19" t="s">
        <v>685</v>
      </c>
      <c r="O22" s="19"/>
      <c r="P22" s="18"/>
      <c r="Q22" s="20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19"/>
      <c r="J23" s="20" t="s">
        <v>152</v>
      </c>
      <c r="K23" s="20">
        <v>99</v>
      </c>
      <c r="L23" s="20" t="s">
        <v>299</v>
      </c>
      <c r="M23" s="20" t="s">
        <v>307</v>
      </c>
      <c r="N23" s="19" t="s">
        <v>248</v>
      </c>
      <c r="O23" s="19"/>
      <c r="P23" s="18"/>
      <c r="Q23" s="20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7"/>
      <c r="J24" s="36" t="s">
        <v>269</v>
      </c>
      <c r="K24" s="36">
        <v>1</v>
      </c>
      <c r="L24" s="36" t="s">
        <v>293</v>
      </c>
      <c r="M24" s="36" t="s">
        <v>516</v>
      </c>
      <c r="N24" s="37" t="s">
        <v>517</v>
      </c>
      <c r="O24" s="37" t="s">
        <v>862</v>
      </c>
      <c r="P24" s="38"/>
      <c r="Q24" s="36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7"/>
      <c r="J25" s="36" t="s">
        <v>609</v>
      </c>
      <c r="K25" s="36">
        <v>99</v>
      </c>
      <c r="L25" s="36" t="s">
        <v>292</v>
      </c>
      <c r="M25" s="36" t="s">
        <v>798</v>
      </c>
      <c r="N25" s="37" t="s">
        <v>197</v>
      </c>
      <c r="O25" s="37" t="s">
        <v>863</v>
      </c>
      <c r="P25" s="38"/>
      <c r="Q25" s="36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7"/>
      <c r="J26" s="36" t="s">
        <v>450</v>
      </c>
      <c r="K26" s="36">
        <v>7</v>
      </c>
      <c r="L26" s="36" t="s">
        <v>294</v>
      </c>
      <c r="M26" s="36" t="s">
        <v>516</v>
      </c>
      <c r="N26" s="37" t="s">
        <v>197</v>
      </c>
      <c r="O26" s="37" t="s">
        <v>895</v>
      </c>
      <c r="P26" s="38"/>
      <c r="Q26" s="36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1"/>
      <c r="J27" s="30" t="s">
        <v>76</v>
      </c>
      <c r="K27" s="30">
        <v>1</v>
      </c>
      <c r="L27" s="30" t="s">
        <v>302</v>
      </c>
      <c r="M27" s="30" t="s">
        <v>105</v>
      </c>
      <c r="N27" s="31" t="s">
        <v>105</v>
      </c>
      <c r="O27" s="31"/>
      <c r="P27" s="32"/>
      <c r="Q27" s="30">
        <v>1</v>
      </c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19"/>
      <c r="J28" s="20" t="s">
        <v>630</v>
      </c>
      <c r="K28" s="20">
        <v>6</v>
      </c>
      <c r="L28" s="20" t="s">
        <v>388</v>
      </c>
      <c r="M28" s="20" t="s">
        <v>681</v>
      </c>
      <c r="N28" s="19" t="s">
        <v>197</v>
      </c>
      <c r="O28" s="19"/>
      <c r="P28" s="18"/>
      <c r="Q28" s="20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4"/>
      <c r="J29" s="33" t="s">
        <v>635</v>
      </c>
      <c r="K29" s="33">
        <v>2</v>
      </c>
      <c r="L29" s="33" t="s">
        <v>293</v>
      </c>
      <c r="M29" s="33" t="s">
        <v>514</v>
      </c>
      <c r="N29" s="34" t="s">
        <v>710</v>
      </c>
      <c r="O29" s="34" t="s">
        <v>870</v>
      </c>
      <c r="P29" s="35">
        <v>1</v>
      </c>
      <c r="Q29" s="33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7"/>
      <c r="J30" s="36" t="s">
        <v>218</v>
      </c>
      <c r="K30" s="36">
        <v>1</v>
      </c>
      <c r="L30" s="36" t="s">
        <v>302</v>
      </c>
      <c r="M30" s="36"/>
      <c r="N30" s="37" t="s">
        <v>805</v>
      </c>
      <c r="O30" s="37" t="s">
        <v>863</v>
      </c>
      <c r="P30" s="38"/>
      <c r="Q30" s="36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7" t="s">
        <v>913</v>
      </c>
      <c r="J31" s="36" t="s">
        <v>547</v>
      </c>
      <c r="K31" s="36">
        <v>1</v>
      </c>
      <c r="L31" s="36" t="s">
        <v>302</v>
      </c>
      <c r="M31" s="36" t="s">
        <v>803</v>
      </c>
      <c r="N31" s="37" t="s">
        <v>711</v>
      </c>
      <c r="O31" s="37" t="s">
        <v>862</v>
      </c>
      <c r="P31" s="38"/>
      <c r="Q31" s="36"/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7"/>
      <c r="J32" s="36" t="s">
        <v>202</v>
      </c>
      <c r="K32" s="36">
        <v>3</v>
      </c>
      <c r="L32" s="36" t="s">
        <v>294</v>
      </c>
      <c r="M32" s="36" t="s">
        <v>305</v>
      </c>
      <c r="N32" s="37" t="s">
        <v>248</v>
      </c>
      <c r="O32" s="37" t="s">
        <v>861</v>
      </c>
      <c r="P32" s="38"/>
      <c r="Q32" s="36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4"/>
      <c r="J33" s="33" t="s">
        <v>850</v>
      </c>
      <c r="K33" s="33"/>
      <c r="L33" s="33" t="s">
        <v>388</v>
      </c>
      <c r="M33" s="33"/>
      <c r="N33" s="34"/>
      <c r="O33" s="34" t="s">
        <v>860</v>
      </c>
      <c r="P33" s="35">
        <v>1</v>
      </c>
      <c r="Q33" s="33">
        <v>1</v>
      </c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19"/>
      <c r="J34" s="20" t="s">
        <v>858</v>
      </c>
      <c r="K34" s="20"/>
      <c r="L34" s="20" t="s">
        <v>388</v>
      </c>
      <c r="M34" s="20">
        <v>75</v>
      </c>
      <c r="N34" s="19" t="s">
        <v>859</v>
      </c>
      <c r="O34" s="19"/>
      <c r="P34" s="18"/>
      <c r="Q34" s="20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19"/>
      <c r="J35" s="20" t="s">
        <v>508</v>
      </c>
      <c r="K35" s="20">
        <v>2</v>
      </c>
      <c r="L35" s="20" t="s">
        <v>300</v>
      </c>
      <c r="M35" s="20" t="s">
        <v>512</v>
      </c>
      <c r="N35" s="19" t="s">
        <v>735</v>
      </c>
      <c r="O35" s="19"/>
      <c r="P35" s="18"/>
      <c r="Q35" s="20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7"/>
      <c r="J36" s="36" t="s">
        <v>567</v>
      </c>
      <c r="K36" s="36">
        <v>7</v>
      </c>
      <c r="L36" s="36" t="s">
        <v>300</v>
      </c>
      <c r="M36" s="36" t="s">
        <v>512</v>
      </c>
      <c r="N36" s="37" t="s">
        <v>197</v>
      </c>
      <c r="O36" s="37" t="s">
        <v>861</v>
      </c>
      <c r="P36" s="38"/>
      <c r="Q36" s="36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4"/>
      <c r="J37" s="33" t="s">
        <v>29</v>
      </c>
      <c r="K37" s="33">
        <v>2</v>
      </c>
      <c r="L37" s="33" t="s">
        <v>292</v>
      </c>
      <c r="M37" s="33" t="s">
        <v>516</v>
      </c>
      <c r="N37" s="34" t="s">
        <v>306</v>
      </c>
      <c r="O37" s="34" t="s">
        <v>860</v>
      </c>
      <c r="P37" s="35">
        <v>1</v>
      </c>
      <c r="Q37" s="33">
        <v>1</v>
      </c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7"/>
      <c r="J38" s="36" t="s">
        <v>596</v>
      </c>
      <c r="K38" s="36">
        <v>99</v>
      </c>
      <c r="L38" s="36" t="s">
        <v>292</v>
      </c>
      <c r="M38" s="36">
        <v>65</v>
      </c>
      <c r="N38" s="37" t="s">
        <v>806</v>
      </c>
      <c r="O38" s="37" t="s">
        <v>863</v>
      </c>
      <c r="P38" s="38"/>
      <c r="Q38" s="36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19"/>
      <c r="J39" s="20" t="s">
        <v>672</v>
      </c>
      <c r="K39" s="20">
        <v>99</v>
      </c>
      <c r="L39" s="20" t="s">
        <v>388</v>
      </c>
      <c r="M39" s="20" t="s">
        <v>307</v>
      </c>
      <c r="N39" s="19" t="s">
        <v>680</v>
      </c>
      <c r="O39" s="19"/>
      <c r="P39" s="18"/>
      <c r="Q39" s="20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7"/>
      <c r="J40" s="36" t="s">
        <v>756</v>
      </c>
      <c r="K40" s="36">
        <v>1</v>
      </c>
      <c r="L40" s="36" t="s">
        <v>300</v>
      </c>
      <c r="M40" s="36">
        <v>50</v>
      </c>
      <c r="N40" s="37" t="s">
        <v>807</v>
      </c>
      <c r="O40" s="37" t="s">
        <v>863</v>
      </c>
      <c r="P40" s="38"/>
      <c r="Q40" s="36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4"/>
      <c r="J41" s="33" t="s">
        <v>701</v>
      </c>
      <c r="K41" s="33">
        <v>2</v>
      </c>
      <c r="L41" s="33" t="s">
        <v>294</v>
      </c>
      <c r="M41" s="33" t="s">
        <v>512</v>
      </c>
      <c r="N41" s="34" t="s">
        <v>703</v>
      </c>
      <c r="O41" s="34" t="s">
        <v>868</v>
      </c>
      <c r="P41" s="35">
        <v>1</v>
      </c>
      <c r="Q41" s="33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19"/>
      <c r="J42" s="20" t="s">
        <v>193</v>
      </c>
      <c r="K42" s="20">
        <v>4</v>
      </c>
      <c r="L42" s="20" t="s">
        <v>388</v>
      </c>
      <c r="M42" s="20">
        <v>40</v>
      </c>
      <c r="N42" s="19" t="s">
        <v>600</v>
      </c>
      <c r="O42" s="19"/>
      <c r="P42" s="18"/>
      <c r="Q42" s="20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19"/>
      <c r="J43" s="20" t="s">
        <v>41</v>
      </c>
      <c r="K43" s="20">
        <v>99</v>
      </c>
      <c r="L43" s="20" t="s">
        <v>388</v>
      </c>
      <c r="M43" s="20">
        <v>30</v>
      </c>
      <c r="N43" s="19" t="s">
        <v>200</v>
      </c>
      <c r="O43" s="19"/>
      <c r="P43" s="18"/>
      <c r="Q43" s="20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19"/>
      <c r="J44" s="20" t="s">
        <v>212</v>
      </c>
      <c r="K44" s="20">
        <v>4</v>
      </c>
      <c r="L44" s="20" t="s">
        <v>388</v>
      </c>
      <c r="M44" s="20">
        <v>38</v>
      </c>
      <c r="N44" s="19" t="s">
        <v>597</v>
      </c>
      <c r="O44" s="19"/>
      <c r="P44" s="18"/>
      <c r="Q44" s="20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19"/>
      <c r="J45" s="20" t="s">
        <v>391</v>
      </c>
      <c r="K45" s="20">
        <v>99</v>
      </c>
      <c r="L45" s="20" t="s">
        <v>388</v>
      </c>
      <c r="M45" s="20">
        <v>25</v>
      </c>
      <c r="N45" s="19" t="s">
        <v>598</v>
      </c>
      <c r="O45" s="19"/>
      <c r="P45" s="18"/>
      <c r="Q45" s="20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19"/>
      <c r="J46" s="20" t="s">
        <v>621</v>
      </c>
      <c r="K46" s="20">
        <v>1</v>
      </c>
      <c r="L46" s="20" t="s">
        <v>388</v>
      </c>
      <c r="M46" s="20">
        <v>35</v>
      </c>
      <c r="N46" s="19" t="s">
        <v>197</v>
      </c>
      <c r="O46" s="19"/>
      <c r="P46" s="18"/>
      <c r="Q46" s="20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4"/>
      <c r="J47" s="33" t="s">
        <v>377</v>
      </c>
      <c r="K47" s="33">
        <v>2</v>
      </c>
      <c r="L47" s="33" t="s">
        <v>300</v>
      </c>
      <c r="M47" s="33" t="s">
        <v>514</v>
      </c>
      <c r="N47" s="34" t="s">
        <v>520</v>
      </c>
      <c r="O47" s="34" t="s">
        <v>870</v>
      </c>
      <c r="P47" s="35">
        <v>1</v>
      </c>
      <c r="Q47" s="33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7"/>
      <c r="J48" s="36" t="s">
        <v>233</v>
      </c>
      <c r="K48" s="36">
        <v>2</v>
      </c>
      <c r="L48" s="36" t="s">
        <v>294</v>
      </c>
      <c r="M48" s="36" t="s">
        <v>305</v>
      </c>
      <c r="N48" s="37" t="s">
        <v>687</v>
      </c>
      <c r="O48" s="37" t="s">
        <v>862</v>
      </c>
      <c r="P48" s="38"/>
      <c r="Q48" s="36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7"/>
      <c r="J49" s="36" t="s">
        <v>79</v>
      </c>
      <c r="K49" s="36">
        <v>1</v>
      </c>
      <c r="L49" s="36" t="s">
        <v>300</v>
      </c>
      <c r="M49" s="36" t="s">
        <v>305</v>
      </c>
      <c r="N49" s="37" t="s">
        <v>304</v>
      </c>
      <c r="O49" s="37" t="s">
        <v>862</v>
      </c>
      <c r="P49" s="38"/>
      <c r="Q49" s="36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4"/>
      <c r="J50" s="33" t="s">
        <v>245</v>
      </c>
      <c r="K50" s="33">
        <v>4</v>
      </c>
      <c r="L50" s="33" t="s">
        <v>293</v>
      </c>
      <c r="M50" s="33">
        <v>45</v>
      </c>
      <c r="N50" s="34" t="s">
        <v>197</v>
      </c>
      <c r="O50" s="34" t="s">
        <v>896</v>
      </c>
      <c r="P50" s="35">
        <v>1</v>
      </c>
      <c r="Q50" s="33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7"/>
      <c r="J51" s="36" t="s">
        <v>612</v>
      </c>
      <c r="K51" s="36">
        <v>99</v>
      </c>
      <c r="L51" s="36" t="s">
        <v>300</v>
      </c>
      <c r="M51" s="36" t="s">
        <v>682</v>
      </c>
      <c r="N51" s="37" t="s">
        <v>683</v>
      </c>
      <c r="O51" s="37" t="s">
        <v>895</v>
      </c>
      <c r="P51" s="38"/>
      <c r="Q51" s="36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19"/>
      <c r="J52" s="20" t="s">
        <v>378</v>
      </c>
      <c r="K52" s="20">
        <v>2</v>
      </c>
      <c r="L52" s="20" t="s">
        <v>299</v>
      </c>
      <c r="M52" s="20" t="s">
        <v>514</v>
      </c>
      <c r="N52" s="19" t="s">
        <v>520</v>
      </c>
      <c r="O52" s="19"/>
      <c r="P52" s="18"/>
      <c r="Q52" s="20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7"/>
      <c r="J53" s="36" t="s">
        <v>32</v>
      </c>
      <c r="K53" s="36">
        <v>4</v>
      </c>
      <c r="L53" s="36" t="s">
        <v>294</v>
      </c>
      <c r="M53" s="36" t="s">
        <v>305</v>
      </c>
      <c r="N53" s="37" t="s">
        <v>304</v>
      </c>
      <c r="O53" s="37" t="s">
        <v>863</v>
      </c>
      <c r="P53" s="38"/>
      <c r="Q53" s="36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7"/>
      <c r="J54" s="36" t="s">
        <v>569</v>
      </c>
      <c r="K54" s="36">
        <v>7</v>
      </c>
      <c r="L54" s="36" t="s">
        <v>294</v>
      </c>
      <c r="M54" s="36" t="s">
        <v>303</v>
      </c>
      <c r="N54" s="37" t="s">
        <v>267</v>
      </c>
      <c r="O54" s="37" t="s">
        <v>863</v>
      </c>
      <c r="P54" s="38"/>
      <c r="Q54" s="36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1" t="s">
        <v>912</v>
      </c>
      <c r="J55" s="40" t="s">
        <v>706</v>
      </c>
      <c r="K55" s="40">
        <v>99</v>
      </c>
      <c r="L55" s="40" t="s">
        <v>294</v>
      </c>
      <c r="M55" s="40" t="s">
        <v>682</v>
      </c>
      <c r="N55" s="41" t="s">
        <v>707</v>
      </c>
      <c r="O55" s="41"/>
      <c r="P55" s="42"/>
      <c r="Q55" s="40"/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4"/>
      <c r="J56" s="33" t="s">
        <v>867</v>
      </c>
      <c r="K56" s="33"/>
      <c r="L56" s="33" t="s">
        <v>388</v>
      </c>
      <c r="M56" s="33">
        <v>38</v>
      </c>
      <c r="N56" s="34" t="s">
        <v>197</v>
      </c>
      <c r="O56" s="34" t="s">
        <v>860</v>
      </c>
      <c r="P56" s="35">
        <v>1</v>
      </c>
      <c r="Q56" s="33">
        <v>1</v>
      </c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19"/>
      <c r="J57" s="20" t="s">
        <v>247</v>
      </c>
      <c r="K57" s="20">
        <v>2</v>
      </c>
      <c r="L57" s="20" t="s">
        <v>388</v>
      </c>
      <c r="M57" s="20" t="s">
        <v>307</v>
      </c>
      <c r="N57" s="19" t="s">
        <v>197</v>
      </c>
      <c r="O57" s="19"/>
      <c r="P57" s="18"/>
      <c r="Q57" s="20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4"/>
      <c r="J58" s="33" t="s">
        <v>812</v>
      </c>
      <c r="K58" s="33">
        <v>2</v>
      </c>
      <c r="L58" s="33" t="s">
        <v>388</v>
      </c>
      <c r="M58" s="33"/>
      <c r="N58" s="34"/>
      <c r="O58" s="34" t="s">
        <v>860</v>
      </c>
      <c r="P58" s="35">
        <v>1</v>
      </c>
      <c r="Q58" s="33">
        <v>1</v>
      </c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4"/>
      <c r="J59" s="33" t="s">
        <v>124</v>
      </c>
      <c r="K59" s="33">
        <v>99</v>
      </c>
      <c r="L59" s="33" t="s">
        <v>294</v>
      </c>
      <c r="M59" s="33" t="s">
        <v>307</v>
      </c>
      <c r="N59" s="34" t="s">
        <v>249</v>
      </c>
      <c r="O59" s="34" t="s">
        <v>860</v>
      </c>
      <c r="P59" s="35">
        <v>1</v>
      </c>
      <c r="Q59" s="33">
        <v>1</v>
      </c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19"/>
      <c r="J60" s="20" t="s">
        <v>395</v>
      </c>
      <c r="K60" s="20">
        <v>5</v>
      </c>
      <c r="L60" s="20" t="s">
        <v>300</v>
      </c>
      <c r="M60" s="20" t="s">
        <v>307</v>
      </c>
      <c r="N60" s="19" t="s">
        <v>684</v>
      </c>
      <c r="O60" s="19"/>
      <c r="P60" s="18"/>
      <c r="Q60" s="20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4"/>
      <c r="J61" s="33" t="s">
        <v>815</v>
      </c>
      <c r="K61" s="33">
        <v>4</v>
      </c>
      <c r="L61" s="33" t="s">
        <v>388</v>
      </c>
      <c r="M61" s="33"/>
      <c r="N61" s="34"/>
      <c r="O61" s="34" t="s">
        <v>860</v>
      </c>
      <c r="P61" s="35">
        <v>1</v>
      </c>
      <c r="Q61" s="33">
        <v>1</v>
      </c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19"/>
      <c r="J62" s="20" t="s">
        <v>443</v>
      </c>
      <c r="K62" s="20">
        <v>5</v>
      </c>
      <c r="L62" s="20" t="s">
        <v>388</v>
      </c>
      <c r="M62" s="20" t="s">
        <v>307</v>
      </c>
      <c r="N62" s="19" t="s">
        <v>392</v>
      </c>
      <c r="O62" s="19"/>
      <c r="P62" s="18"/>
      <c r="Q62" s="20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19"/>
      <c r="J63" s="20" t="s">
        <v>743</v>
      </c>
      <c r="K63" s="20">
        <v>99</v>
      </c>
      <c r="L63" s="20" t="s">
        <v>388</v>
      </c>
      <c r="M63" s="20">
        <v>30</v>
      </c>
      <c r="N63" s="19" t="s">
        <v>744</v>
      </c>
      <c r="O63" s="19"/>
      <c r="P63" s="18"/>
      <c r="Q63" s="20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19"/>
      <c r="J64" s="20" t="s">
        <v>794</v>
      </c>
      <c r="K64" s="20">
        <v>99</v>
      </c>
      <c r="L64" s="20" t="s">
        <v>300</v>
      </c>
      <c r="M64" s="20">
        <v>40</v>
      </c>
      <c r="N64" s="19" t="s">
        <v>809</v>
      </c>
      <c r="O64" s="19"/>
      <c r="P64" s="18"/>
      <c r="Q64" s="20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19"/>
      <c r="J65" s="20" t="s">
        <v>759</v>
      </c>
      <c r="K65" s="20">
        <v>99</v>
      </c>
      <c r="L65" s="20" t="s">
        <v>300</v>
      </c>
      <c r="M65" s="20">
        <v>40</v>
      </c>
      <c r="N65" s="19" t="s">
        <v>808</v>
      </c>
      <c r="O65" s="19"/>
      <c r="P65" s="18"/>
      <c r="Q65" s="20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7"/>
      <c r="J66" s="36" t="s">
        <v>614</v>
      </c>
      <c r="K66" s="36">
        <v>1</v>
      </c>
      <c r="L66" s="36" t="s">
        <v>294</v>
      </c>
      <c r="M66" s="36" t="s">
        <v>514</v>
      </c>
      <c r="N66" s="37" t="s">
        <v>686</v>
      </c>
      <c r="O66" s="37" t="s">
        <v>864</v>
      </c>
      <c r="P66" s="38"/>
      <c r="Q66" s="36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7"/>
      <c r="J67" s="36" t="s">
        <v>127</v>
      </c>
      <c r="K67" s="36">
        <v>4</v>
      </c>
      <c r="L67" s="36" t="s">
        <v>388</v>
      </c>
      <c r="M67" s="36">
        <v>31</v>
      </c>
      <c r="N67" s="37" t="s">
        <v>712</v>
      </c>
      <c r="O67" s="37" t="s">
        <v>863</v>
      </c>
      <c r="P67" s="38"/>
      <c r="Q67" s="36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7"/>
      <c r="J68" s="36" t="s">
        <v>568</v>
      </c>
      <c r="K68" s="36">
        <v>5</v>
      </c>
      <c r="L68" s="36" t="s">
        <v>300</v>
      </c>
      <c r="M68" s="36" t="s">
        <v>571</v>
      </c>
      <c r="N68" s="37" t="s">
        <v>197</v>
      </c>
      <c r="O68" s="37" t="s">
        <v>861</v>
      </c>
      <c r="P68" s="38"/>
      <c r="Q68" s="36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4"/>
      <c r="J69" s="33" t="s">
        <v>830</v>
      </c>
      <c r="K69" s="33"/>
      <c r="L69" s="33" t="s">
        <v>388</v>
      </c>
      <c r="M69" s="33">
        <v>45</v>
      </c>
      <c r="N69" s="34" t="s">
        <v>829</v>
      </c>
      <c r="O69" s="34" t="s">
        <v>870</v>
      </c>
      <c r="P69" s="35">
        <v>1</v>
      </c>
      <c r="Q69" s="33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7"/>
      <c r="J70" s="36" t="s">
        <v>445</v>
      </c>
      <c r="K70" s="36">
        <v>1</v>
      </c>
      <c r="L70" s="36" t="s">
        <v>293</v>
      </c>
      <c r="M70" s="36" t="s">
        <v>682</v>
      </c>
      <c r="N70" s="37" t="s">
        <v>722</v>
      </c>
      <c r="O70" s="37" t="s">
        <v>862</v>
      </c>
      <c r="P70" s="38"/>
      <c r="Q70" s="36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4"/>
      <c r="J71" s="33" t="s">
        <v>822</v>
      </c>
      <c r="K71" s="33">
        <v>1</v>
      </c>
      <c r="L71" s="33" t="s">
        <v>388</v>
      </c>
      <c r="M71" s="33">
        <v>35</v>
      </c>
      <c r="N71" s="34" t="s">
        <v>520</v>
      </c>
      <c r="O71" s="34" t="s">
        <v>868</v>
      </c>
      <c r="P71" s="35">
        <v>1</v>
      </c>
      <c r="Q71" s="33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ref="AF71:AF130" si="19">+P71*Q71*(1-A71)</f>
        <v>0</v>
      </c>
      <c r="AG71" s="2">
        <f t="shared" ref="AG71:AG130" si="20">P71*(1-Q71)*(1-A71)</f>
        <v>1</v>
      </c>
      <c r="AH71" s="2">
        <f t="shared" ref="AH71:AH130" si="21">+Q71*(1-A71)</f>
        <v>0</v>
      </c>
      <c r="AI71" s="2">
        <f t="shared" ref="AI71:AI130" si="22">+(1-A71)*(1-Q71)</f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4"/>
      <c r="J72" s="33" t="s">
        <v>793</v>
      </c>
      <c r="K72" s="33">
        <v>2</v>
      </c>
      <c r="L72" s="33" t="s">
        <v>299</v>
      </c>
      <c r="M72" s="33">
        <v>40</v>
      </c>
      <c r="N72" s="34" t="s">
        <v>520</v>
      </c>
      <c r="O72" s="34" t="s">
        <v>868</v>
      </c>
      <c r="P72" s="35">
        <v>1</v>
      </c>
      <c r="Q72" s="33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si="19"/>
        <v>0</v>
      </c>
      <c r="AG72" s="2">
        <f t="shared" si="20"/>
        <v>1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19"/>
      <c r="J73" s="20" t="s">
        <v>379</v>
      </c>
      <c r="K73" s="20">
        <v>99</v>
      </c>
      <c r="L73" s="20" t="s">
        <v>388</v>
      </c>
      <c r="M73" s="20" t="s">
        <v>309</v>
      </c>
      <c r="N73" s="19" t="s">
        <v>199</v>
      </c>
      <c r="O73" s="19"/>
      <c r="P73" s="18"/>
      <c r="Q73" s="20"/>
      <c r="R73" s="13"/>
      <c r="S73" s="2">
        <f t="shared" ref="S73:S125" si="23">IF(K73=$S$7,1,0)</f>
        <v>0</v>
      </c>
      <c r="T73" s="2">
        <f t="shared" ref="T73:T125" si="24">IF(K73=$T$7,1,0)</f>
        <v>0</v>
      </c>
      <c r="U73" s="2">
        <f t="shared" ref="U73:U125" si="25">IF(K73=$U$7,1,0)</f>
        <v>0</v>
      </c>
      <c r="V73" s="2">
        <f t="shared" ref="V73:V125" si="26">IF(K73=$V$7,1,0)</f>
        <v>0</v>
      </c>
      <c r="W73" s="2">
        <f t="shared" ref="W73:W125" si="27">IF(K73=$W$7,1,0)</f>
        <v>0</v>
      </c>
      <c r="X73" s="2">
        <f t="shared" ref="X73:X125" si="28">IF(K73=$X$7,1,0)</f>
        <v>0</v>
      </c>
      <c r="Y73" s="2">
        <f t="shared" ref="Y73:Y125" si="29">IF(K73=$Y$7,1,0)</f>
        <v>0</v>
      </c>
      <c r="Z73" s="2">
        <f t="shared" ref="Z73:Z125" si="30">IF(K73=$Z$7,1,0)</f>
        <v>0</v>
      </c>
      <c r="AA73" s="2">
        <f t="shared" ref="AA73:AA125" si="31">IF(K73=$AA$7,1,0)</f>
        <v>0</v>
      </c>
      <c r="AB73" s="2">
        <f t="shared" ref="AB73:AB125" si="32">IF(K73=$AB$7,1,0)</f>
        <v>0</v>
      </c>
      <c r="AC73" s="2"/>
      <c r="AD73" s="2">
        <f t="shared" ref="AD73:AD125" si="33">+P73*Q73</f>
        <v>0</v>
      </c>
      <c r="AE73" s="2">
        <f t="shared" ref="AE73:AE125" si="34">P73*(1-Q73)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19"/>
      <c r="J74" s="20" t="s">
        <v>458</v>
      </c>
      <c r="K74" s="20">
        <v>4</v>
      </c>
      <c r="L74" s="20" t="s">
        <v>388</v>
      </c>
      <c r="M74" s="20" t="s">
        <v>308</v>
      </c>
      <c r="N74" s="19" t="s">
        <v>510</v>
      </c>
      <c r="O74" s="19"/>
      <c r="P74" s="18"/>
      <c r="Q74" s="20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7"/>
      <c r="J75" s="36" t="s">
        <v>437</v>
      </c>
      <c r="K75" s="36">
        <v>1</v>
      </c>
      <c r="L75" s="36" t="s">
        <v>294</v>
      </c>
      <c r="M75" s="36" t="s">
        <v>796</v>
      </c>
      <c r="N75" s="37" t="s">
        <v>713</v>
      </c>
      <c r="O75" s="37" t="s">
        <v>864</v>
      </c>
      <c r="P75" s="38"/>
      <c r="Q75" s="36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19"/>
      <c r="J76" s="20" t="s">
        <v>289</v>
      </c>
      <c r="K76" s="20">
        <v>3</v>
      </c>
      <c r="L76" s="20" t="s">
        <v>388</v>
      </c>
      <c r="M76" s="20" t="s">
        <v>309</v>
      </c>
      <c r="N76" s="19" t="s">
        <v>310</v>
      </c>
      <c r="O76" s="19"/>
      <c r="P76" s="18"/>
      <c r="Q76" s="20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19"/>
      <c r="J77" s="20" t="s">
        <v>786</v>
      </c>
      <c r="K77" s="20">
        <v>2</v>
      </c>
      <c r="L77" s="20" t="s">
        <v>299</v>
      </c>
      <c r="M77" s="20" t="s">
        <v>303</v>
      </c>
      <c r="N77" s="19" t="s">
        <v>617</v>
      </c>
      <c r="O77" s="19"/>
      <c r="P77" s="18"/>
      <c r="Q77" s="20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19" t="s">
        <v>915</v>
      </c>
      <c r="J78" s="20" t="s">
        <v>787</v>
      </c>
      <c r="K78" s="20">
        <v>1</v>
      </c>
      <c r="L78" s="20" t="s">
        <v>299</v>
      </c>
      <c r="M78" s="20" t="s">
        <v>303</v>
      </c>
      <c r="N78" s="19" t="s">
        <v>617</v>
      </c>
      <c r="O78" s="19"/>
      <c r="P78" s="18"/>
      <c r="Q78" s="20"/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4"/>
      <c r="J79" s="33" t="s">
        <v>210</v>
      </c>
      <c r="K79" s="33">
        <v>4</v>
      </c>
      <c r="L79" s="33" t="s">
        <v>292</v>
      </c>
      <c r="M79" s="33" t="s">
        <v>514</v>
      </c>
      <c r="N79" s="34" t="s">
        <v>515</v>
      </c>
      <c r="O79" s="34" t="s">
        <v>870</v>
      </c>
      <c r="P79" s="35">
        <v>1</v>
      </c>
      <c r="Q79" s="33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4"/>
      <c r="J80" s="33" t="s">
        <v>581</v>
      </c>
      <c r="K80" s="33">
        <v>1</v>
      </c>
      <c r="L80" s="33" t="s">
        <v>294</v>
      </c>
      <c r="M80" s="33" t="s">
        <v>105</v>
      </c>
      <c r="N80" s="34" t="s">
        <v>105</v>
      </c>
      <c r="O80" s="34" t="s">
        <v>860</v>
      </c>
      <c r="P80" s="35">
        <v>1</v>
      </c>
      <c r="Q80" s="33">
        <v>1</v>
      </c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4"/>
      <c r="J81" s="33" t="s">
        <v>232</v>
      </c>
      <c r="K81" s="33">
        <v>6</v>
      </c>
      <c r="L81" s="33" t="s">
        <v>294</v>
      </c>
      <c r="M81" s="33" t="s">
        <v>514</v>
      </c>
      <c r="N81" s="34" t="s">
        <v>250</v>
      </c>
      <c r="O81" s="34" t="s">
        <v>869</v>
      </c>
      <c r="P81" s="35">
        <v>1</v>
      </c>
      <c r="Q81" s="33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4"/>
      <c r="J82" s="33" t="s">
        <v>623</v>
      </c>
      <c r="K82" s="33">
        <v>2</v>
      </c>
      <c r="L82" s="33" t="s">
        <v>294</v>
      </c>
      <c r="M82" s="33" t="s">
        <v>105</v>
      </c>
      <c r="N82" s="34" t="s">
        <v>105</v>
      </c>
      <c r="O82" s="34" t="s">
        <v>860</v>
      </c>
      <c r="P82" s="35">
        <v>1</v>
      </c>
      <c r="Q82" s="33">
        <v>1</v>
      </c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4"/>
      <c r="J83" s="33" t="s">
        <v>720</v>
      </c>
      <c r="K83" s="33">
        <v>99</v>
      </c>
      <c r="L83" s="33" t="s">
        <v>299</v>
      </c>
      <c r="M83" s="33" t="s">
        <v>514</v>
      </c>
      <c r="N83" s="34" t="s">
        <v>721</v>
      </c>
      <c r="O83" s="34" t="s">
        <v>869</v>
      </c>
      <c r="P83" s="35">
        <v>1</v>
      </c>
      <c r="Q83" s="33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4"/>
      <c r="J84" s="33" t="s">
        <v>900</v>
      </c>
      <c r="K84" s="33">
        <v>2</v>
      </c>
      <c r="L84" s="33" t="s">
        <v>388</v>
      </c>
      <c r="M84" s="33">
        <v>45</v>
      </c>
      <c r="N84" s="34" t="s">
        <v>901</v>
      </c>
      <c r="O84" s="34" t="s">
        <v>868</v>
      </c>
      <c r="P84" s="35">
        <v>1</v>
      </c>
      <c r="Q84" s="33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7"/>
      <c r="J85" s="36" t="s">
        <v>447</v>
      </c>
      <c r="K85" s="36">
        <v>4</v>
      </c>
      <c r="L85" s="36" t="s">
        <v>300</v>
      </c>
      <c r="M85" s="36" t="s">
        <v>308</v>
      </c>
      <c r="N85" s="37" t="s">
        <v>523</v>
      </c>
      <c r="O85" s="37" t="s">
        <v>895</v>
      </c>
      <c r="P85" s="38"/>
      <c r="Q85" s="36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7"/>
      <c r="J86" s="36" t="s">
        <v>627</v>
      </c>
      <c r="K86" s="36">
        <v>1</v>
      </c>
      <c r="L86" s="36" t="s">
        <v>300</v>
      </c>
      <c r="M86" s="36" t="s">
        <v>308</v>
      </c>
      <c r="N86" s="37" t="s">
        <v>523</v>
      </c>
      <c r="O86" s="37" t="s">
        <v>895</v>
      </c>
      <c r="P86" s="38"/>
      <c r="Q86" s="36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4"/>
      <c r="J87" s="33" t="s">
        <v>263</v>
      </c>
      <c r="K87" s="33">
        <v>5</v>
      </c>
      <c r="L87" s="33" t="s">
        <v>299</v>
      </c>
      <c r="M87" s="33" t="s">
        <v>800</v>
      </c>
      <c r="N87" s="34" t="s">
        <v>250</v>
      </c>
      <c r="O87" s="34" t="s">
        <v>868</v>
      </c>
      <c r="P87" s="35">
        <v>1</v>
      </c>
      <c r="Q87" s="33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4"/>
      <c r="J88" s="33" t="s">
        <v>877</v>
      </c>
      <c r="K88" s="33"/>
      <c r="L88" s="33" t="s">
        <v>388</v>
      </c>
      <c r="M88" s="33"/>
      <c r="N88" s="34"/>
      <c r="O88" s="34" t="s">
        <v>860</v>
      </c>
      <c r="P88" s="35">
        <v>1</v>
      </c>
      <c r="Q88" s="33">
        <v>1</v>
      </c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7"/>
      <c r="J89" s="36" t="s">
        <v>674</v>
      </c>
      <c r="K89" s="36">
        <v>5</v>
      </c>
      <c r="L89" s="36" t="s">
        <v>293</v>
      </c>
      <c r="M89" s="36" t="s">
        <v>512</v>
      </c>
      <c r="N89" s="37" t="s">
        <v>197</v>
      </c>
      <c r="O89" s="37" t="s">
        <v>861</v>
      </c>
      <c r="P89" s="38"/>
      <c r="Q89" s="36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4"/>
      <c r="J90" s="33" t="s">
        <v>528</v>
      </c>
      <c r="K90" s="33">
        <v>1</v>
      </c>
      <c r="L90" s="33" t="s">
        <v>300</v>
      </c>
      <c r="M90" s="33" t="s">
        <v>307</v>
      </c>
      <c r="N90" s="34" t="s">
        <v>714</v>
      </c>
      <c r="O90" s="34" t="s">
        <v>870</v>
      </c>
      <c r="P90" s="35">
        <v>1</v>
      </c>
      <c r="Q90" s="33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19"/>
      <c r="J91" s="20" t="s">
        <v>260</v>
      </c>
      <c r="K91" s="20">
        <v>5</v>
      </c>
      <c r="L91" s="20" t="s">
        <v>388</v>
      </c>
      <c r="M91" s="20" t="s">
        <v>309</v>
      </c>
      <c r="N91" s="19" t="s">
        <v>257</v>
      </c>
      <c r="O91" s="19"/>
      <c r="P91" s="18"/>
      <c r="Q91" s="20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4"/>
      <c r="J92" s="33" t="s">
        <v>213</v>
      </c>
      <c r="K92" s="33">
        <v>1</v>
      </c>
      <c r="L92" s="33" t="s">
        <v>298</v>
      </c>
      <c r="M92" s="33" t="s">
        <v>307</v>
      </c>
      <c r="N92" s="34" t="s">
        <v>636</v>
      </c>
      <c r="O92" s="34" t="s">
        <v>869</v>
      </c>
      <c r="P92" s="35">
        <v>1</v>
      </c>
      <c r="Q92" s="33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4"/>
      <c r="J93" s="33" t="s">
        <v>128</v>
      </c>
      <c r="K93" s="33">
        <v>5</v>
      </c>
      <c r="L93" s="33" t="s">
        <v>296</v>
      </c>
      <c r="M93" s="33" t="s">
        <v>309</v>
      </c>
      <c r="N93" s="34" t="s">
        <v>311</v>
      </c>
      <c r="O93" s="34" t="s">
        <v>860</v>
      </c>
      <c r="P93" s="35">
        <v>1</v>
      </c>
      <c r="Q93" s="33">
        <v>1</v>
      </c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4"/>
      <c r="J94" s="33" t="s">
        <v>234</v>
      </c>
      <c r="K94" s="33">
        <v>1</v>
      </c>
      <c r="L94" s="33" t="s">
        <v>296</v>
      </c>
      <c r="M94" s="33" t="s">
        <v>309</v>
      </c>
      <c r="N94" s="34" t="s">
        <v>311</v>
      </c>
      <c r="O94" s="34" t="s">
        <v>860</v>
      </c>
      <c r="P94" s="35">
        <v>1</v>
      </c>
      <c r="Q94" s="33">
        <v>1</v>
      </c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4" t="s">
        <v>917</v>
      </c>
      <c r="J95" s="33" t="s">
        <v>333</v>
      </c>
      <c r="K95" s="33">
        <v>2</v>
      </c>
      <c r="L95" s="33" t="s">
        <v>296</v>
      </c>
      <c r="M95" s="33" t="s">
        <v>309</v>
      </c>
      <c r="N95" s="34" t="s">
        <v>311</v>
      </c>
      <c r="O95" s="34" t="s">
        <v>860</v>
      </c>
      <c r="P95" s="35">
        <v>1</v>
      </c>
      <c r="Q95" s="33">
        <v>1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ht="14.25" customHeight="1" x14ac:dyDescent="0.25">
      <c r="A96" s="36">
        <v>0</v>
      </c>
      <c r="B96" s="36">
        <v>1</v>
      </c>
      <c r="C96" s="36">
        <v>7</v>
      </c>
      <c r="D96" s="37" t="s">
        <v>214</v>
      </c>
      <c r="E96" s="37" t="s">
        <v>40</v>
      </c>
      <c r="F96" s="37" t="s">
        <v>655</v>
      </c>
      <c r="G96" s="37" t="s">
        <v>139</v>
      </c>
      <c r="H96" s="37" t="s">
        <v>192</v>
      </c>
      <c r="I96" s="37"/>
      <c r="J96" s="36" t="s">
        <v>625</v>
      </c>
      <c r="K96" s="36">
        <v>99</v>
      </c>
      <c r="L96" s="36" t="s">
        <v>296</v>
      </c>
      <c r="M96" s="36" t="s">
        <v>308</v>
      </c>
      <c r="N96" s="37" t="s">
        <v>270</v>
      </c>
      <c r="O96" s="37" t="s">
        <v>895</v>
      </c>
      <c r="P96" s="38"/>
      <c r="Q96" s="36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D96" s="2">
        <f t="shared" si="33"/>
        <v>0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1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r="97" spans="1:46" ht="14.25" customHeight="1" x14ac:dyDescent="0.25">
      <c r="A97" s="36">
        <v>1</v>
      </c>
      <c r="B97" s="36">
        <v>1</v>
      </c>
      <c r="C97" s="36">
        <v>7</v>
      </c>
      <c r="D97" s="37" t="s">
        <v>214</v>
      </c>
      <c r="E97" s="37" t="s">
        <v>40</v>
      </c>
      <c r="F97" s="37" t="s">
        <v>215</v>
      </c>
      <c r="G97" s="37" t="s">
        <v>90</v>
      </c>
      <c r="H97" s="37" t="s">
        <v>192</v>
      </c>
      <c r="I97" s="37"/>
      <c r="J97" s="36" t="s">
        <v>216</v>
      </c>
      <c r="K97" s="36">
        <v>2</v>
      </c>
      <c r="L97" s="36" t="s">
        <v>296</v>
      </c>
      <c r="M97" s="36" t="s">
        <v>308</v>
      </c>
      <c r="N97" s="37" t="s">
        <v>270</v>
      </c>
      <c r="O97" s="37" t="s">
        <v>895</v>
      </c>
      <c r="P97" s="38"/>
      <c r="Q97" s="36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0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4"/>
      <c r="J98" s="33" t="s">
        <v>847</v>
      </c>
      <c r="K98" s="33">
        <v>3</v>
      </c>
      <c r="L98" s="33" t="s">
        <v>388</v>
      </c>
      <c r="M98" s="33">
        <v>28</v>
      </c>
      <c r="N98" s="34" t="s">
        <v>845</v>
      </c>
      <c r="O98" s="34" t="s">
        <v>869</v>
      </c>
      <c r="P98" s="35">
        <v>1</v>
      </c>
      <c r="Q98" s="33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4"/>
      <c r="J99" s="33" t="s">
        <v>549</v>
      </c>
      <c r="K99" s="33">
        <v>1</v>
      </c>
      <c r="L99" s="33" t="s">
        <v>295</v>
      </c>
      <c r="M99" s="33">
        <v>29</v>
      </c>
      <c r="N99" s="34" t="s">
        <v>197</v>
      </c>
      <c r="O99" s="34" t="s">
        <v>869</v>
      </c>
      <c r="P99" s="35">
        <v>1</v>
      </c>
      <c r="Q99" s="33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19"/>
      <c r="J100" s="20" t="s">
        <v>604</v>
      </c>
      <c r="K100" s="20">
        <v>99</v>
      </c>
      <c r="L100" s="20" t="s">
        <v>388</v>
      </c>
      <c r="M100" s="20" t="s">
        <v>308</v>
      </c>
      <c r="N100" s="19" t="s">
        <v>715</v>
      </c>
      <c r="O100" s="19"/>
      <c r="P100" s="18"/>
      <c r="Q100" s="20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7"/>
      <c r="J101" s="36" t="s">
        <v>748</v>
      </c>
      <c r="K101" s="36">
        <v>3</v>
      </c>
      <c r="L101" s="36" t="s">
        <v>296</v>
      </c>
      <c r="M101" s="36">
        <v>30</v>
      </c>
      <c r="N101" s="37" t="s">
        <v>816</v>
      </c>
      <c r="O101" s="37" t="s">
        <v>863</v>
      </c>
      <c r="P101" s="38"/>
      <c r="Q101" s="36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7"/>
      <c r="J102" s="36" t="s">
        <v>530</v>
      </c>
      <c r="K102" s="36">
        <v>99</v>
      </c>
      <c r="L102" s="36" t="s">
        <v>296</v>
      </c>
      <c r="M102" s="36" t="s">
        <v>307</v>
      </c>
      <c r="N102" s="37" t="s">
        <v>570</v>
      </c>
      <c r="O102" s="37" t="s">
        <v>862</v>
      </c>
      <c r="P102" s="38"/>
      <c r="Q102" s="36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7"/>
      <c r="J103" s="36" t="s">
        <v>204</v>
      </c>
      <c r="K103" s="36">
        <v>1</v>
      </c>
      <c r="L103" s="36" t="s">
        <v>296</v>
      </c>
      <c r="M103" s="36" t="s">
        <v>307</v>
      </c>
      <c r="N103" s="37" t="s">
        <v>251</v>
      </c>
      <c r="O103" s="37" t="s">
        <v>895</v>
      </c>
      <c r="P103" s="38"/>
      <c r="Q103" s="36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4"/>
      <c r="J104" s="33" t="s">
        <v>785</v>
      </c>
      <c r="K104" s="33">
        <v>2</v>
      </c>
      <c r="L104" s="33" t="s">
        <v>296</v>
      </c>
      <c r="M104" s="33">
        <v>7</v>
      </c>
      <c r="N104" s="34" t="s">
        <v>699</v>
      </c>
      <c r="O104" s="34" t="s">
        <v>860</v>
      </c>
      <c r="P104" s="35">
        <v>1</v>
      </c>
      <c r="Q104" s="33">
        <v>1</v>
      </c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4" t="s">
        <v>916</v>
      </c>
      <c r="J105" s="33" t="s">
        <v>894</v>
      </c>
      <c r="K105" s="33">
        <v>2</v>
      </c>
      <c r="L105" s="33" t="s">
        <v>388</v>
      </c>
      <c r="M105" s="33">
        <v>5</v>
      </c>
      <c r="N105" s="34" t="s">
        <v>893</v>
      </c>
      <c r="O105" s="34" t="s">
        <v>860</v>
      </c>
      <c r="P105" s="35">
        <v>1</v>
      </c>
      <c r="Q105" s="33">
        <v>1</v>
      </c>
      <c r="R105" s="13"/>
      <c r="S105" s="2">
        <f>IF(K105=$S$7,1,0)</f>
        <v>0</v>
      </c>
      <c r="T105" s="2">
        <f>IF(K105=$T$7,1,0)</f>
        <v>1</v>
      </c>
      <c r="U105" s="2">
        <f>IF(K105=$U$7,1,0)</f>
        <v>0</v>
      </c>
      <c r="V105" s="2">
        <f>IF(K105=$V$7,1,0)</f>
        <v>0</v>
      </c>
      <c r="W105" s="2">
        <f>IF(K105=$W$7,1,0)</f>
        <v>0</v>
      </c>
      <c r="X105" s="2">
        <f>IF(K105=$X$7,1,0)</f>
        <v>0</v>
      </c>
      <c r="Y105" s="2">
        <f>IF(K105=$Y$7,1,0)</f>
        <v>0</v>
      </c>
      <c r="Z105" s="2">
        <f>IF(K105=$Z$7,1,0)</f>
        <v>0</v>
      </c>
      <c r="AA105" s="2">
        <f>IF(K105=$AA$7,1,0)</f>
        <v>0</v>
      </c>
      <c r="AB105" s="2">
        <f>IF(K105=$AB$7,1,0)</f>
        <v>0</v>
      </c>
      <c r="AC105" s="2"/>
      <c r="AD105" s="2">
        <f>+P105*Q105</f>
        <v>1</v>
      </c>
      <c r="AE105" s="2">
        <f>P105*(1-Q105)</f>
        <v>0</v>
      </c>
      <c r="AF105" s="2">
        <f>+P105*Q105*(1-A105)</f>
        <v>1</v>
      </c>
      <c r="AG105" s="2">
        <f>P105*(1-Q105)*(1-A105)</f>
        <v>0</v>
      </c>
      <c r="AH105" s="2">
        <f>+Q105*(1-A105)</f>
        <v>1</v>
      </c>
      <c r="AI105" s="2">
        <f>+(1-A105)*(1-Q105)</f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4" t="s">
        <v>914</v>
      </c>
      <c r="J106" s="33" t="s">
        <v>547</v>
      </c>
      <c r="K106" s="33">
        <v>1</v>
      </c>
      <c r="L106" s="33" t="s">
        <v>296</v>
      </c>
      <c r="M106" s="33" t="s">
        <v>296</v>
      </c>
      <c r="N106" s="34" t="s">
        <v>195</v>
      </c>
      <c r="O106" s="34" t="s">
        <v>860</v>
      </c>
      <c r="P106" s="35">
        <v>1</v>
      </c>
      <c r="Q106" s="33">
        <v>1</v>
      </c>
      <c r="R106" s="13"/>
      <c r="S106" s="2">
        <f>IF(K106=$S$7,1,0)</f>
        <v>1</v>
      </c>
      <c r="T106" s="2">
        <f>IF(K106=$T$7,1,0)</f>
        <v>0</v>
      </c>
      <c r="U106" s="2">
        <f>IF(K106=$U$7,1,0)</f>
        <v>0</v>
      </c>
      <c r="V106" s="2">
        <f>IF(K106=$V$7,1,0)</f>
        <v>0</v>
      </c>
      <c r="W106" s="2">
        <f>IF(K106=$W$7,1,0)</f>
        <v>0</v>
      </c>
      <c r="X106" s="2">
        <f>IF(K106=$X$7,1,0)</f>
        <v>0</v>
      </c>
      <c r="Y106" s="2">
        <f>IF(K106=$Y$7,1,0)</f>
        <v>0</v>
      </c>
      <c r="Z106" s="2">
        <f>IF(K106=$Z$7,1,0)</f>
        <v>0</v>
      </c>
      <c r="AA106" s="2">
        <f>IF(K106=$AA$7,1,0)</f>
        <v>0</v>
      </c>
      <c r="AB106" s="2">
        <f>IF(K106=$AB$7,1,0)</f>
        <v>0</v>
      </c>
      <c r="AC106" s="2"/>
      <c r="AD106" s="2">
        <f>+P106*Q106</f>
        <v>1</v>
      </c>
      <c r="AE106" s="2">
        <f>P106*(1-Q106)</f>
        <v>0</v>
      </c>
      <c r="AF106" s="2">
        <f>+P106*Q106*(1-A106)</f>
        <v>1</v>
      </c>
      <c r="AG106" s="2">
        <f>P106*(1-Q106)*(1-A106)</f>
        <v>0</v>
      </c>
      <c r="AH106" s="2">
        <f>+Q106*(1-A106)</f>
        <v>1</v>
      </c>
      <c r="AI106" s="2">
        <f>+(1-A106)*(1-Q106)</f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4"/>
      <c r="J107" s="33" t="s">
        <v>745</v>
      </c>
      <c r="K107" s="33">
        <v>99</v>
      </c>
      <c r="L107" s="33" t="s">
        <v>296</v>
      </c>
      <c r="M107" s="33" t="s">
        <v>296</v>
      </c>
      <c r="N107" s="34" t="s">
        <v>195</v>
      </c>
      <c r="O107" s="34" t="s">
        <v>860</v>
      </c>
      <c r="P107" s="35">
        <v>1</v>
      </c>
      <c r="Q107" s="33">
        <v>1</v>
      </c>
      <c r="R107" s="13"/>
      <c r="S107" s="2">
        <f>IF(K107=$S$7,1,0)</f>
        <v>0</v>
      </c>
      <c r="T107" s="2">
        <f>IF(K107=$T$7,1,0)</f>
        <v>0</v>
      </c>
      <c r="U107" s="2">
        <f>IF(K107=$U$7,1,0)</f>
        <v>0</v>
      </c>
      <c r="V107" s="2">
        <f>IF(K107=$V$7,1,0)</f>
        <v>0</v>
      </c>
      <c r="W107" s="2">
        <f>IF(K107=$W$7,1,0)</f>
        <v>0</v>
      </c>
      <c r="X107" s="2">
        <f>IF(K107=$X$7,1,0)</f>
        <v>0</v>
      </c>
      <c r="Y107" s="2">
        <f>IF(K107=$Y$7,1,0)</f>
        <v>0</v>
      </c>
      <c r="Z107" s="2">
        <f>IF(K107=$Z$7,1,0)</f>
        <v>0</v>
      </c>
      <c r="AA107" s="2">
        <f>IF(K107=$AA$7,1,0)</f>
        <v>0</v>
      </c>
      <c r="AB107" s="2">
        <f>IF(K107=$AB$7,1,0)</f>
        <v>0</v>
      </c>
      <c r="AC107" s="2"/>
      <c r="AD107" s="2">
        <f>+P107*Q107</f>
        <v>1</v>
      </c>
      <c r="AE107" s="2">
        <f>P107*(1-Q107)</f>
        <v>0</v>
      </c>
      <c r="AF107" s="2">
        <f>+P107*Q107*(1-A107)</f>
        <v>1</v>
      </c>
      <c r="AG107" s="2">
        <f>P107*(1-Q107)*(1-A107)</f>
        <v>0</v>
      </c>
      <c r="AH107" s="2">
        <f>+Q107*(1-A107)</f>
        <v>1</v>
      </c>
      <c r="AI107" s="2">
        <f>+(1-A107)*(1-Q107)</f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4"/>
      <c r="J108" s="33" t="s">
        <v>698</v>
      </c>
      <c r="K108" s="33">
        <v>99</v>
      </c>
      <c r="L108" s="33" t="s">
        <v>296</v>
      </c>
      <c r="M108" s="33">
        <v>9</v>
      </c>
      <c r="N108" s="34" t="s">
        <v>817</v>
      </c>
      <c r="O108" s="34" t="s">
        <v>860</v>
      </c>
      <c r="P108" s="35">
        <v>1</v>
      </c>
      <c r="Q108" s="33">
        <v>1</v>
      </c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19"/>
      <c r="J109" s="20" t="s">
        <v>288</v>
      </c>
      <c r="K109" s="20">
        <v>1</v>
      </c>
      <c r="L109" s="20" t="s">
        <v>388</v>
      </c>
      <c r="M109" s="20" t="s">
        <v>296</v>
      </c>
      <c r="N109" s="19" t="s">
        <v>195</v>
      </c>
      <c r="O109" s="19"/>
      <c r="P109" s="18"/>
      <c r="Q109" s="20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19"/>
      <c r="J110" s="20" t="s">
        <v>133</v>
      </c>
      <c r="K110" s="20">
        <v>6</v>
      </c>
      <c r="L110" s="20" t="s">
        <v>388</v>
      </c>
      <c r="M110" s="20" t="s">
        <v>296</v>
      </c>
      <c r="N110" s="19" t="s">
        <v>195</v>
      </c>
      <c r="O110" s="19"/>
      <c r="P110" s="18"/>
      <c r="Q110" s="20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19"/>
      <c r="J111" s="20" t="s">
        <v>505</v>
      </c>
      <c r="K111" s="20">
        <v>1</v>
      </c>
      <c r="L111" s="20" t="s">
        <v>388</v>
      </c>
      <c r="M111" s="20" t="s">
        <v>296</v>
      </c>
      <c r="N111" s="19" t="s">
        <v>195</v>
      </c>
      <c r="O111" s="19"/>
      <c r="P111" s="18"/>
      <c r="Q111" s="20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4"/>
      <c r="J112" s="33" t="s">
        <v>170</v>
      </c>
      <c r="K112" s="33">
        <v>99</v>
      </c>
      <c r="L112" s="33" t="s">
        <v>298</v>
      </c>
      <c r="M112" s="33" t="s">
        <v>296</v>
      </c>
      <c r="N112" s="34" t="s">
        <v>195</v>
      </c>
      <c r="O112" s="34" t="s">
        <v>869</v>
      </c>
      <c r="P112" s="35">
        <v>1</v>
      </c>
      <c r="Q112" s="33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1"/>
      <c r="J113" s="30" t="s">
        <v>138</v>
      </c>
      <c r="K113" s="30">
        <v>4</v>
      </c>
      <c r="L113" s="30" t="s">
        <v>298</v>
      </c>
      <c r="M113" s="30" t="s">
        <v>296</v>
      </c>
      <c r="N113" s="31" t="s">
        <v>195</v>
      </c>
      <c r="O113" s="31"/>
      <c r="P113" s="32"/>
      <c r="Q113" s="30">
        <v>1</v>
      </c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0</v>
      </c>
      <c r="AF113" s="2">
        <f t="shared" si="19"/>
        <v>0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1"/>
      <c r="J114" s="30" t="s">
        <v>698</v>
      </c>
      <c r="K114" s="30">
        <v>99</v>
      </c>
      <c r="L114" s="30" t="s">
        <v>298</v>
      </c>
      <c r="M114" s="30" t="s">
        <v>296</v>
      </c>
      <c r="N114" s="31" t="s">
        <v>195</v>
      </c>
      <c r="O114" s="31"/>
      <c r="P114" s="32"/>
      <c r="Q114" s="30">
        <v>1</v>
      </c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0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19"/>
      <c r="J115" s="20" t="s">
        <v>157</v>
      </c>
      <c r="K115" s="20">
        <v>7</v>
      </c>
      <c r="L115" s="20" t="s">
        <v>296</v>
      </c>
      <c r="M115" s="20" t="s">
        <v>296</v>
      </c>
      <c r="N115" s="19" t="s">
        <v>195</v>
      </c>
      <c r="O115" s="19"/>
      <c r="P115" s="18"/>
      <c r="Q115" s="20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4"/>
      <c r="J116" s="33" t="s">
        <v>52</v>
      </c>
      <c r="K116" s="33">
        <v>2</v>
      </c>
      <c r="L116" s="33" t="s">
        <v>296</v>
      </c>
      <c r="M116" s="33" t="s">
        <v>296</v>
      </c>
      <c r="N116" s="34" t="s">
        <v>195</v>
      </c>
      <c r="O116" s="34" t="s">
        <v>860</v>
      </c>
      <c r="P116" s="35">
        <v>1</v>
      </c>
      <c r="Q116" s="33">
        <v>1</v>
      </c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4"/>
      <c r="J117" s="33" t="s">
        <v>577</v>
      </c>
      <c r="K117" s="33">
        <v>2</v>
      </c>
      <c r="L117" s="33" t="s">
        <v>291</v>
      </c>
      <c r="M117" s="33">
        <v>9</v>
      </c>
      <c r="N117" s="34" t="s">
        <v>817</v>
      </c>
      <c r="O117" s="34" t="s">
        <v>860</v>
      </c>
      <c r="P117" s="35">
        <v>1</v>
      </c>
      <c r="Q117" s="33">
        <v>1</v>
      </c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19"/>
      <c r="J118" s="20" t="s">
        <v>399</v>
      </c>
      <c r="K118" s="20">
        <v>6</v>
      </c>
      <c r="L118" s="20" t="s">
        <v>388</v>
      </c>
      <c r="M118" s="20">
        <v>20</v>
      </c>
      <c r="N118" s="19" t="s">
        <v>400</v>
      </c>
      <c r="O118" s="19"/>
      <c r="P118" s="18"/>
      <c r="Q118" s="20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7"/>
      <c r="J119" s="36" t="s">
        <v>65</v>
      </c>
      <c r="K119" s="36">
        <v>4</v>
      </c>
      <c r="L119" s="36" t="s">
        <v>291</v>
      </c>
      <c r="M119" s="36" t="s">
        <v>305</v>
      </c>
      <c r="N119" s="37" t="s">
        <v>716</v>
      </c>
      <c r="O119" s="37" t="s">
        <v>862</v>
      </c>
      <c r="P119" s="38"/>
      <c r="Q119" s="36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4"/>
      <c r="J120" s="33" t="s">
        <v>835</v>
      </c>
      <c r="K120" s="33"/>
      <c r="L120" s="33" t="s">
        <v>388</v>
      </c>
      <c r="M120" s="33">
        <v>30</v>
      </c>
      <c r="N120" s="34" t="s">
        <v>887</v>
      </c>
      <c r="O120" s="34" t="s">
        <v>868</v>
      </c>
      <c r="P120" s="35">
        <v>1</v>
      </c>
      <c r="Q120" s="33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409</v>
      </c>
      <c r="E121" s="19" t="s">
        <v>410</v>
      </c>
      <c r="F121" s="19" t="s">
        <v>411</v>
      </c>
      <c r="G121" s="19" t="s">
        <v>84</v>
      </c>
      <c r="H121" s="19" t="s">
        <v>192</v>
      </c>
      <c r="I121" s="19"/>
      <c r="J121" s="20" t="s">
        <v>412</v>
      </c>
      <c r="K121" s="20">
        <v>1</v>
      </c>
      <c r="L121" s="20" t="s">
        <v>296</v>
      </c>
      <c r="M121" s="20" t="s">
        <v>312</v>
      </c>
      <c r="N121" s="19" t="s">
        <v>818</v>
      </c>
      <c r="O121" s="19"/>
      <c r="P121" s="18"/>
      <c r="Q121" s="20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0</v>
      </c>
      <c r="AF121" s="2">
        <f t="shared" si="19"/>
        <v>0</v>
      </c>
      <c r="AG121" s="2">
        <f t="shared" si="20"/>
        <v>0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4"/>
      <c r="J122" s="33" t="s">
        <v>734</v>
      </c>
      <c r="K122" s="33">
        <v>1</v>
      </c>
      <c r="L122" s="33" t="s">
        <v>295</v>
      </c>
      <c r="M122" s="33" t="s">
        <v>797</v>
      </c>
      <c r="N122" s="34" t="s">
        <v>736</v>
      </c>
      <c r="O122" s="34" t="s">
        <v>869</v>
      </c>
      <c r="P122" s="35">
        <v>1</v>
      </c>
      <c r="Q122" s="33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19"/>
      <c r="J123" s="20" t="s">
        <v>483</v>
      </c>
      <c r="K123" s="20">
        <v>4</v>
      </c>
      <c r="L123" s="20" t="s">
        <v>388</v>
      </c>
      <c r="M123" s="20" t="s">
        <v>309</v>
      </c>
      <c r="N123" s="19" t="s">
        <v>518</v>
      </c>
      <c r="O123" s="19"/>
      <c r="P123" s="18"/>
      <c r="Q123" s="20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19"/>
      <c r="J124" s="20" t="s">
        <v>403</v>
      </c>
      <c r="K124" s="20">
        <v>4</v>
      </c>
      <c r="L124" s="20" t="s">
        <v>388</v>
      </c>
      <c r="M124" s="20" t="s">
        <v>308</v>
      </c>
      <c r="N124" s="19" t="s">
        <v>519</v>
      </c>
      <c r="O124" s="19"/>
      <c r="P124" s="18"/>
      <c r="Q124" s="20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19"/>
      <c r="J125" s="20" t="s">
        <v>670</v>
      </c>
      <c r="K125" s="20">
        <v>99</v>
      </c>
      <c r="L125" s="20" t="s">
        <v>291</v>
      </c>
      <c r="M125" s="20" t="s">
        <v>308</v>
      </c>
      <c r="N125" s="19" t="s">
        <v>675</v>
      </c>
      <c r="O125" s="19"/>
      <c r="P125" s="18"/>
      <c r="Q125" s="20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19"/>
      <c r="J126" s="20" t="s">
        <v>207</v>
      </c>
      <c r="K126" s="20">
        <v>1</v>
      </c>
      <c r="L126" s="20" t="s">
        <v>291</v>
      </c>
      <c r="M126" s="20" t="s">
        <v>308</v>
      </c>
      <c r="N126" s="19" t="s">
        <v>675</v>
      </c>
      <c r="O126" s="19"/>
      <c r="P126" s="18"/>
      <c r="Q126" s="20"/>
      <c r="R126" s="13"/>
      <c r="S126" s="2">
        <f t="shared" ref="S126:S180" si="35">IF(K126=$S$7,1,0)</f>
        <v>1</v>
      </c>
      <c r="T126" s="2">
        <f t="shared" ref="T126:T180" si="36">IF(K126=$T$7,1,0)</f>
        <v>0</v>
      </c>
      <c r="U126" s="2">
        <f t="shared" ref="U126:U180" si="37">IF(K126=$U$7,1,0)</f>
        <v>0</v>
      </c>
      <c r="V126" s="2">
        <f t="shared" ref="V126:V180" si="38">IF(K126=$V$7,1,0)</f>
        <v>0</v>
      </c>
      <c r="W126" s="2">
        <f t="shared" ref="W126:W180" si="39">IF(K126=$W$7,1,0)</f>
        <v>0</v>
      </c>
      <c r="X126" s="2">
        <f t="shared" ref="X126:X180" si="40">IF(K126=$X$7,1,0)</f>
        <v>0</v>
      </c>
      <c r="Y126" s="2">
        <f t="shared" ref="Y126:Y180" si="41">IF(K126=$Y$7,1,0)</f>
        <v>0</v>
      </c>
      <c r="Z126" s="2">
        <f t="shared" ref="Z126:Z180" si="42">IF(K126=$Z$7,1,0)</f>
        <v>0</v>
      </c>
      <c r="AA126" s="2">
        <f t="shared" ref="AA126:AA180" si="43">IF(K126=$AA$7,1,0)</f>
        <v>0</v>
      </c>
      <c r="AB126" s="2">
        <f t="shared" ref="AB126:AB180" si="44">IF(K126=$AB$7,1,0)</f>
        <v>0</v>
      </c>
      <c r="AC126" s="2"/>
      <c r="AD126" s="2">
        <f t="shared" ref="AD126:AD180" si="45">+P126*Q126</f>
        <v>0</v>
      </c>
      <c r="AE126" s="2">
        <f t="shared" ref="AE126:AE180" si="46">P126*(1-Q126)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19"/>
      <c r="J127" s="20" t="s">
        <v>406</v>
      </c>
      <c r="K127" s="20">
        <v>4</v>
      </c>
      <c r="L127" s="20" t="s">
        <v>388</v>
      </c>
      <c r="M127" s="20" t="s">
        <v>312</v>
      </c>
      <c r="N127" s="19" t="s">
        <v>522</v>
      </c>
      <c r="O127" s="19"/>
      <c r="P127" s="18"/>
      <c r="Q127" s="20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19"/>
      <c r="J128" s="20" t="s">
        <v>476</v>
      </c>
      <c r="K128" s="20">
        <v>4</v>
      </c>
      <c r="L128" s="20" t="s">
        <v>291</v>
      </c>
      <c r="M128" s="20" t="s">
        <v>312</v>
      </c>
      <c r="N128" s="19" t="s">
        <v>252</v>
      </c>
      <c r="O128" s="19"/>
      <c r="P128" s="18"/>
      <c r="Q128" s="20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19"/>
      <c r="J129" s="20" t="s">
        <v>122</v>
      </c>
      <c r="K129" s="20">
        <v>2</v>
      </c>
      <c r="L129" s="20" t="s">
        <v>291</v>
      </c>
      <c r="M129" s="20" t="s">
        <v>312</v>
      </c>
      <c r="N129" s="19" t="s">
        <v>252</v>
      </c>
      <c r="O129" s="19"/>
      <c r="P129" s="18"/>
      <c r="Q129" s="20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19"/>
      <c r="J130" s="20" t="s">
        <v>885</v>
      </c>
      <c r="K130" s="20"/>
      <c r="L130" s="20" t="s">
        <v>388</v>
      </c>
      <c r="M130" s="15">
        <v>22</v>
      </c>
      <c r="N130" s="39" t="s">
        <v>886</v>
      </c>
      <c r="O130" s="39"/>
      <c r="P130" s="2"/>
      <c r="Q130" s="2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7"/>
      <c r="J131" s="36" t="s">
        <v>671</v>
      </c>
      <c r="K131" s="36">
        <v>5</v>
      </c>
      <c r="L131" s="36" t="s">
        <v>295</v>
      </c>
      <c r="M131" s="36" t="s">
        <v>307</v>
      </c>
      <c r="N131" s="37" t="s">
        <v>463</v>
      </c>
      <c r="O131" s="37" t="s">
        <v>862</v>
      </c>
      <c r="P131" s="38"/>
      <c r="Q131" s="36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ref="AF131:AF192" si="47">+P131*Q131*(1-A131)</f>
        <v>0</v>
      </c>
      <c r="AG131" s="2">
        <f t="shared" ref="AG131:AG192" si="48">P131*(1-Q131)*(1-A131)</f>
        <v>0</v>
      </c>
      <c r="AH131" s="2">
        <f t="shared" ref="AH131:AH192" si="49">+Q131*(1-A131)</f>
        <v>0</v>
      </c>
      <c r="AI131" s="2">
        <f t="shared" ref="AI131:AI192" si="50">+(1-A131)*(1-Q131)</f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19"/>
      <c r="J132" s="20" t="s">
        <v>462</v>
      </c>
      <c r="K132" s="20">
        <v>4</v>
      </c>
      <c r="L132" s="20" t="s">
        <v>388</v>
      </c>
      <c r="M132" s="20" t="s">
        <v>308</v>
      </c>
      <c r="N132" s="19" t="s">
        <v>463</v>
      </c>
      <c r="O132" s="19"/>
      <c r="P132" s="18"/>
      <c r="Q132" s="20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47"/>
        <v>0</v>
      </c>
      <c r="AG132" s="2">
        <f t="shared" si="48"/>
        <v>0</v>
      </c>
      <c r="AH132" s="2">
        <f t="shared" si="49"/>
        <v>0</v>
      </c>
      <c r="AI132" s="2">
        <f t="shared" si="50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7"/>
      <c r="J133" s="36" t="s">
        <v>792</v>
      </c>
      <c r="K133" s="36">
        <v>99</v>
      </c>
      <c r="L133" s="36" t="s">
        <v>291</v>
      </c>
      <c r="M133" s="36" t="s">
        <v>512</v>
      </c>
      <c r="N133" s="37" t="s">
        <v>676</v>
      </c>
      <c r="O133" s="37" t="s">
        <v>862</v>
      </c>
      <c r="P133" s="38"/>
      <c r="Q133" s="36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47"/>
        <v>0</v>
      </c>
      <c r="AG133" s="2">
        <f t="shared" si="48"/>
        <v>0</v>
      </c>
      <c r="AH133" s="2">
        <f t="shared" si="49"/>
        <v>0</v>
      </c>
      <c r="AI133" s="2">
        <f t="shared" si="50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4"/>
      <c r="J134" s="33" t="s">
        <v>119</v>
      </c>
      <c r="K134" s="33">
        <v>2</v>
      </c>
      <c r="L134" s="33" t="s">
        <v>295</v>
      </c>
      <c r="M134" s="33" t="s">
        <v>797</v>
      </c>
      <c r="N134" s="34" t="s">
        <v>801</v>
      </c>
      <c r="O134" s="34" t="s">
        <v>860</v>
      </c>
      <c r="P134" s="35">
        <v>1</v>
      </c>
      <c r="Q134" s="33">
        <v>1</v>
      </c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47"/>
        <v>1</v>
      </c>
      <c r="AG134" s="2">
        <f t="shared" si="48"/>
        <v>0</v>
      </c>
      <c r="AH134" s="2">
        <f t="shared" si="49"/>
        <v>1</v>
      </c>
      <c r="AI134" s="2">
        <f t="shared" si="50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1"/>
      <c r="J135" s="30" t="s">
        <v>542</v>
      </c>
      <c r="K135" s="30">
        <v>1</v>
      </c>
      <c r="L135" s="30" t="s">
        <v>296</v>
      </c>
      <c r="M135" s="30" t="s">
        <v>105</v>
      </c>
      <c r="N135" s="31" t="s">
        <v>105</v>
      </c>
      <c r="O135" s="31"/>
      <c r="P135" s="32"/>
      <c r="Q135" s="30">
        <v>1</v>
      </c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47"/>
        <v>0</v>
      </c>
      <c r="AG135" s="2">
        <f t="shared" si="48"/>
        <v>0</v>
      </c>
      <c r="AH135" s="2">
        <f t="shared" si="49"/>
        <v>1</v>
      </c>
      <c r="AI135" s="2">
        <f t="shared" si="50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4"/>
      <c r="J136" s="33" t="s">
        <v>628</v>
      </c>
      <c r="K136" s="33">
        <v>1</v>
      </c>
      <c r="L136" s="33" t="s">
        <v>297</v>
      </c>
      <c r="M136" s="33" t="s">
        <v>105</v>
      </c>
      <c r="N136" s="34" t="s">
        <v>105</v>
      </c>
      <c r="O136" s="34" t="s">
        <v>860</v>
      </c>
      <c r="P136" s="35">
        <v>1</v>
      </c>
      <c r="Q136" s="33">
        <v>1</v>
      </c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si="47"/>
        <v>1</v>
      </c>
      <c r="AG136" s="2">
        <f t="shared" si="48"/>
        <v>0</v>
      </c>
      <c r="AH136" s="2">
        <f t="shared" si="49"/>
        <v>1</v>
      </c>
      <c r="AI136" s="2">
        <f t="shared" si="50"/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4"/>
      <c r="J137" s="33" t="s">
        <v>268</v>
      </c>
      <c r="K137" s="33">
        <v>2</v>
      </c>
      <c r="L137" s="33" t="s">
        <v>295</v>
      </c>
      <c r="M137" s="33" t="s">
        <v>105</v>
      </c>
      <c r="N137" s="34" t="s">
        <v>105</v>
      </c>
      <c r="O137" s="34" t="s">
        <v>860</v>
      </c>
      <c r="P137" s="35">
        <v>1</v>
      </c>
      <c r="Q137" s="33">
        <v>1</v>
      </c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4"/>
      <c r="J138" s="33" t="s">
        <v>698</v>
      </c>
      <c r="K138" s="33">
        <v>1</v>
      </c>
      <c r="L138" s="33" t="s">
        <v>388</v>
      </c>
      <c r="M138" s="33"/>
      <c r="N138" s="34"/>
      <c r="O138" s="34" t="s">
        <v>860</v>
      </c>
      <c r="P138" s="35">
        <v>1</v>
      </c>
      <c r="Q138" s="33">
        <v>1</v>
      </c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4"/>
      <c r="J139" s="33" t="s">
        <v>573</v>
      </c>
      <c r="K139" s="33">
        <v>1</v>
      </c>
      <c r="L139" s="33" t="s">
        <v>296</v>
      </c>
      <c r="M139" s="33" t="s">
        <v>105</v>
      </c>
      <c r="N139" s="34" t="s">
        <v>105</v>
      </c>
      <c r="O139" s="34" t="s">
        <v>860</v>
      </c>
      <c r="P139" s="35">
        <v>1</v>
      </c>
      <c r="Q139" s="33">
        <v>1</v>
      </c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4"/>
      <c r="J140" s="33" t="s">
        <v>46</v>
      </c>
      <c r="K140" s="33">
        <v>2</v>
      </c>
      <c r="L140" s="33" t="s">
        <v>295</v>
      </c>
      <c r="M140" s="33" t="s">
        <v>315</v>
      </c>
      <c r="N140" s="34" t="s">
        <v>316</v>
      </c>
      <c r="O140" s="34" t="s">
        <v>860</v>
      </c>
      <c r="P140" s="35">
        <v>1</v>
      </c>
      <c r="Q140" s="33">
        <v>1</v>
      </c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1"/>
      <c r="J141" s="30" t="s">
        <v>71</v>
      </c>
      <c r="K141" s="30">
        <v>2</v>
      </c>
      <c r="L141" s="30" t="s">
        <v>296</v>
      </c>
      <c r="M141" s="30" t="s">
        <v>315</v>
      </c>
      <c r="N141" s="31" t="s">
        <v>196</v>
      </c>
      <c r="O141" s="31"/>
      <c r="P141" s="32"/>
      <c r="Q141" s="30">
        <v>1</v>
      </c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19"/>
      <c r="J142" s="20" t="s">
        <v>564</v>
      </c>
      <c r="K142" s="20">
        <v>1</v>
      </c>
      <c r="L142" s="20" t="s">
        <v>388</v>
      </c>
      <c r="M142" s="20" t="s">
        <v>408</v>
      </c>
      <c r="N142" s="19" t="s">
        <v>511</v>
      </c>
      <c r="O142" s="19"/>
      <c r="P142" s="18"/>
      <c r="Q142" s="20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7"/>
      <c r="J143" s="36" t="s">
        <v>538</v>
      </c>
      <c r="K143" s="36">
        <v>3</v>
      </c>
      <c r="L143" s="36" t="s">
        <v>295</v>
      </c>
      <c r="M143" s="36" t="s">
        <v>307</v>
      </c>
      <c r="N143" s="37" t="s">
        <v>677</v>
      </c>
      <c r="O143" s="37" t="s">
        <v>864</v>
      </c>
      <c r="P143" s="38"/>
      <c r="Q143" s="36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19"/>
      <c r="J144" s="20" t="s">
        <v>421</v>
      </c>
      <c r="K144" s="20">
        <v>2</v>
      </c>
      <c r="L144" s="20" t="s">
        <v>296</v>
      </c>
      <c r="M144" s="20" t="s">
        <v>309</v>
      </c>
      <c r="N144" s="19" t="s">
        <v>717</v>
      </c>
      <c r="O144" s="19"/>
      <c r="P144" s="18"/>
      <c r="Q144" s="20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19"/>
      <c r="J145" s="20" t="s">
        <v>416</v>
      </c>
      <c r="K145" s="20">
        <v>6</v>
      </c>
      <c r="L145" s="20" t="s">
        <v>388</v>
      </c>
      <c r="M145" s="20">
        <v>8</v>
      </c>
      <c r="N145" s="19" t="s">
        <v>417</v>
      </c>
      <c r="O145" s="19"/>
      <c r="P145" s="18"/>
      <c r="Q145" s="20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7"/>
      <c r="J146" s="36" t="s">
        <v>605</v>
      </c>
      <c r="K146" s="36">
        <v>3</v>
      </c>
      <c r="L146" s="36" t="s">
        <v>295</v>
      </c>
      <c r="M146" s="36" t="s">
        <v>307</v>
      </c>
      <c r="N146" s="37" t="s">
        <v>631</v>
      </c>
      <c r="O146" s="37" t="s">
        <v>862</v>
      </c>
      <c r="P146" s="38"/>
      <c r="Q146" s="36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7"/>
      <c r="J147" s="36" t="s">
        <v>475</v>
      </c>
      <c r="K147" s="36">
        <v>1</v>
      </c>
      <c r="L147" s="36" t="s">
        <v>296</v>
      </c>
      <c r="M147" s="36" t="s">
        <v>309</v>
      </c>
      <c r="N147" s="37" t="s">
        <v>521</v>
      </c>
      <c r="O147" s="37" t="s">
        <v>862</v>
      </c>
      <c r="P147" s="38"/>
      <c r="Q147" s="36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19"/>
      <c r="J148" s="20" t="s">
        <v>540</v>
      </c>
      <c r="K148" s="20">
        <v>2</v>
      </c>
      <c r="L148" s="20" t="s">
        <v>295</v>
      </c>
      <c r="M148" s="20" t="s">
        <v>309</v>
      </c>
      <c r="N148" s="19" t="s">
        <v>599</v>
      </c>
      <c r="O148" s="19"/>
      <c r="P148" s="18"/>
      <c r="Q148" s="20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19"/>
      <c r="J149" s="20" t="s">
        <v>421</v>
      </c>
      <c r="K149" s="20">
        <v>7</v>
      </c>
      <c r="L149" s="20" t="s">
        <v>295</v>
      </c>
      <c r="M149" s="20" t="s">
        <v>312</v>
      </c>
      <c r="N149" s="19" t="s">
        <v>679</v>
      </c>
      <c r="O149" s="19"/>
      <c r="P149" s="18"/>
      <c r="Q149" s="20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19"/>
      <c r="J150" s="20" t="s">
        <v>421</v>
      </c>
      <c r="K150" s="20">
        <v>4</v>
      </c>
      <c r="L150" s="20" t="s">
        <v>295</v>
      </c>
      <c r="M150" s="20" t="s">
        <v>312</v>
      </c>
      <c r="N150" s="19" t="s">
        <v>679</v>
      </c>
      <c r="O150" s="19"/>
      <c r="P150" s="18"/>
      <c r="Q150" s="20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19"/>
      <c r="J151" s="20" t="s">
        <v>424</v>
      </c>
      <c r="K151" s="20">
        <v>1</v>
      </c>
      <c r="L151" s="20" t="s">
        <v>388</v>
      </c>
      <c r="M151" s="20">
        <v>15</v>
      </c>
      <c r="N151" s="19" t="s">
        <v>425</v>
      </c>
      <c r="O151" s="19"/>
      <c r="P151" s="18"/>
      <c r="Q151" s="20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1"/>
      <c r="J152" s="40" t="s">
        <v>472</v>
      </c>
      <c r="K152" s="40">
        <v>2</v>
      </c>
      <c r="L152" s="40" t="s">
        <v>296</v>
      </c>
      <c r="M152" s="40" t="s">
        <v>309</v>
      </c>
      <c r="N152" s="41" t="s">
        <v>678</v>
      </c>
      <c r="O152" s="41" t="s">
        <v>895</v>
      </c>
      <c r="P152" s="42"/>
      <c r="Q152" s="40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19"/>
      <c r="J153" s="20" t="s">
        <v>587</v>
      </c>
      <c r="K153" s="20"/>
      <c r="L153" s="20" t="s">
        <v>388</v>
      </c>
      <c r="M153" s="20">
        <v>20</v>
      </c>
      <c r="N153" s="19" t="s">
        <v>585</v>
      </c>
      <c r="O153" s="19"/>
      <c r="P153" s="18"/>
      <c r="Q153" s="20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19"/>
      <c r="J154" s="20" t="s">
        <v>201</v>
      </c>
      <c r="K154" s="20">
        <v>99</v>
      </c>
      <c r="L154" s="20" t="s">
        <v>388</v>
      </c>
      <c r="M154" s="20">
        <v>30</v>
      </c>
      <c r="N154" s="19" t="s">
        <v>718</v>
      </c>
      <c r="O154" s="19"/>
      <c r="P154" s="18"/>
      <c r="Q154" s="20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4"/>
      <c r="J155" s="33" t="s">
        <v>838</v>
      </c>
      <c r="K155" s="33"/>
      <c r="L155" s="33" t="s">
        <v>388</v>
      </c>
      <c r="M155" s="33">
        <v>40</v>
      </c>
      <c r="N155" s="34" t="s">
        <v>829</v>
      </c>
      <c r="O155" s="34" t="s">
        <v>869</v>
      </c>
      <c r="P155" s="35">
        <v>1</v>
      </c>
      <c r="Q155" s="33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4"/>
      <c r="J156" s="33" t="s">
        <v>738</v>
      </c>
      <c r="K156" s="33">
        <v>2</v>
      </c>
      <c r="L156" s="33" t="s">
        <v>295</v>
      </c>
      <c r="M156" s="33" t="s">
        <v>307</v>
      </c>
      <c r="N156" s="34" t="s">
        <v>739</v>
      </c>
      <c r="O156" s="34" t="s">
        <v>869</v>
      </c>
      <c r="P156" s="35">
        <v>1</v>
      </c>
      <c r="Q156" s="33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19"/>
      <c r="J157" s="20" t="s">
        <v>536</v>
      </c>
      <c r="K157" s="20">
        <v>1</v>
      </c>
      <c r="L157" s="20" t="s">
        <v>388</v>
      </c>
      <c r="M157" s="20" t="s">
        <v>307</v>
      </c>
      <c r="N157" s="19" t="s">
        <v>197</v>
      </c>
      <c r="O157" s="19"/>
      <c r="P157" s="18"/>
      <c r="Q157" s="20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7"/>
      <c r="J158" s="36" t="s">
        <v>854</v>
      </c>
      <c r="K158" s="36">
        <v>99</v>
      </c>
      <c r="L158" s="36" t="s">
        <v>388</v>
      </c>
      <c r="M158" s="36">
        <v>40</v>
      </c>
      <c r="N158" s="37" t="s">
        <v>855</v>
      </c>
      <c r="O158" s="37" t="s">
        <v>864</v>
      </c>
      <c r="P158" s="38"/>
      <c r="Q158" s="36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4"/>
      <c r="J159" s="33" t="s">
        <v>842</v>
      </c>
      <c r="K159" s="33"/>
      <c r="L159" s="33" t="s">
        <v>388</v>
      </c>
      <c r="M159" s="33">
        <v>35</v>
      </c>
      <c r="N159" s="34" t="s">
        <v>840</v>
      </c>
      <c r="O159" s="34" t="s">
        <v>870</v>
      </c>
      <c r="P159" s="35">
        <v>1</v>
      </c>
      <c r="Q159" s="33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4"/>
      <c r="J160" s="33" t="s">
        <v>467</v>
      </c>
      <c r="K160" s="33">
        <v>2</v>
      </c>
      <c r="L160" s="33" t="s">
        <v>296</v>
      </c>
      <c r="M160" s="33" t="s">
        <v>307</v>
      </c>
      <c r="N160" s="34" t="s">
        <v>468</v>
      </c>
      <c r="O160" s="34" t="s">
        <v>870</v>
      </c>
      <c r="P160" s="35">
        <v>1</v>
      </c>
      <c r="Q160" s="33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7"/>
      <c r="J161" s="36" t="s">
        <v>881</v>
      </c>
      <c r="K161" s="36"/>
      <c r="L161" s="36" t="s">
        <v>388</v>
      </c>
      <c r="M161" s="36">
        <v>35</v>
      </c>
      <c r="N161" s="37" t="s">
        <v>882</v>
      </c>
      <c r="O161" s="37" t="s">
        <v>895</v>
      </c>
      <c r="P161" s="38"/>
      <c r="Q161" s="36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19"/>
      <c r="J162" s="20" t="s">
        <v>265</v>
      </c>
      <c r="K162" s="20">
        <v>4</v>
      </c>
      <c r="L162" s="20" t="s">
        <v>295</v>
      </c>
      <c r="M162" s="20" t="s">
        <v>309</v>
      </c>
      <c r="N162" s="19" t="s">
        <v>266</v>
      </c>
      <c r="O162" s="19"/>
      <c r="P162" s="18"/>
      <c r="Q162" s="20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19"/>
      <c r="J163" s="20" t="s">
        <v>87</v>
      </c>
      <c r="K163" s="20">
        <v>1</v>
      </c>
      <c r="L163" s="20" t="s">
        <v>388</v>
      </c>
      <c r="M163" s="20" t="s">
        <v>307</v>
      </c>
      <c r="N163" s="19" t="s">
        <v>253</v>
      </c>
      <c r="O163" s="19"/>
      <c r="P163" s="18"/>
      <c r="Q163" s="20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19"/>
      <c r="J164" s="20" t="s">
        <v>74</v>
      </c>
      <c r="K164" s="20">
        <v>7</v>
      </c>
      <c r="L164" s="20" t="s">
        <v>388</v>
      </c>
      <c r="M164" s="20" t="s">
        <v>312</v>
      </c>
      <c r="N164" s="19" t="s">
        <v>253</v>
      </c>
      <c r="O164" s="19"/>
      <c r="P164" s="18"/>
      <c r="Q164" s="20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4"/>
      <c r="J165" s="33" t="s">
        <v>428</v>
      </c>
      <c r="K165" s="33">
        <v>4</v>
      </c>
      <c r="L165" s="33" t="s">
        <v>295</v>
      </c>
      <c r="M165" s="33" t="s">
        <v>307</v>
      </c>
      <c r="N165" s="34" t="s">
        <v>754</v>
      </c>
      <c r="O165" s="34" t="s">
        <v>868</v>
      </c>
      <c r="P165" s="35">
        <v>1</v>
      </c>
      <c r="Q165" s="33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19"/>
      <c r="J166" s="20" t="s">
        <v>431</v>
      </c>
      <c r="K166" s="20">
        <v>99</v>
      </c>
      <c r="L166" s="20" t="s">
        <v>388</v>
      </c>
      <c r="M166" s="20" t="s">
        <v>312</v>
      </c>
      <c r="N166" s="19" t="s">
        <v>253</v>
      </c>
      <c r="O166" s="19"/>
      <c r="P166" s="18"/>
      <c r="Q166" s="20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1"/>
      <c r="J167" s="30" t="s">
        <v>507</v>
      </c>
      <c r="K167" s="30">
        <v>2</v>
      </c>
      <c r="L167" s="30" t="s">
        <v>298</v>
      </c>
      <c r="M167" s="30" t="s">
        <v>105</v>
      </c>
      <c r="N167" s="31" t="s">
        <v>105</v>
      </c>
      <c r="O167" s="31"/>
      <c r="P167" s="32"/>
      <c r="Q167" s="30">
        <v>1</v>
      </c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19"/>
      <c r="J168" s="20" t="s">
        <v>156</v>
      </c>
      <c r="K168" s="20">
        <v>5</v>
      </c>
      <c r="L168" s="20" t="s">
        <v>388</v>
      </c>
      <c r="M168" s="20">
        <v>20</v>
      </c>
      <c r="N168" s="19" t="s">
        <v>254</v>
      </c>
      <c r="O168" s="19"/>
      <c r="P168" s="18"/>
      <c r="Q168" s="20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4"/>
      <c r="J169" s="33" t="s">
        <v>194</v>
      </c>
      <c r="K169" s="33">
        <v>1</v>
      </c>
      <c r="L169" s="33" t="s">
        <v>295</v>
      </c>
      <c r="M169" s="33" t="s">
        <v>296</v>
      </c>
      <c r="N169" s="34" t="s">
        <v>198</v>
      </c>
      <c r="O169" s="34" t="s">
        <v>860</v>
      </c>
      <c r="P169" s="35">
        <v>1</v>
      </c>
      <c r="Q169" s="33">
        <v>1</v>
      </c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4"/>
      <c r="J170" s="33" t="s">
        <v>47</v>
      </c>
      <c r="K170" s="33">
        <v>1</v>
      </c>
      <c r="L170" s="33" t="s">
        <v>295</v>
      </c>
      <c r="M170" s="33" t="s">
        <v>296</v>
      </c>
      <c r="N170" s="34" t="s">
        <v>198</v>
      </c>
      <c r="O170" s="34" t="s">
        <v>860</v>
      </c>
      <c r="P170" s="35">
        <v>1</v>
      </c>
      <c r="Q170" s="33">
        <v>1</v>
      </c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4"/>
      <c r="J171" s="33" t="s">
        <v>48</v>
      </c>
      <c r="K171" s="33">
        <v>1</v>
      </c>
      <c r="L171" s="33" t="s">
        <v>295</v>
      </c>
      <c r="M171" s="33" t="s">
        <v>296</v>
      </c>
      <c r="N171" s="34" t="s">
        <v>198</v>
      </c>
      <c r="O171" s="34" t="s">
        <v>860</v>
      </c>
      <c r="P171" s="35">
        <v>1</v>
      </c>
      <c r="Q171" s="33">
        <v>1</v>
      </c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4"/>
      <c r="J172" s="33" t="s">
        <v>753</v>
      </c>
      <c r="K172" s="33">
        <v>1</v>
      </c>
      <c r="L172" s="33" t="s">
        <v>295</v>
      </c>
      <c r="M172" s="33" t="s">
        <v>296</v>
      </c>
      <c r="N172" s="34" t="s">
        <v>198</v>
      </c>
      <c r="O172" s="34" t="s">
        <v>860</v>
      </c>
      <c r="P172" s="35">
        <v>1</v>
      </c>
      <c r="Q172" s="33">
        <v>1</v>
      </c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4"/>
      <c r="J173" s="33" t="s">
        <v>380</v>
      </c>
      <c r="K173" s="33">
        <v>2</v>
      </c>
      <c r="L173" s="33" t="s">
        <v>295</v>
      </c>
      <c r="M173" s="33" t="s">
        <v>296</v>
      </c>
      <c r="N173" s="34" t="s">
        <v>198</v>
      </c>
      <c r="O173" s="34" t="s">
        <v>860</v>
      </c>
      <c r="P173" s="35">
        <v>1</v>
      </c>
      <c r="Q173" s="33">
        <v>1</v>
      </c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7"/>
      <c r="J174" s="36" t="s">
        <v>545</v>
      </c>
      <c r="K174" s="36">
        <v>3</v>
      </c>
      <c r="L174" s="36" t="s">
        <v>298</v>
      </c>
      <c r="M174" s="36" t="s">
        <v>296</v>
      </c>
      <c r="N174" s="37" t="s">
        <v>198</v>
      </c>
      <c r="O174" s="37" t="s">
        <v>861</v>
      </c>
      <c r="P174" s="38"/>
      <c r="Q174" s="36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7"/>
      <c r="J175" s="36" t="s">
        <v>698</v>
      </c>
      <c r="K175" s="36">
        <v>99</v>
      </c>
      <c r="L175" s="36" t="s">
        <v>298</v>
      </c>
      <c r="M175" s="36" t="s">
        <v>296</v>
      </c>
      <c r="N175" s="37" t="s">
        <v>198</v>
      </c>
      <c r="O175" s="37" t="s">
        <v>861</v>
      </c>
      <c r="P175" s="38"/>
      <c r="Q175" s="36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19"/>
      <c r="J176" s="20" t="s">
        <v>504</v>
      </c>
      <c r="K176" s="20">
        <v>99</v>
      </c>
      <c r="L176" s="20" t="s">
        <v>388</v>
      </c>
      <c r="M176" s="20" t="s">
        <v>296</v>
      </c>
      <c r="N176" s="19" t="s">
        <v>198</v>
      </c>
      <c r="O176" s="19"/>
      <c r="P176" s="18"/>
      <c r="Q176" s="20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19"/>
      <c r="J177" s="20" t="s">
        <v>381</v>
      </c>
      <c r="K177" s="20">
        <v>3</v>
      </c>
      <c r="L177" s="20" t="s">
        <v>388</v>
      </c>
      <c r="M177" s="20" t="s">
        <v>296</v>
      </c>
      <c r="N177" s="19" t="s">
        <v>198</v>
      </c>
      <c r="O177" s="19"/>
      <c r="P177" s="18"/>
      <c r="Q177" s="20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19"/>
      <c r="J178" s="20" t="s">
        <v>381</v>
      </c>
      <c r="K178" s="20">
        <v>99</v>
      </c>
      <c r="L178" s="20" t="s">
        <v>388</v>
      </c>
      <c r="M178" s="20" t="s">
        <v>296</v>
      </c>
      <c r="N178" s="19" t="s">
        <v>198</v>
      </c>
      <c r="O178" s="19"/>
      <c r="P178" s="18"/>
      <c r="Q178" s="20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19"/>
      <c r="J179" s="20" t="s">
        <v>78</v>
      </c>
      <c r="K179" s="20">
        <v>1</v>
      </c>
      <c r="L179" s="20" t="s">
        <v>296</v>
      </c>
      <c r="M179" s="20" t="s">
        <v>296</v>
      </c>
      <c r="N179" s="19" t="s">
        <v>198</v>
      </c>
      <c r="O179" s="19"/>
      <c r="P179" s="18"/>
      <c r="Q179" s="20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19"/>
      <c r="J180" s="20" t="s">
        <v>382</v>
      </c>
      <c r="K180" s="20">
        <v>99</v>
      </c>
      <c r="L180" s="20" t="s">
        <v>388</v>
      </c>
      <c r="M180" s="20" t="s">
        <v>296</v>
      </c>
      <c r="N180" s="19" t="s">
        <v>198</v>
      </c>
      <c r="O180" s="19"/>
      <c r="P180" s="18"/>
      <c r="Q180" s="20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19"/>
      <c r="J181" s="20" t="s">
        <v>120</v>
      </c>
      <c r="K181" s="20">
        <v>3</v>
      </c>
      <c r="L181" s="20" t="s">
        <v>295</v>
      </c>
      <c r="M181" s="20" t="s">
        <v>296</v>
      </c>
      <c r="N181" s="19" t="s">
        <v>198</v>
      </c>
      <c r="O181" s="19"/>
      <c r="P181" s="18"/>
      <c r="Q181" s="20"/>
      <c r="R181" s="13"/>
      <c r="S181" s="2">
        <f t="shared" ref="S181:S211" si="51">IF(K181=$S$7,1,0)</f>
        <v>0</v>
      </c>
      <c r="T181" s="2">
        <f t="shared" ref="T181:T211" si="52">IF(K181=$T$7,1,0)</f>
        <v>0</v>
      </c>
      <c r="U181" s="2">
        <f t="shared" ref="U181:U211" si="53">IF(K181=$U$7,1,0)</f>
        <v>1</v>
      </c>
      <c r="V181" s="2">
        <f t="shared" ref="V181:V211" si="54">IF(K181=$V$7,1,0)</f>
        <v>0</v>
      </c>
      <c r="W181" s="2">
        <f t="shared" ref="W181:W211" si="55">IF(K181=$W$7,1,0)</f>
        <v>0</v>
      </c>
      <c r="X181" s="2">
        <f t="shared" ref="X181:X211" si="56">IF(K181=$X$7,1,0)</f>
        <v>0</v>
      </c>
      <c r="Y181" s="2">
        <f t="shared" ref="Y181:Y211" si="57">IF(K181=$Y$7,1,0)</f>
        <v>0</v>
      </c>
      <c r="Z181" s="2">
        <f t="shared" ref="Z181:Z211" si="58">IF(K181=$Z$7,1,0)</f>
        <v>0</v>
      </c>
      <c r="AA181" s="2">
        <f t="shared" ref="AA181:AA211" si="59">IF(K181=$AA$7,1,0)</f>
        <v>0</v>
      </c>
      <c r="AB181" s="2">
        <f t="shared" ref="AB181:AB211" si="60">IF(K181=$AB$7,1,0)</f>
        <v>0</v>
      </c>
      <c r="AC181" s="2"/>
      <c r="AD181" s="2">
        <f t="shared" ref="AD181:AD211" si="61">+P181*Q181</f>
        <v>0</v>
      </c>
      <c r="AE181" s="2">
        <f t="shared" ref="AE181:AE211" si="62">P181*(1-Q181)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19"/>
      <c r="J182" s="20" t="s">
        <v>120</v>
      </c>
      <c r="K182" s="20">
        <v>7</v>
      </c>
      <c r="L182" s="20" t="s">
        <v>295</v>
      </c>
      <c r="M182" s="20" t="s">
        <v>296</v>
      </c>
      <c r="N182" s="19" t="s">
        <v>198</v>
      </c>
      <c r="O182" s="19"/>
      <c r="P182" s="18"/>
      <c r="Q182" s="20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4"/>
      <c r="J183" s="33" t="s">
        <v>145</v>
      </c>
      <c r="K183" s="33">
        <v>99</v>
      </c>
      <c r="L183" s="33" t="s">
        <v>388</v>
      </c>
      <c r="M183" s="33" t="s">
        <v>296</v>
      </c>
      <c r="N183" s="34" t="s">
        <v>198</v>
      </c>
      <c r="O183" s="34" t="s">
        <v>860</v>
      </c>
      <c r="P183" s="35">
        <v>1</v>
      </c>
      <c r="Q183" s="33">
        <v>1</v>
      </c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7"/>
      <c r="J184" s="36" t="s">
        <v>141</v>
      </c>
      <c r="K184" s="36">
        <v>99</v>
      </c>
      <c r="L184" s="36" t="s">
        <v>388</v>
      </c>
      <c r="M184" s="36">
        <v>4</v>
      </c>
      <c r="N184" s="37" t="s">
        <v>198</v>
      </c>
      <c r="O184" s="37" t="s">
        <v>895</v>
      </c>
      <c r="P184" s="38"/>
      <c r="Q184" s="36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19"/>
      <c r="J185" s="20" t="s">
        <v>159</v>
      </c>
      <c r="K185" s="20">
        <v>1</v>
      </c>
      <c r="L185" s="20" t="s">
        <v>291</v>
      </c>
      <c r="M185" s="20" t="s">
        <v>296</v>
      </c>
      <c r="N185" s="19" t="s">
        <v>198</v>
      </c>
      <c r="O185" s="19"/>
      <c r="P185" s="18"/>
      <c r="Q185" s="20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19"/>
      <c r="J186" s="20" t="s">
        <v>142</v>
      </c>
      <c r="K186" s="20">
        <v>99</v>
      </c>
      <c r="L186" s="20" t="s">
        <v>388</v>
      </c>
      <c r="M186" s="20" t="s">
        <v>296</v>
      </c>
      <c r="N186" s="19" t="s">
        <v>198</v>
      </c>
      <c r="O186" s="19"/>
      <c r="P186" s="18"/>
      <c r="Q186" s="20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0">
        <v>0</v>
      </c>
      <c r="B187" s="30">
        <v>2</v>
      </c>
      <c r="C187" s="30">
        <v>7</v>
      </c>
      <c r="D187" s="31" t="s">
        <v>92</v>
      </c>
      <c r="E187" s="31" t="s">
        <v>100</v>
      </c>
      <c r="F187" s="31" t="s">
        <v>107</v>
      </c>
      <c r="G187" s="31" t="s">
        <v>90</v>
      </c>
      <c r="H187" s="31" t="s">
        <v>192</v>
      </c>
      <c r="I187" s="31"/>
      <c r="J187" s="30" t="s">
        <v>121</v>
      </c>
      <c r="K187" s="30">
        <v>2</v>
      </c>
      <c r="L187" s="30" t="s">
        <v>295</v>
      </c>
      <c r="M187" s="30" t="s">
        <v>105</v>
      </c>
      <c r="N187" s="31" t="s">
        <v>105</v>
      </c>
      <c r="O187" s="31"/>
      <c r="P187" s="32"/>
      <c r="Q187" s="30">
        <v>1</v>
      </c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19"/>
      <c r="J188" s="20" t="s">
        <v>273</v>
      </c>
      <c r="K188" s="20">
        <v>1</v>
      </c>
      <c r="L188" s="20" t="s">
        <v>388</v>
      </c>
      <c r="M188" s="20" t="s">
        <v>296</v>
      </c>
      <c r="N188" s="19" t="s">
        <v>198</v>
      </c>
      <c r="O188" s="19"/>
      <c r="P188" s="18"/>
      <c r="Q188" s="20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19"/>
      <c r="J189" s="20" t="s">
        <v>434</v>
      </c>
      <c r="K189" s="20">
        <v>1</v>
      </c>
      <c r="L189" s="20" t="s">
        <v>296</v>
      </c>
      <c r="M189" s="20" t="s">
        <v>296</v>
      </c>
      <c r="N189" s="19" t="s">
        <v>198</v>
      </c>
      <c r="O189" s="19"/>
      <c r="P189" s="18"/>
      <c r="Q189" s="20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19"/>
      <c r="J190" s="20" t="s">
        <v>525</v>
      </c>
      <c r="K190" s="20">
        <v>99</v>
      </c>
      <c r="L190" s="20" t="s">
        <v>291</v>
      </c>
      <c r="M190" s="20" t="s">
        <v>312</v>
      </c>
      <c r="N190" s="19" t="s">
        <v>313</v>
      </c>
      <c r="O190" s="19"/>
      <c r="P190" s="18"/>
      <c r="Q190" s="20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19"/>
      <c r="J191" s="20" t="s">
        <v>35</v>
      </c>
      <c r="K191" s="20">
        <v>1</v>
      </c>
      <c r="L191" s="20" t="s">
        <v>291</v>
      </c>
      <c r="M191" s="20" t="s">
        <v>312</v>
      </c>
      <c r="N191" s="19" t="s">
        <v>313</v>
      </c>
      <c r="O191" s="19"/>
      <c r="P191" s="18"/>
      <c r="Q191" s="20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19"/>
      <c r="J192" s="20" t="s">
        <v>36</v>
      </c>
      <c r="K192" s="20">
        <v>2</v>
      </c>
      <c r="L192" s="20" t="s">
        <v>291</v>
      </c>
      <c r="M192" s="20" t="s">
        <v>312</v>
      </c>
      <c r="N192" s="19" t="s">
        <v>313</v>
      </c>
      <c r="O192" s="19"/>
      <c r="P192" s="18"/>
      <c r="Q192" s="20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4"/>
      <c r="J193" s="33" t="s">
        <v>49</v>
      </c>
      <c r="K193" s="33">
        <v>4</v>
      </c>
      <c r="L193" s="33" t="s">
        <v>298</v>
      </c>
      <c r="M193" s="33" t="s">
        <v>296</v>
      </c>
      <c r="N193" s="34" t="s">
        <v>198</v>
      </c>
      <c r="O193" s="34" t="s">
        <v>860</v>
      </c>
      <c r="P193" s="35">
        <v>1</v>
      </c>
      <c r="Q193" s="33">
        <v>1</v>
      </c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ref="AF193:AF211" si="63">+P193*Q193*(1-A193)</f>
        <v>1</v>
      </c>
      <c r="AG193" s="2">
        <f t="shared" ref="AG193:AG211" si="64">P193*(1-Q193)*(1-A193)</f>
        <v>0</v>
      </c>
      <c r="AH193" s="2">
        <f t="shared" ref="AH193:AH211" si="65">+Q193*(1-A193)</f>
        <v>1</v>
      </c>
      <c r="AI193" s="2">
        <f t="shared" ref="AI193:AI211" si="66">+(1-A193)*(1-Q193)</f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4"/>
      <c r="J194" s="33" t="s">
        <v>383</v>
      </c>
      <c r="K194" s="33">
        <v>6</v>
      </c>
      <c r="L194" s="33" t="s">
        <v>298</v>
      </c>
      <c r="M194" s="33" t="s">
        <v>296</v>
      </c>
      <c r="N194" s="34" t="s">
        <v>198</v>
      </c>
      <c r="O194" s="34" t="s">
        <v>860</v>
      </c>
      <c r="P194" s="35">
        <v>1</v>
      </c>
      <c r="Q194" s="33">
        <v>1</v>
      </c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63"/>
        <v>0</v>
      </c>
      <c r="AG194" s="2">
        <f t="shared" si="64"/>
        <v>0</v>
      </c>
      <c r="AH194" s="2">
        <f t="shared" si="65"/>
        <v>0</v>
      </c>
      <c r="AI194" s="2">
        <f t="shared" si="66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4"/>
      <c r="J195" s="33" t="s">
        <v>231</v>
      </c>
      <c r="K195" s="33">
        <v>1</v>
      </c>
      <c r="L195" s="33" t="s">
        <v>298</v>
      </c>
      <c r="M195" s="33" t="s">
        <v>296</v>
      </c>
      <c r="N195" s="34" t="s">
        <v>198</v>
      </c>
      <c r="O195" s="34" t="s">
        <v>860</v>
      </c>
      <c r="P195" s="35">
        <v>1</v>
      </c>
      <c r="Q195" s="33">
        <v>1</v>
      </c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63"/>
        <v>0</v>
      </c>
      <c r="AG195" s="2">
        <f t="shared" si="64"/>
        <v>0</v>
      </c>
      <c r="AH195" s="2">
        <f t="shared" si="65"/>
        <v>0</v>
      </c>
      <c r="AI195" s="2">
        <f t="shared" si="66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19"/>
      <c r="J196" s="20" t="s">
        <v>322</v>
      </c>
      <c r="K196" s="20">
        <v>3</v>
      </c>
      <c r="L196" s="20" t="s">
        <v>296</v>
      </c>
      <c r="M196" s="20" t="s">
        <v>315</v>
      </c>
      <c r="N196" s="19" t="s">
        <v>387</v>
      </c>
      <c r="O196" s="19"/>
      <c r="P196" s="18"/>
      <c r="Q196" s="20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0</v>
      </c>
      <c r="AE196" s="2">
        <f t="shared" si="62"/>
        <v>0</v>
      </c>
      <c r="AF196" s="2">
        <f t="shared" si="63"/>
        <v>0</v>
      </c>
      <c r="AG196" s="2">
        <f t="shared" si="64"/>
        <v>0</v>
      </c>
      <c r="AH196" s="2">
        <f t="shared" si="65"/>
        <v>0</v>
      </c>
      <c r="AI196" s="2">
        <f t="shared" si="66"/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19"/>
      <c r="J197" s="20" t="s">
        <v>325</v>
      </c>
      <c r="K197" s="20">
        <v>99</v>
      </c>
      <c r="L197" s="20" t="s">
        <v>388</v>
      </c>
      <c r="M197" s="20" t="s">
        <v>296</v>
      </c>
      <c r="N197" s="19" t="s">
        <v>198</v>
      </c>
      <c r="O197" s="19"/>
      <c r="P197" s="18"/>
      <c r="Q197" s="20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63"/>
        <v>0</v>
      </c>
      <c r="AG197" s="2">
        <f t="shared" si="64"/>
        <v>0</v>
      </c>
      <c r="AH197" s="2">
        <f t="shared" si="65"/>
        <v>0</v>
      </c>
      <c r="AI197" s="2">
        <f t="shared" si="66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19"/>
      <c r="J198" s="20" t="s">
        <v>331</v>
      </c>
      <c r="K198" s="20">
        <v>7</v>
      </c>
      <c r="L198" s="20" t="s">
        <v>388</v>
      </c>
      <c r="M198" s="20" t="s">
        <v>296</v>
      </c>
      <c r="N198" s="19" t="s">
        <v>198</v>
      </c>
      <c r="O198" s="19"/>
      <c r="P198" s="18"/>
      <c r="Q198" s="20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63"/>
        <v>0</v>
      </c>
      <c r="AG198" s="2">
        <f t="shared" si="64"/>
        <v>0</v>
      </c>
      <c r="AH198" s="2">
        <f t="shared" si="65"/>
        <v>0</v>
      </c>
      <c r="AI198" s="2">
        <f t="shared" si="66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19"/>
      <c r="J199" s="20" t="s">
        <v>327</v>
      </c>
      <c r="K199" s="20">
        <v>99</v>
      </c>
      <c r="L199" s="20" t="s">
        <v>388</v>
      </c>
      <c r="M199" s="20" t="s">
        <v>296</v>
      </c>
      <c r="N199" s="19" t="s">
        <v>198</v>
      </c>
      <c r="O199" s="19"/>
      <c r="P199" s="18"/>
      <c r="Q199" s="20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63"/>
        <v>0</v>
      </c>
      <c r="AG199" s="2">
        <f t="shared" si="64"/>
        <v>0</v>
      </c>
      <c r="AH199" s="2">
        <f t="shared" si="65"/>
        <v>0</v>
      </c>
      <c r="AI199" s="2">
        <f t="shared" si="66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19"/>
      <c r="J200" s="20" t="s">
        <v>752</v>
      </c>
      <c r="K200" s="20">
        <v>4</v>
      </c>
      <c r="L200" s="20" t="s">
        <v>296</v>
      </c>
      <c r="M200" s="20" t="s">
        <v>296</v>
      </c>
      <c r="N200" s="19" t="s">
        <v>105</v>
      </c>
      <c r="O200" s="19"/>
      <c r="P200" s="18"/>
      <c r="Q200" s="20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63"/>
        <v>0</v>
      </c>
      <c r="AG200" s="2">
        <f t="shared" si="64"/>
        <v>0</v>
      </c>
      <c r="AH200" s="2">
        <f t="shared" si="65"/>
        <v>0</v>
      </c>
      <c r="AI200" s="2">
        <f t="shared" si="66"/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19"/>
      <c r="J201" s="20" t="s">
        <v>750</v>
      </c>
      <c r="K201" s="20">
        <v>99</v>
      </c>
      <c r="L201" s="20" t="s">
        <v>296</v>
      </c>
      <c r="M201" s="20" t="s">
        <v>296</v>
      </c>
      <c r="N201" s="19" t="s">
        <v>105</v>
      </c>
      <c r="O201" s="19"/>
      <c r="P201" s="18"/>
      <c r="Q201" s="20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4"/>
      <c r="J202" s="33" t="s">
        <v>82</v>
      </c>
      <c r="K202" s="33">
        <v>1</v>
      </c>
      <c r="L202" s="33" t="s">
        <v>295</v>
      </c>
      <c r="M202" s="33" t="s">
        <v>296</v>
      </c>
      <c r="N202" s="34" t="s">
        <v>198</v>
      </c>
      <c r="O202" s="34" t="s">
        <v>869</v>
      </c>
      <c r="P202" s="35">
        <v>1</v>
      </c>
      <c r="Q202" s="33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4"/>
      <c r="J203" s="33" t="s">
        <v>83</v>
      </c>
      <c r="K203" s="33">
        <v>6</v>
      </c>
      <c r="L203" s="33" t="s">
        <v>295</v>
      </c>
      <c r="M203" s="33" t="s">
        <v>296</v>
      </c>
      <c r="N203" s="34" t="s">
        <v>198</v>
      </c>
      <c r="O203" s="34" t="s">
        <v>869</v>
      </c>
      <c r="P203" s="35">
        <v>1</v>
      </c>
      <c r="Q203" s="33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19"/>
      <c r="J204" s="20" t="s">
        <v>506</v>
      </c>
      <c r="K204" s="20">
        <v>6</v>
      </c>
      <c r="L204" s="20" t="s">
        <v>296</v>
      </c>
      <c r="M204" s="20" t="s">
        <v>296</v>
      </c>
      <c r="N204" s="19" t="s">
        <v>198</v>
      </c>
      <c r="O204" s="19"/>
      <c r="P204" s="18"/>
      <c r="Q204" s="20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19"/>
      <c r="J205" s="20" t="s">
        <v>788</v>
      </c>
      <c r="K205" s="20">
        <v>99</v>
      </c>
      <c r="L205" s="20" t="s">
        <v>296</v>
      </c>
      <c r="M205" s="20" t="s">
        <v>296</v>
      </c>
      <c r="N205" s="19" t="s">
        <v>198</v>
      </c>
      <c r="O205" s="19"/>
      <c r="P205" s="18"/>
      <c r="Q205" s="20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4"/>
      <c r="J206" s="33" t="s">
        <v>731</v>
      </c>
      <c r="K206" s="33">
        <v>4</v>
      </c>
      <c r="L206" s="33" t="s">
        <v>298</v>
      </c>
      <c r="M206" s="33" t="s">
        <v>296</v>
      </c>
      <c r="N206" s="34" t="s">
        <v>198</v>
      </c>
      <c r="O206" s="34" t="s">
        <v>869</v>
      </c>
      <c r="P206" s="35">
        <v>1</v>
      </c>
      <c r="Q206" s="33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4"/>
      <c r="J207" s="33" t="s">
        <v>789</v>
      </c>
      <c r="K207" s="33">
        <v>2</v>
      </c>
      <c r="L207" s="33" t="s">
        <v>298</v>
      </c>
      <c r="M207" s="33" t="s">
        <v>296</v>
      </c>
      <c r="N207" s="34" t="s">
        <v>198</v>
      </c>
      <c r="O207" s="34" t="s">
        <v>869</v>
      </c>
      <c r="P207" s="35">
        <v>1</v>
      </c>
      <c r="Q207" s="33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4"/>
      <c r="J208" s="33" t="s">
        <v>161</v>
      </c>
      <c r="K208" s="33">
        <v>1</v>
      </c>
      <c r="L208" s="33" t="s">
        <v>295</v>
      </c>
      <c r="M208" s="33" t="s">
        <v>296</v>
      </c>
      <c r="N208" s="34" t="s">
        <v>198</v>
      </c>
      <c r="O208" s="34" t="s">
        <v>860</v>
      </c>
      <c r="P208" s="35">
        <v>1</v>
      </c>
      <c r="Q208" s="33">
        <v>1</v>
      </c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4"/>
      <c r="J209" s="33" t="s">
        <v>384</v>
      </c>
      <c r="K209" s="33">
        <v>2</v>
      </c>
      <c r="L209" s="33" t="s">
        <v>295</v>
      </c>
      <c r="M209" s="33" t="s">
        <v>105</v>
      </c>
      <c r="N209" s="34" t="s">
        <v>105</v>
      </c>
      <c r="O209" s="34" t="s">
        <v>860</v>
      </c>
      <c r="P209" s="35">
        <v>1</v>
      </c>
      <c r="Q209" s="33">
        <v>1</v>
      </c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19"/>
      <c r="J210" s="20" t="s">
        <v>565</v>
      </c>
      <c r="K210" s="20">
        <v>1</v>
      </c>
      <c r="L210" s="20" t="s">
        <v>388</v>
      </c>
      <c r="M210" s="20" t="s">
        <v>296</v>
      </c>
      <c r="N210" s="19" t="s">
        <v>198</v>
      </c>
      <c r="O210" s="19"/>
      <c r="P210" s="18"/>
      <c r="Q210" s="20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19"/>
      <c r="J211" s="20" t="s">
        <v>144</v>
      </c>
      <c r="K211" s="20">
        <v>99</v>
      </c>
      <c r="L211" s="20" t="s">
        <v>296</v>
      </c>
      <c r="M211" s="20" t="s">
        <v>296</v>
      </c>
      <c r="N211" s="19" t="s">
        <v>198</v>
      </c>
      <c r="O211" s="19"/>
      <c r="P211" s="18"/>
      <c r="Q211" s="20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0">
        <v>0</v>
      </c>
      <c r="B212" s="30">
        <v>2</v>
      </c>
      <c r="C212" s="30">
        <v>7</v>
      </c>
      <c r="D212" s="31" t="s">
        <v>345</v>
      </c>
      <c r="E212" s="31" t="s">
        <v>55</v>
      </c>
      <c r="F212" s="31" t="s">
        <v>373</v>
      </c>
      <c r="G212" s="31" t="s">
        <v>90</v>
      </c>
      <c r="H212" s="31" t="s">
        <v>192</v>
      </c>
      <c r="I212" s="31"/>
      <c r="J212" s="30" t="s">
        <v>56</v>
      </c>
      <c r="K212" s="30">
        <v>2</v>
      </c>
      <c r="L212" s="30" t="s">
        <v>298</v>
      </c>
      <c r="M212" s="30" t="s">
        <v>105</v>
      </c>
      <c r="N212" s="31" t="s">
        <v>105</v>
      </c>
      <c r="O212" s="31"/>
      <c r="P212" s="32"/>
      <c r="Q212" s="30">
        <v>1</v>
      </c>
      <c r="R212" s="13"/>
      <c r="S212" s="2">
        <f t="shared" ref="S212:S217" si="67">IF(K212=$S$7,1,0)</f>
        <v>0</v>
      </c>
      <c r="T212" s="2">
        <f t="shared" ref="T212:T217" si="68">IF(K212=$T$7,1,0)</f>
        <v>1</v>
      </c>
      <c r="U212" s="2">
        <f t="shared" ref="U212:U217" si="69">IF(K212=$U$7,1,0)</f>
        <v>0</v>
      </c>
      <c r="V212" s="2">
        <f t="shared" ref="V212:V217" si="70">IF(K212=$V$7,1,0)</f>
        <v>0</v>
      </c>
      <c r="W212" s="2">
        <f t="shared" ref="W212:W217" si="71">IF(K212=$W$7,1,0)</f>
        <v>0</v>
      </c>
      <c r="X212" s="2">
        <f t="shared" ref="X212:X217" si="72">IF(K212=$X$7,1,0)</f>
        <v>0</v>
      </c>
      <c r="Y212" s="2">
        <f t="shared" ref="Y212:Y217" si="73">IF(K212=$Y$7,1,0)</f>
        <v>0</v>
      </c>
      <c r="Z212" s="2">
        <f t="shared" ref="Z212:Z217" si="74">IF(K212=$Z$7,1,0)</f>
        <v>0</v>
      </c>
      <c r="AA212" s="2">
        <f t="shared" ref="AA212:AA217" si="75">IF(K212=$AA$7,1,0)</f>
        <v>0</v>
      </c>
      <c r="AB212" s="2">
        <f t="shared" ref="AB212:AB217" si="76">IF(K212=$AB$7,1,0)</f>
        <v>0</v>
      </c>
      <c r="AC212" s="2"/>
      <c r="AD212" s="2">
        <f t="shared" ref="AD212:AD217" si="77">+P212*Q212</f>
        <v>0</v>
      </c>
      <c r="AE212" s="2">
        <f t="shared" ref="AE212:AE217" si="78">P212*(1-Q212)</f>
        <v>0</v>
      </c>
      <c r="AF212" s="2">
        <f t="shared" ref="AF212:AF217" si="79">+P212*Q212*(1-A212)</f>
        <v>0</v>
      </c>
      <c r="AG212" s="2">
        <f t="shared" ref="AG212:AG217" si="80">P212*(1-Q212)*(1-A212)</f>
        <v>0</v>
      </c>
      <c r="AH212" s="2">
        <f t="shared" ref="AH212:AH217" si="81">+Q212*(1-A212)</f>
        <v>1</v>
      </c>
      <c r="AI212" s="2">
        <f t="shared" ref="AI212:AI217" si="82">+(1-A212)*(1-Q212)</f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0">
        <v>1</v>
      </c>
      <c r="B213" s="30">
        <v>2</v>
      </c>
      <c r="C213" s="30">
        <v>7</v>
      </c>
      <c r="D213" s="31" t="s">
        <v>345</v>
      </c>
      <c r="E213" s="31" t="s">
        <v>55</v>
      </c>
      <c r="F213" s="31" t="s">
        <v>559</v>
      </c>
      <c r="G213" s="31" t="s">
        <v>560</v>
      </c>
      <c r="H213" s="31" t="s">
        <v>192</v>
      </c>
      <c r="I213" s="31"/>
      <c r="J213" s="30" t="s">
        <v>566</v>
      </c>
      <c r="K213" s="30">
        <v>1</v>
      </c>
      <c r="L213" s="30" t="s">
        <v>298</v>
      </c>
      <c r="M213" s="30" t="s">
        <v>105</v>
      </c>
      <c r="N213" s="31" t="s">
        <v>105</v>
      </c>
      <c r="O213" s="31"/>
      <c r="P213" s="32"/>
      <c r="Q213" s="30">
        <v>1</v>
      </c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0</v>
      </c>
      <c r="AE213" s="2">
        <f t="shared" si="78"/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4"/>
      <c r="J214" s="33" t="s">
        <v>480</v>
      </c>
      <c r="K214" s="33">
        <v>1</v>
      </c>
      <c r="L214" s="33" t="s">
        <v>298</v>
      </c>
      <c r="M214" s="33" t="s">
        <v>105</v>
      </c>
      <c r="N214" s="34" t="s">
        <v>105</v>
      </c>
      <c r="O214" s="34" t="s">
        <v>860</v>
      </c>
      <c r="P214" s="35">
        <v>1</v>
      </c>
      <c r="Q214" s="33">
        <v>1</v>
      </c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4"/>
      <c r="J215" s="33" t="s">
        <v>790</v>
      </c>
      <c r="K215" s="33">
        <v>99</v>
      </c>
      <c r="L215" s="33" t="s">
        <v>298</v>
      </c>
      <c r="M215" s="33" t="s">
        <v>105</v>
      </c>
      <c r="N215" s="34" t="s">
        <v>105</v>
      </c>
      <c r="O215" s="34" t="s">
        <v>860</v>
      </c>
      <c r="P215" s="35">
        <v>1</v>
      </c>
      <c r="Q215" s="33">
        <v>1</v>
      </c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7"/>
      <c r="J216" s="36" t="s">
        <v>220</v>
      </c>
      <c r="K216" s="36">
        <v>1</v>
      </c>
      <c r="L216" s="36" t="s">
        <v>296</v>
      </c>
      <c r="M216" s="36" t="s">
        <v>312</v>
      </c>
      <c r="N216" s="37" t="s">
        <v>314</v>
      </c>
      <c r="O216" s="37" t="s">
        <v>895</v>
      </c>
      <c r="P216" s="38"/>
      <c r="Q216" s="36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79"/>
        <v>0</v>
      </c>
      <c r="AG216" s="2">
        <f t="shared" si="80"/>
        <v>0</v>
      </c>
      <c r="AH216" s="2">
        <f t="shared" si="81"/>
        <v>0</v>
      </c>
      <c r="AI216" s="2">
        <f t="shared" si="82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181</v>
      </c>
      <c r="G217" s="19" t="s">
        <v>84</v>
      </c>
      <c r="H217" s="19" t="s">
        <v>192</v>
      </c>
      <c r="I217" s="19"/>
      <c r="J217" s="20" t="s">
        <v>62</v>
      </c>
      <c r="K217" s="20">
        <v>1</v>
      </c>
      <c r="L217" s="20" t="s">
        <v>296</v>
      </c>
      <c r="M217" s="20" t="s">
        <v>296</v>
      </c>
      <c r="N217" s="19" t="s">
        <v>198</v>
      </c>
      <c r="O217" s="19"/>
      <c r="P217" s="18"/>
      <c r="Q217" s="20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1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19"/>
      <c r="J218" s="20"/>
      <c r="K218" s="20"/>
      <c r="L218" s="20"/>
      <c r="M218" s="20"/>
      <c r="N218" s="19"/>
      <c r="O218" s="19"/>
      <c r="P218" s="18"/>
      <c r="Q218" s="20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19"/>
      <c r="J219" s="20"/>
      <c r="K219" s="20"/>
      <c r="L219" s="20"/>
      <c r="M219" s="20"/>
      <c r="N219" s="19"/>
      <c r="O219" s="19"/>
      <c r="P219" s="18"/>
      <c r="Q219" s="20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19"/>
      <c r="J220" s="20"/>
      <c r="K220" s="20"/>
      <c r="L220" s="20"/>
      <c r="M220" s="20"/>
      <c r="N220" s="19"/>
      <c r="O220" s="19"/>
      <c r="P220" s="18"/>
      <c r="Q220" s="20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19"/>
      <c r="J221" s="20"/>
      <c r="K221" s="20"/>
      <c r="L221" s="20"/>
      <c r="M221" s="20"/>
      <c r="N221" s="19"/>
      <c r="O221" s="19"/>
      <c r="P221" s="18"/>
      <c r="Q221" s="20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19"/>
      <c r="J222" s="20"/>
      <c r="K222" s="20"/>
      <c r="L222" s="20"/>
      <c r="M222" s="20"/>
      <c r="N222" s="19"/>
      <c r="O222" s="19"/>
      <c r="P222" s="18"/>
      <c r="Q222" s="20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19"/>
      <c r="J223" s="20"/>
      <c r="K223" s="20"/>
      <c r="L223" s="20"/>
      <c r="M223" s="20"/>
      <c r="N223" s="19"/>
      <c r="O223" s="19"/>
      <c r="P223" s="18"/>
      <c r="Q223" s="20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19"/>
      <c r="J224" s="20"/>
      <c r="K224" s="20"/>
      <c r="L224" s="20"/>
      <c r="M224" s="20"/>
      <c r="N224" s="19"/>
      <c r="O224" s="19"/>
      <c r="P224" s="18"/>
      <c r="Q224" s="20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19"/>
      <c r="J225" s="20"/>
      <c r="K225" s="20"/>
      <c r="L225" s="20"/>
      <c r="M225" s="20"/>
      <c r="N225" s="19"/>
      <c r="O225" s="19"/>
      <c r="P225" s="18"/>
      <c r="Q225" s="20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19"/>
      <c r="J226" s="20"/>
      <c r="K226" s="20"/>
      <c r="L226" s="20"/>
      <c r="M226" s="20"/>
      <c r="N226" s="19"/>
      <c r="O226" s="19"/>
      <c r="P226" s="18"/>
      <c r="Q226" s="20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19"/>
      <c r="J227" s="20"/>
      <c r="K227" s="20"/>
      <c r="L227" s="20"/>
      <c r="M227" s="20"/>
      <c r="N227" s="19"/>
      <c r="O227" s="19"/>
      <c r="P227" s="18"/>
      <c r="Q227" s="20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19"/>
      <c r="J228" s="20"/>
      <c r="K228" s="20"/>
      <c r="L228" s="20"/>
      <c r="M228" s="20"/>
      <c r="N228" s="19"/>
      <c r="O228" s="19"/>
      <c r="P228" s="18"/>
      <c r="Q228" s="20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19"/>
      <c r="J229" s="20"/>
      <c r="K229" s="20"/>
      <c r="L229" s="20"/>
      <c r="M229" s="20"/>
      <c r="N229" s="19"/>
      <c r="O229" s="19"/>
      <c r="P229" s="18"/>
      <c r="Q229" s="20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19"/>
      <c r="J230" s="20"/>
      <c r="K230" s="20"/>
      <c r="L230" s="20"/>
      <c r="M230" s="20"/>
      <c r="N230" s="19"/>
      <c r="O230" s="19"/>
      <c r="P230" s="18"/>
      <c r="Q230" s="20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19"/>
      <c r="J231" s="20"/>
      <c r="K231" s="20"/>
      <c r="L231" s="20"/>
      <c r="M231" s="20"/>
      <c r="N231" s="19"/>
      <c r="O231" s="19"/>
      <c r="P231" s="18"/>
      <c r="Q231" s="20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19"/>
      <c r="J232" s="20"/>
      <c r="K232" s="20"/>
      <c r="L232" s="20"/>
      <c r="M232" s="20"/>
      <c r="N232" s="19"/>
      <c r="O232" s="19"/>
      <c r="P232" s="18"/>
      <c r="Q232" s="20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19"/>
      <c r="J233" s="20"/>
      <c r="K233" s="20"/>
      <c r="L233" s="20"/>
      <c r="M233" s="20"/>
      <c r="N233" s="19"/>
      <c r="O233" s="19"/>
      <c r="P233" s="18"/>
      <c r="Q233" s="20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19"/>
      <c r="J234" s="20"/>
      <c r="K234" s="20"/>
      <c r="L234" s="20"/>
      <c r="M234" s="20"/>
      <c r="N234" s="19"/>
      <c r="O234" s="19"/>
      <c r="P234" s="18"/>
      <c r="Q234" s="20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19"/>
      <c r="J235" s="20"/>
      <c r="K235" s="20"/>
      <c r="L235" s="20"/>
      <c r="M235" s="20"/>
      <c r="N235" s="19"/>
      <c r="O235" s="19"/>
      <c r="P235" s="18"/>
      <c r="Q235" s="20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19"/>
      <c r="J236" s="20"/>
      <c r="K236" s="20"/>
      <c r="L236" s="20"/>
      <c r="M236" s="20"/>
      <c r="N236" s="19"/>
      <c r="O236" s="19"/>
      <c r="P236" s="18"/>
      <c r="Q236" s="20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19"/>
      <c r="J237" s="20"/>
      <c r="K237" s="20"/>
      <c r="L237" s="20"/>
      <c r="M237" s="20"/>
      <c r="N237" s="19"/>
      <c r="O237" s="19"/>
      <c r="P237" s="18"/>
      <c r="Q237" s="20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19"/>
      <c r="J238" s="20"/>
      <c r="K238" s="20"/>
      <c r="L238" s="20"/>
      <c r="M238" s="20"/>
      <c r="N238" s="19"/>
      <c r="O238" s="19"/>
      <c r="P238" s="18"/>
      <c r="Q238" s="20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19"/>
      <c r="J239" s="20"/>
      <c r="K239" s="20"/>
      <c r="L239" s="20"/>
      <c r="M239" s="20"/>
      <c r="N239" s="19"/>
      <c r="O239" s="19"/>
      <c r="P239" s="18"/>
      <c r="Q239" s="20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19"/>
      <c r="J240" s="20"/>
      <c r="K240" s="20"/>
      <c r="L240" s="20"/>
      <c r="M240" s="20"/>
      <c r="N240" s="19"/>
      <c r="O240" s="19"/>
      <c r="P240" s="18"/>
      <c r="Q240" s="20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19"/>
      <c r="J241" s="20"/>
      <c r="K241" s="20"/>
      <c r="L241" s="20"/>
      <c r="M241" s="20"/>
      <c r="N241" s="19"/>
      <c r="O241" s="19"/>
      <c r="P241" s="18"/>
      <c r="Q241" s="20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19"/>
      <c r="J242" s="20"/>
      <c r="K242" s="20"/>
      <c r="L242" s="20"/>
      <c r="M242" s="20"/>
      <c r="N242" s="19"/>
      <c r="O242" s="19"/>
      <c r="P242" s="18"/>
      <c r="Q242" s="20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19"/>
      <c r="J243" s="20"/>
      <c r="K243" s="20"/>
      <c r="L243" s="20"/>
      <c r="M243" s="20"/>
      <c r="N243" s="19"/>
      <c r="O243" s="19"/>
      <c r="P243" s="18"/>
      <c r="Q243" s="20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19"/>
      <c r="J244" s="20"/>
      <c r="K244" s="20"/>
      <c r="L244" s="20"/>
      <c r="M244" s="20"/>
      <c r="N244" s="19"/>
      <c r="O244" s="19"/>
      <c r="P244" s="18"/>
      <c r="Q244" s="20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19"/>
      <c r="J245" s="20"/>
      <c r="K245" s="20"/>
      <c r="L245" s="20"/>
      <c r="M245" s="20"/>
      <c r="N245" s="19"/>
      <c r="O245" s="19"/>
      <c r="P245" s="18"/>
      <c r="Q245" s="20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19"/>
      <c r="J246" s="20"/>
      <c r="K246" s="20"/>
      <c r="L246" s="20"/>
      <c r="M246" s="20"/>
      <c r="N246" s="19"/>
      <c r="O246" s="19"/>
      <c r="P246" s="18"/>
      <c r="Q246" s="20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19"/>
      <c r="J247" s="20"/>
      <c r="K247" s="20"/>
      <c r="L247" s="20"/>
      <c r="M247" s="20"/>
      <c r="N247" s="19"/>
      <c r="O247" s="19"/>
      <c r="P247" s="18"/>
      <c r="Q247" s="20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19"/>
      <c r="J248" s="20"/>
      <c r="K248" s="20"/>
      <c r="L248" s="20"/>
      <c r="M248" s="20"/>
      <c r="N248" s="19"/>
      <c r="O248" s="19"/>
      <c r="P248" s="18"/>
      <c r="Q248" s="20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19"/>
      <c r="J249" s="20"/>
      <c r="K249" s="20"/>
      <c r="L249" s="20"/>
      <c r="M249" s="20"/>
      <c r="N249" s="19"/>
      <c r="O249" s="19"/>
      <c r="P249" s="18"/>
      <c r="Q249" s="20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19"/>
      <c r="J250" s="20"/>
      <c r="K250" s="20"/>
      <c r="L250" s="20"/>
      <c r="M250" s="20"/>
      <c r="N250" s="19"/>
      <c r="O250" s="19"/>
      <c r="P250" s="18"/>
      <c r="Q250" s="20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19"/>
      <c r="J251" s="20"/>
      <c r="K251" s="20"/>
      <c r="L251" s="20"/>
      <c r="M251" s="20"/>
      <c r="N251" s="19"/>
      <c r="O251" s="19"/>
      <c r="P251" s="18"/>
      <c r="Q251" s="20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19"/>
      <c r="J252" s="20"/>
      <c r="K252" s="20"/>
      <c r="L252" s="20"/>
      <c r="M252" s="20"/>
      <c r="N252" s="19"/>
      <c r="O252" s="19"/>
      <c r="P252" s="18"/>
      <c r="Q252" s="20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19"/>
      <c r="J253" s="20"/>
      <c r="K253" s="20"/>
      <c r="L253" s="20"/>
      <c r="M253" s="20"/>
      <c r="N253" s="19"/>
      <c r="O253" s="19"/>
      <c r="P253" s="18"/>
      <c r="Q253" s="20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19"/>
      <c r="J254" s="20"/>
      <c r="K254" s="20"/>
      <c r="L254" s="20"/>
      <c r="M254" s="20"/>
      <c r="N254" s="19"/>
      <c r="O254" s="19"/>
      <c r="P254" s="18"/>
      <c r="Q254" s="20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19"/>
      <c r="J255" s="20"/>
      <c r="K255" s="20"/>
      <c r="L255" s="20"/>
      <c r="M255" s="20"/>
      <c r="N255" s="19"/>
      <c r="O255" s="19"/>
      <c r="P255" s="18"/>
      <c r="Q255" s="20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19"/>
      <c r="J256" s="20"/>
      <c r="K256" s="20"/>
      <c r="L256" s="20"/>
      <c r="M256" s="20"/>
      <c r="N256" s="19"/>
      <c r="O256" s="19"/>
      <c r="P256" s="18"/>
      <c r="Q256" s="20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19"/>
      <c r="J257" s="20"/>
      <c r="K257" s="20"/>
      <c r="L257" s="20"/>
      <c r="M257" s="20"/>
      <c r="N257" s="19"/>
      <c r="O257" s="19"/>
      <c r="P257" s="18"/>
      <c r="Q257" s="20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19"/>
      <c r="J258" s="20"/>
      <c r="K258" s="20"/>
      <c r="L258" s="20"/>
      <c r="M258" s="20"/>
      <c r="N258" s="19"/>
      <c r="O258" s="19"/>
      <c r="P258" s="18"/>
      <c r="Q258" s="20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19"/>
      <c r="J259" s="20"/>
      <c r="K259" s="20"/>
      <c r="L259" s="20"/>
      <c r="M259" s="20"/>
      <c r="N259" s="19"/>
      <c r="O259" s="19"/>
      <c r="P259" s="18"/>
      <c r="Q259" s="20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19"/>
      <c r="J260" s="20"/>
      <c r="K260" s="20"/>
      <c r="L260" s="20"/>
      <c r="M260" s="20"/>
      <c r="N260" s="19"/>
      <c r="O260" s="19"/>
      <c r="P260" s="18"/>
      <c r="Q260" s="20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19"/>
      <c r="J261" s="20"/>
      <c r="K261" s="20"/>
      <c r="L261" s="20"/>
      <c r="M261" s="20"/>
      <c r="N261" s="19"/>
      <c r="O261" s="19"/>
      <c r="P261" s="18"/>
      <c r="Q261" s="20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19"/>
      <c r="J262" s="20"/>
      <c r="K262" s="20"/>
      <c r="L262" s="20"/>
      <c r="M262" s="20"/>
      <c r="N262" s="19"/>
      <c r="O262" s="19"/>
      <c r="P262" s="18"/>
      <c r="Q262" s="20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19"/>
      <c r="J263" s="20"/>
      <c r="K263" s="20"/>
      <c r="L263" s="20"/>
      <c r="M263" s="20"/>
      <c r="N263" s="19"/>
      <c r="O263" s="19"/>
      <c r="P263" s="18"/>
      <c r="Q263" s="20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19"/>
      <c r="J264" s="20"/>
      <c r="K264" s="20"/>
      <c r="L264" s="20"/>
      <c r="M264" s="20"/>
      <c r="N264" s="19"/>
      <c r="O264" s="19"/>
      <c r="P264" s="18"/>
      <c r="Q264" s="20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19"/>
      <c r="J265" s="20"/>
      <c r="K265" s="20"/>
      <c r="L265" s="20"/>
      <c r="M265" s="20"/>
      <c r="N265" s="19"/>
      <c r="O265" s="19"/>
      <c r="P265" s="18"/>
      <c r="Q265" s="20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19"/>
      <c r="J266" s="20"/>
      <c r="K266" s="20"/>
      <c r="L266" s="20"/>
      <c r="M266" s="20"/>
      <c r="N266" s="19"/>
      <c r="O266" s="19"/>
      <c r="P266" s="18"/>
      <c r="Q266" s="20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19"/>
      <c r="J267" s="20"/>
      <c r="K267" s="20"/>
      <c r="L267" s="20"/>
      <c r="M267" s="20"/>
      <c r="N267" s="19"/>
      <c r="O267" s="19"/>
      <c r="P267" s="18"/>
      <c r="Q267" s="20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19"/>
      <c r="J268" s="20"/>
      <c r="K268" s="20"/>
      <c r="L268" s="20"/>
      <c r="M268" s="20"/>
      <c r="N268" s="19"/>
      <c r="O268" s="19"/>
      <c r="P268" s="18"/>
      <c r="Q268" s="20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19"/>
      <c r="J269" s="20"/>
      <c r="K269" s="20"/>
      <c r="L269" s="20"/>
      <c r="M269" s="20"/>
      <c r="N269" s="19"/>
      <c r="O269" s="19"/>
      <c r="P269" s="18"/>
      <c r="Q269" s="20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19"/>
      <c r="J270" s="20"/>
      <c r="K270" s="20"/>
      <c r="L270" s="20"/>
      <c r="M270" s="20"/>
      <c r="N270" s="19"/>
      <c r="O270" s="19"/>
      <c r="P270" s="18"/>
      <c r="Q270" s="20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19"/>
      <c r="J271" s="20"/>
      <c r="K271" s="20"/>
      <c r="L271" s="20"/>
      <c r="M271" s="20"/>
      <c r="N271" s="19"/>
      <c r="O271" s="19"/>
      <c r="P271" s="18"/>
      <c r="Q271" s="20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19"/>
      <c r="J272" s="20"/>
      <c r="K272" s="20"/>
      <c r="L272" s="20"/>
      <c r="M272" s="20"/>
      <c r="N272" s="19"/>
      <c r="O272" s="19"/>
      <c r="P272" s="18"/>
      <c r="Q272" s="20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19"/>
      <c r="J273" s="20"/>
      <c r="K273" s="20"/>
      <c r="L273" s="20"/>
      <c r="M273" s="20"/>
      <c r="N273" s="19"/>
      <c r="O273" s="19"/>
      <c r="P273" s="18"/>
      <c r="Q273" s="20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19"/>
      <c r="J274" s="20"/>
      <c r="K274" s="20"/>
      <c r="L274" s="20"/>
      <c r="M274" s="20"/>
      <c r="N274" s="19"/>
      <c r="O274" s="19"/>
      <c r="P274" s="18"/>
      <c r="Q274" s="20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19"/>
      <c r="J275" s="20"/>
      <c r="K275" s="20"/>
      <c r="L275" s="20"/>
      <c r="M275" s="20"/>
      <c r="N275" s="19"/>
      <c r="O275" s="19"/>
      <c r="P275" s="18"/>
      <c r="Q275" s="20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19"/>
      <c r="J276" s="20"/>
      <c r="K276" s="20"/>
      <c r="L276" s="20"/>
      <c r="M276" s="20"/>
      <c r="N276" s="19"/>
      <c r="O276" s="19"/>
      <c r="P276" s="18"/>
      <c r="Q276" s="20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19"/>
      <c r="J277" s="20"/>
      <c r="K277" s="20"/>
      <c r="L277" s="20"/>
      <c r="M277" s="20"/>
      <c r="N277" s="19"/>
      <c r="O277" s="19"/>
      <c r="P277" s="18"/>
      <c r="Q277" s="20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19"/>
      <c r="J278" s="20"/>
      <c r="K278" s="20"/>
      <c r="L278" s="20"/>
      <c r="M278" s="20"/>
      <c r="N278" s="19"/>
      <c r="O278" s="19"/>
      <c r="P278" s="18"/>
      <c r="Q278" s="20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19"/>
      <c r="J279" s="20"/>
      <c r="K279" s="20"/>
      <c r="L279" s="20"/>
      <c r="M279" s="20"/>
      <c r="N279" s="19"/>
      <c r="O279" s="19"/>
      <c r="P279" s="18"/>
      <c r="Q279" s="20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19"/>
      <c r="J280" s="20"/>
      <c r="K280" s="20"/>
      <c r="L280" s="20"/>
      <c r="M280" s="20"/>
      <c r="N280" s="19"/>
      <c r="O280" s="19"/>
      <c r="P280" s="18"/>
      <c r="Q280" s="20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19"/>
      <c r="J281" s="20"/>
      <c r="K281" s="20"/>
      <c r="L281" s="20"/>
      <c r="M281" s="20"/>
      <c r="N281" s="19"/>
      <c r="O281" s="19"/>
      <c r="P281" s="18"/>
      <c r="Q281" s="20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19"/>
      <c r="J282" s="20"/>
      <c r="K282" s="20"/>
      <c r="L282" s="20"/>
      <c r="M282" s="20"/>
      <c r="N282" s="19"/>
      <c r="O282" s="19"/>
      <c r="P282" s="18"/>
      <c r="Q282" s="20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19"/>
      <c r="J283" s="20"/>
      <c r="K283" s="20"/>
      <c r="L283" s="20"/>
      <c r="M283" s="20"/>
      <c r="N283" s="19"/>
      <c r="O283" s="19"/>
      <c r="P283" s="18"/>
      <c r="Q283" s="20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19"/>
      <c r="J284" s="20"/>
      <c r="K284" s="20"/>
      <c r="L284" s="20"/>
      <c r="M284" s="20"/>
      <c r="N284" s="19"/>
      <c r="O284" s="19"/>
      <c r="P284" s="18"/>
      <c r="Q284" s="20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19"/>
      <c r="J285" s="20"/>
      <c r="K285" s="20"/>
      <c r="L285" s="20"/>
      <c r="M285" s="20"/>
      <c r="N285" s="19"/>
      <c r="O285" s="19"/>
      <c r="P285" s="18"/>
      <c r="Q285" s="20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19"/>
      <c r="J286" s="20"/>
      <c r="K286" s="20"/>
      <c r="L286" s="20"/>
      <c r="M286" s="20"/>
      <c r="N286" s="19"/>
      <c r="O286" s="19"/>
      <c r="P286" s="18"/>
      <c r="Q286" s="20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19"/>
      <c r="J287" s="20"/>
      <c r="K287" s="20"/>
      <c r="L287" s="20"/>
      <c r="M287" s="20"/>
      <c r="N287" s="19"/>
      <c r="O287" s="19"/>
      <c r="P287" s="18"/>
      <c r="Q287" s="20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19"/>
      <c r="J288" s="20"/>
      <c r="K288" s="20"/>
      <c r="L288" s="20"/>
      <c r="M288" s="20"/>
      <c r="N288" s="19"/>
      <c r="O288" s="19"/>
      <c r="P288" s="18"/>
      <c r="Q288" s="20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19"/>
      <c r="J289" s="20"/>
      <c r="K289" s="20"/>
      <c r="L289" s="20"/>
      <c r="M289" s="20"/>
      <c r="N289" s="19"/>
      <c r="O289" s="19"/>
      <c r="P289" s="18"/>
      <c r="Q289" s="20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19"/>
      <c r="J290" s="20"/>
      <c r="K290" s="20"/>
      <c r="L290" s="20"/>
      <c r="M290" s="20"/>
      <c r="N290" s="19"/>
      <c r="O290" s="19"/>
      <c r="P290" s="18"/>
      <c r="Q290" s="20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19"/>
      <c r="J291" s="20"/>
      <c r="K291" s="20"/>
      <c r="L291" s="20"/>
      <c r="M291" s="20"/>
      <c r="N291" s="19"/>
      <c r="O291" s="19"/>
      <c r="P291" s="18"/>
      <c r="Q291" s="20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19"/>
      <c r="J292" s="20"/>
      <c r="K292" s="20"/>
      <c r="L292" s="20"/>
      <c r="M292" s="20"/>
      <c r="N292" s="19"/>
      <c r="O292" s="19"/>
      <c r="P292" s="18"/>
      <c r="Q292" s="20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19"/>
      <c r="J293" s="20"/>
      <c r="K293" s="20"/>
      <c r="L293" s="20"/>
      <c r="M293" s="20"/>
      <c r="N293" s="19"/>
      <c r="O293" s="19"/>
      <c r="P293" s="18"/>
      <c r="Q293" s="20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19"/>
      <c r="J294" s="20"/>
      <c r="K294" s="20"/>
      <c r="L294" s="20"/>
      <c r="M294" s="20"/>
      <c r="N294" s="19"/>
      <c r="O294" s="19"/>
      <c r="P294" s="18"/>
      <c r="Q294" s="20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19"/>
      <c r="J295" s="20"/>
      <c r="K295" s="20"/>
      <c r="L295" s="20"/>
      <c r="M295" s="20"/>
      <c r="N295" s="19"/>
      <c r="O295" s="19"/>
      <c r="P295" s="18"/>
      <c r="Q295" s="20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19"/>
      <c r="J296" s="20"/>
      <c r="K296" s="20"/>
      <c r="L296" s="20"/>
      <c r="M296" s="20"/>
      <c r="N296" s="19"/>
      <c r="O296" s="19"/>
      <c r="P296" s="18"/>
      <c r="Q296" s="20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19"/>
      <c r="J297" s="20"/>
      <c r="K297" s="20"/>
      <c r="L297" s="20"/>
      <c r="M297" s="20"/>
      <c r="N297" s="19"/>
      <c r="O297" s="19"/>
      <c r="P297" s="18"/>
      <c r="Q297" s="20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19"/>
      <c r="J298" s="20"/>
      <c r="K298" s="20"/>
      <c r="L298" s="20"/>
      <c r="M298" s="20"/>
      <c r="N298" s="19"/>
      <c r="O298" s="19"/>
      <c r="P298" s="18"/>
      <c r="Q298" s="20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19"/>
      <c r="J299" s="20"/>
      <c r="K299" s="20"/>
      <c r="L299" s="20"/>
      <c r="M299" s="20"/>
      <c r="N299" s="19"/>
      <c r="O299" s="19"/>
      <c r="P299" s="18"/>
      <c r="Q299" s="20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19"/>
      <c r="J300" s="20"/>
      <c r="K300" s="20"/>
      <c r="L300" s="20"/>
      <c r="M300" s="20"/>
      <c r="N300" s="19"/>
      <c r="O300" s="19"/>
      <c r="P300" s="18"/>
      <c r="Q300" s="20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19"/>
      <c r="J301" s="20"/>
      <c r="K301" s="20"/>
      <c r="L301" s="20"/>
      <c r="M301" s="20"/>
      <c r="N301" s="19"/>
      <c r="O301" s="19"/>
      <c r="P301" s="18"/>
      <c r="Q301" s="20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19"/>
      <c r="J302" s="20"/>
      <c r="K302" s="20"/>
      <c r="L302" s="20"/>
      <c r="M302" s="20"/>
      <c r="N302" s="19"/>
      <c r="O302" s="19"/>
      <c r="P302" s="18"/>
      <c r="Q302" s="20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19"/>
      <c r="J303" s="20"/>
      <c r="K303" s="20"/>
      <c r="L303" s="20"/>
      <c r="M303" s="20"/>
      <c r="N303" s="19"/>
      <c r="O303" s="19"/>
      <c r="P303" s="18"/>
      <c r="Q303" s="20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19"/>
      <c r="J304" s="20"/>
      <c r="K304" s="20"/>
      <c r="L304" s="20"/>
      <c r="M304" s="20"/>
      <c r="N304" s="19"/>
      <c r="O304" s="19"/>
      <c r="P304" s="18"/>
      <c r="Q304" s="20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19"/>
      <c r="J305" s="20"/>
      <c r="K305" s="20"/>
      <c r="L305" s="20"/>
      <c r="M305" s="20"/>
      <c r="N305" s="19"/>
      <c r="O305" s="19"/>
      <c r="P305" s="18"/>
      <c r="Q305" s="20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19"/>
      <c r="J306" s="20"/>
      <c r="K306" s="20"/>
      <c r="L306" s="20"/>
      <c r="M306" s="20"/>
      <c r="N306" s="19"/>
      <c r="O306" s="19"/>
      <c r="P306" s="18"/>
      <c r="Q306" s="20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19"/>
      <c r="J307" s="20"/>
      <c r="K307" s="20"/>
      <c r="L307" s="20"/>
      <c r="M307" s="20"/>
      <c r="N307" s="19"/>
      <c r="O307" s="19"/>
      <c r="P307" s="18"/>
      <c r="Q307" s="20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19"/>
      <c r="J308" s="20"/>
      <c r="K308" s="20"/>
      <c r="L308" s="20"/>
      <c r="M308" s="20"/>
      <c r="N308" s="19"/>
      <c r="O308" s="19"/>
      <c r="P308" s="18"/>
      <c r="Q308" s="20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19"/>
      <c r="J309" s="20"/>
      <c r="K309" s="20"/>
      <c r="L309" s="20"/>
      <c r="M309" s="20"/>
      <c r="N309" s="19"/>
      <c r="O309" s="19"/>
      <c r="P309" s="18"/>
      <c r="Q309" s="20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19"/>
      <c r="J310" s="20"/>
      <c r="K310" s="20"/>
      <c r="L310" s="20"/>
      <c r="M310" s="20"/>
      <c r="N310" s="19"/>
      <c r="O310" s="19"/>
      <c r="P310" s="18"/>
      <c r="Q310" s="20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19"/>
      <c r="J311" s="20"/>
      <c r="K311" s="20"/>
      <c r="L311" s="20"/>
      <c r="M311" s="20"/>
      <c r="N311" s="19"/>
      <c r="O311" s="19"/>
      <c r="P311" s="18"/>
      <c r="Q311" s="20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19"/>
      <c r="J312" s="20"/>
      <c r="K312" s="20"/>
      <c r="L312" s="20"/>
      <c r="M312" s="20"/>
      <c r="N312" s="19"/>
      <c r="O312" s="19"/>
      <c r="P312" s="18"/>
      <c r="Q312" s="20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19"/>
      <c r="J313" s="20"/>
      <c r="K313" s="20"/>
      <c r="L313" s="20"/>
      <c r="M313" s="20"/>
      <c r="N313" s="19"/>
      <c r="O313" s="19"/>
      <c r="P313" s="18"/>
      <c r="Q313" s="20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19"/>
      <c r="J314" s="20"/>
      <c r="K314" s="20"/>
      <c r="L314" s="20"/>
      <c r="M314" s="20"/>
      <c r="N314" s="19"/>
      <c r="O314" s="19"/>
      <c r="P314" s="18"/>
      <c r="Q314" s="20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19"/>
      <c r="J315" s="20"/>
      <c r="K315" s="20"/>
      <c r="L315" s="20"/>
      <c r="M315" s="20"/>
      <c r="N315" s="19"/>
      <c r="O315" s="19"/>
      <c r="P315" s="18"/>
      <c r="Q315" s="20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19"/>
      <c r="J316" s="20"/>
      <c r="K316" s="20"/>
      <c r="L316" s="20"/>
      <c r="M316" s="20"/>
      <c r="N316" s="19"/>
      <c r="O316" s="19"/>
      <c r="P316" s="18"/>
      <c r="Q316" s="20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19"/>
      <c r="J317" s="20"/>
      <c r="K317" s="20"/>
      <c r="L317" s="20"/>
      <c r="M317" s="20"/>
      <c r="N317" s="19"/>
      <c r="O317" s="19"/>
      <c r="P317" s="18"/>
      <c r="Q317" s="20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K7:K162"/>
    </sortState>
  </autoFilter>
  <sortState xmlns:xlrd2="http://schemas.microsoft.com/office/spreadsheetml/2017/richdata2" ref="A7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2026-05-19T13:29:09Z</dcterms:modified>
</cp:coreProperties>
</file>