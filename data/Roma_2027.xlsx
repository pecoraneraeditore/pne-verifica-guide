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rg\Dropbox\PNE Simone\Guide\"/>
    </mc:Choice>
  </mc:AlternateContent>
  <xr:revisionPtr revIDLastSave="0" documentId="13_ncr:1_{CE2990AF-43C1-4FB7-9B30-0C8E7F4AF455}" xr6:coauthVersionLast="47" xr6:coauthVersionMax="47" xr10:uidLastSave="{00000000-0000-0000-0000-000000000000}"/>
  <bookViews>
    <workbookView xWindow="-120" yWindow="-120" windowWidth="29040" windowHeight="15840" tabRatio="665" xr2:uid="{370BB6BA-2F30-4775-942F-04016D8D18C4}"/>
  </bookViews>
  <sheets>
    <sheet name="Tavole e pause golose" sheetId="6" r:id="rId1"/>
  </sheets>
  <definedNames>
    <definedName name="_xlnm._FilterDatabase" localSheetId="0" hidden="1">'Tavole e pause golose'!$A$7:$Q$465</definedName>
    <definedName name="_xlnm.Print_Area" localSheetId="0">'Tavole e pause golose'!$D$7:$I$172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9" i="6" l="1"/>
  <c r="S369" i="6"/>
  <c r="T369" i="6"/>
  <c r="U369" i="6"/>
  <c r="V369" i="6"/>
  <c r="W369" i="6"/>
  <c r="X369" i="6"/>
  <c r="Y369" i="6"/>
  <c r="Z369" i="6"/>
  <c r="AA369" i="6"/>
  <c r="AC369" i="6"/>
  <c r="AD369" i="6"/>
  <c r="AE369" i="6"/>
  <c r="AF369" i="6"/>
  <c r="AG369" i="6"/>
  <c r="AH369" i="6"/>
  <c r="R370" i="6"/>
  <c r="S370" i="6"/>
  <c r="T370" i="6"/>
  <c r="U370" i="6"/>
  <c r="V370" i="6"/>
  <c r="W370" i="6"/>
  <c r="X370" i="6"/>
  <c r="Y370" i="6"/>
  <c r="Z370" i="6"/>
  <c r="AA370" i="6"/>
  <c r="AC370" i="6"/>
  <c r="AD370" i="6"/>
  <c r="AE370" i="6"/>
  <c r="AF370" i="6"/>
  <c r="AG370" i="6"/>
  <c r="AH370" i="6"/>
  <c r="R371" i="6"/>
  <c r="S371" i="6"/>
  <c r="T371" i="6"/>
  <c r="U371" i="6"/>
  <c r="V371" i="6"/>
  <c r="W371" i="6"/>
  <c r="X371" i="6"/>
  <c r="Y371" i="6"/>
  <c r="Z371" i="6"/>
  <c r="AA371" i="6"/>
  <c r="AC371" i="6"/>
  <c r="AD371" i="6"/>
  <c r="AE371" i="6"/>
  <c r="AF371" i="6"/>
  <c r="AG371" i="6"/>
  <c r="AH371" i="6"/>
  <c r="AC444" i="6"/>
  <c r="AD444" i="6"/>
  <c r="AC445" i="6"/>
  <c r="AD445" i="6"/>
  <c r="R444" i="6"/>
  <c r="AE444" i="6"/>
  <c r="AF444" i="6"/>
  <c r="AG444" i="6"/>
  <c r="AH444" i="6"/>
  <c r="R91" i="6"/>
  <c r="AC91" i="6"/>
  <c r="AD91" i="6"/>
  <c r="AE91" i="6"/>
  <c r="AF91" i="6"/>
  <c r="AG91" i="6"/>
  <c r="AH91" i="6"/>
  <c r="R92" i="6"/>
  <c r="AC92" i="6"/>
  <c r="AD92" i="6"/>
  <c r="AE92" i="6"/>
  <c r="AF92" i="6"/>
  <c r="AG92" i="6"/>
  <c r="AH92" i="6"/>
  <c r="R93" i="6"/>
  <c r="AC93" i="6"/>
  <c r="AD93" i="6"/>
  <c r="AE93" i="6"/>
  <c r="AF93" i="6"/>
  <c r="AG93" i="6"/>
  <c r="AH93" i="6"/>
  <c r="AC454" i="6"/>
  <c r="AD454" i="6"/>
  <c r="AC455" i="6"/>
  <c r="AD455" i="6"/>
  <c r="AC456" i="6"/>
  <c r="AD456" i="6"/>
  <c r="AC457" i="6"/>
  <c r="AD457" i="6"/>
  <c r="R455" i="6"/>
  <c r="AE455" i="6"/>
  <c r="AF455" i="6"/>
  <c r="AG455" i="6"/>
  <c r="AH455" i="6"/>
  <c r="AC458" i="6"/>
  <c r="AD458" i="6"/>
  <c r="R458" i="6"/>
  <c r="AE458" i="6"/>
  <c r="AF458" i="6"/>
  <c r="AG458" i="6"/>
  <c r="AH458" i="6"/>
  <c r="R74" i="6"/>
  <c r="AC74" i="6"/>
  <c r="AD74" i="6"/>
  <c r="AE74" i="6"/>
  <c r="AF74" i="6"/>
  <c r="AG74" i="6"/>
  <c r="AH74" i="6"/>
  <c r="R75" i="6"/>
  <c r="AC75" i="6"/>
  <c r="AD75" i="6"/>
  <c r="AE75" i="6"/>
  <c r="AF75" i="6"/>
  <c r="AG75" i="6"/>
  <c r="AH75" i="6"/>
  <c r="R12" i="6"/>
  <c r="AC12" i="6"/>
  <c r="AD12" i="6"/>
  <c r="AE12" i="6"/>
  <c r="AF12" i="6"/>
  <c r="AG12" i="6"/>
  <c r="AH12" i="6"/>
  <c r="R13" i="6"/>
  <c r="AC13" i="6"/>
  <c r="AD13" i="6"/>
  <c r="AE13" i="6"/>
  <c r="AF13" i="6"/>
  <c r="AG13" i="6"/>
  <c r="AH13" i="6"/>
  <c r="R14" i="6"/>
  <c r="AC14" i="6"/>
  <c r="AD14" i="6"/>
  <c r="AE14" i="6"/>
  <c r="AF14" i="6"/>
  <c r="AG14" i="6"/>
  <c r="AH14" i="6"/>
  <c r="R15" i="6"/>
  <c r="AC15" i="6"/>
  <c r="AD15" i="6"/>
  <c r="AE15" i="6"/>
  <c r="AF15" i="6"/>
  <c r="AG15" i="6"/>
  <c r="AH15" i="6"/>
  <c r="R16" i="6"/>
  <c r="AC16" i="6"/>
  <c r="AD16" i="6"/>
  <c r="AE16" i="6"/>
  <c r="AF16" i="6"/>
  <c r="AG16" i="6"/>
  <c r="AH16" i="6"/>
  <c r="R17" i="6"/>
  <c r="AC17" i="6"/>
  <c r="AD17" i="6"/>
  <c r="AE17" i="6"/>
  <c r="AF17" i="6"/>
  <c r="AG17" i="6"/>
  <c r="AH17" i="6"/>
  <c r="R18" i="6"/>
  <c r="AC18" i="6"/>
  <c r="AD18" i="6"/>
  <c r="AE18" i="6"/>
  <c r="AF18" i="6"/>
  <c r="AG18" i="6"/>
  <c r="AH18" i="6"/>
  <c r="R19" i="6"/>
  <c r="AC19" i="6"/>
  <c r="AD19" i="6"/>
  <c r="AE19" i="6"/>
  <c r="AF19" i="6"/>
  <c r="AG19" i="6"/>
  <c r="AH19" i="6"/>
  <c r="R20" i="6"/>
  <c r="AC20" i="6"/>
  <c r="AD20" i="6"/>
  <c r="AE20" i="6"/>
  <c r="AF20" i="6"/>
  <c r="AG20" i="6"/>
  <c r="AH20" i="6"/>
  <c r="R21" i="6"/>
  <c r="AC21" i="6"/>
  <c r="AD21" i="6"/>
  <c r="AE21" i="6"/>
  <c r="AF21" i="6"/>
  <c r="AG21" i="6"/>
  <c r="AH21" i="6"/>
  <c r="R22" i="6"/>
  <c r="AC22" i="6"/>
  <c r="AD22" i="6"/>
  <c r="AE22" i="6"/>
  <c r="AF22" i="6"/>
  <c r="AG22" i="6"/>
  <c r="AH22" i="6"/>
  <c r="R23" i="6"/>
  <c r="AC23" i="6"/>
  <c r="AD23" i="6"/>
  <c r="AE23" i="6"/>
  <c r="AF23" i="6"/>
  <c r="AG23" i="6"/>
  <c r="AH23" i="6"/>
  <c r="R24" i="6"/>
  <c r="AC24" i="6"/>
  <c r="AD24" i="6"/>
  <c r="AE24" i="6"/>
  <c r="AF24" i="6"/>
  <c r="AG24" i="6"/>
  <c r="AH24" i="6"/>
  <c r="R25" i="6"/>
  <c r="AC25" i="6"/>
  <c r="AD25" i="6"/>
  <c r="AE25" i="6"/>
  <c r="AF25" i="6"/>
  <c r="AG25" i="6"/>
  <c r="AH25" i="6"/>
  <c r="R26" i="6"/>
  <c r="AC26" i="6"/>
  <c r="AD26" i="6"/>
  <c r="AE26" i="6"/>
  <c r="AF26" i="6"/>
  <c r="AG26" i="6"/>
  <c r="AH26" i="6"/>
  <c r="R27" i="6"/>
  <c r="AC27" i="6"/>
  <c r="AD27" i="6"/>
  <c r="AE27" i="6"/>
  <c r="AF27" i="6"/>
  <c r="AG27" i="6"/>
  <c r="AH27" i="6"/>
  <c r="R28" i="6"/>
  <c r="AC28" i="6"/>
  <c r="AD28" i="6"/>
  <c r="AE28" i="6"/>
  <c r="AF28" i="6"/>
  <c r="AG28" i="6"/>
  <c r="AH28" i="6"/>
  <c r="R29" i="6"/>
  <c r="AC29" i="6"/>
  <c r="AD29" i="6"/>
  <c r="AE29" i="6"/>
  <c r="AF29" i="6"/>
  <c r="AG29" i="6"/>
  <c r="AH29" i="6"/>
  <c r="R30" i="6"/>
  <c r="AC30" i="6"/>
  <c r="AD30" i="6"/>
  <c r="AE30" i="6"/>
  <c r="AF30" i="6"/>
  <c r="AG30" i="6"/>
  <c r="AH30" i="6"/>
  <c r="R31" i="6"/>
  <c r="AC31" i="6"/>
  <c r="AD31" i="6"/>
  <c r="AE31" i="6"/>
  <c r="AF31" i="6"/>
  <c r="AG31" i="6"/>
  <c r="AH31" i="6"/>
  <c r="R32" i="6"/>
  <c r="AC32" i="6"/>
  <c r="AD32" i="6"/>
  <c r="AE32" i="6"/>
  <c r="AF32" i="6"/>
  <c r="AG32" i="6"/>
  <c r="AH32" i="6"/>
  <c r="R33" i="6"/>
  <c r="AC33" i="6"/>
  <c r="AD33" i="6"/>
  <c r="AE33" i="6"/>
  <c r="AF33" i="6"/>
  <c r="AG33" i="6"/>
  <c r="AH33" i="6"/>
  <c r="R34" i="6"/>
  <c r="AC34" i="6"/>
  <c r="AD34" i="6"/>
  <c r="AE34" i="6"/>
  <c r="AF34" i="6"/>
  <c r="AG34" i="6"/>
  <c r="AH34" i="6"/>
  <c r="R35" i="6"/>
  <c r="AC35" i="6"/>
  <c r="AD35" i="6"/>
  <c r="AE35" i="6"/>
  <c r="AF35" i="6"/>
  <c r="AG35" i="6"/>
  <c r="AH35" i="6"/>
  <c r="R36" i="6"/>
  <c r="AC36" i="6"/>
  <c r="AD36" i="6"/>
  <c r="AE36" i="6"/>
  <c r="AF36" i="6"/>
  <c r="AG36" i="6"/>
  <c r="AH36" i="6"/>
  <c r="R37" i="6"/>
  <c r="AC37" i="6"/>
  <c r="AD37" i="6"/>
  <c r="AE37" i="6"/>
  <c r="AF37" i="6"/>
  <c r="AG37" i="6"/>
  <c r="AH37" i="6"/>
  <c r="R38" i="6"/>
  <c r="AC38" i="6"/>
  <c r="AD38" i="6"/>
  <c r="AE38" i="6"/>
  <c r="AF38" i="6"/>
  <c r="AG38" i="6"/>
  <c r="AH38" i="6"/>
  <c r="R39" i="6"/>
  <c r="AC39" i="6"/>
  <c r="AD39" i="6"/>
  <c r="AE39" i="6"/>
  <c r="AF39" i="6"/>
  <c r="AG39" i="6"/>
  <c r="AH39" i="6"/>
  <c r="R40" i="6"/>
  <c r="AC40" i="6"/>
  <c r="AD40" i="6"/>
  <c r="AE40" i="6"/>
  <c r="AF40" i="6"/>
  <c r="AG40" i="6"/>
  <c r="AH40" i="6"/>
  <c r="R41" i="6"/>
  <c r="AC41" i="6"/>
  <c r="AD41" i="6"/>
  <c r="AE41" i="6"/>
  <c r="AF41" i="6"/>
  <c r="AG41" i="6"/>
  <c r="AH41" i="6"/>
  <c r="R42" i="6"/>
  <c r="AC42" i="6"/>
  <c r="AD42" i="6"/>
  <c r="AE42" i="6"/>
  <c r="AF42" i="6"/>
  <c r="AG42" i="6"/>
  <c r="AH42" i="6"/>
  <c r="R43" i="6"/>
  <c r="AC43" i="6"/>
  <c r="AD43" i="6"/>
  <c r="AE43" i="6"/>
  <c r="AF43" i="6"/>
  <c r="AG43" i="6"/>
  <c r="AH43" i="6"/>
  <c r="R44" i="6"/>
  <c r="AC44" i="6"/>
  <c r="AD44" i="6"/>
  <c r="AE44" i="6"/>
  <c r="AF44" i="6"/>
  <c r="AG44" i="6"/>
  <c r="AH44" i="6"/>
  <c r="R45" i="6"/>
  <c r="AC45" i="6"/>
  <c r="AD45" i="6"/>
  <c r="AE45" i="6"/>
  <c r="AF45" i="6"/>
  <c r="AG45" i="6"/>
  <c r="AH45" i="6"/>
  <c r="R46" i="6"/>
  <c r="AC46" i="6"/>
  <c r="AD46" i="6"/>
  <c r="AE46" i="6"/>
  <c r="AF46" i="6"/>
  <c r="AG46" i="6"/>
  <c r="AH46" i="6"/>
  <c r="R47" i="6"/>
  <c r="AC47" i="6"/>
  <c r="AD47" i="6"/>
  <c r="AE47" i="6"/>
  <c r="AF47" i="6"/>
  <c r="AG47" i="6"/>
  <c r="AH47" i="6"/>
  <c r="R48" i="6"/>
  <c r="AC48" i="6"/>
  <c r="AD48" i="6"/>
  <c r="AE48" i="6"/>
  <c r="AF48" i="6"/>
  <c r="AG48" i="6"/>
  <c r="AH48" i="6"/>
  <c r="R49" i="6"/>
  <c r="AC49" i="6"/>
  <c r="AD49" i="6"/>
  <c r="AE49" i="6"/>
  <c r="AF49" i="6"/>
  <c r="AG49" i="6"/>
  <c r="AH49" i="6"/>
  <c r="R50" i="6"/>
  <c r="AC50" i="6"/>
  <c r="AD50" i="6"/>
  <c r="AE50" i="6"/>
  <c r="AF50" i="6"/>
  <c r="AG50" i="6"/>
  <c r="AH50" i="6"/>
  <c r="R51" i="6"/>
  <c r="AC51" i="6"/>
  <c r="AD51" i="6"/>
  <c r="AE51" i="6"/>
  <c r="AF51" i="6"/>
  <c r="AG51" i="6"/>
  <c r="AH51" i="6"/>
  <c r="R52" i="6"/>
  <c r="AC52" i="6"/>
  <c r="AD52" i="6"/>
  <c r="AE52" i="6"/>
  <c r="AF52" i="6"/>
  <c r="AG52" i="6"/>
  <c r="AH52" i="6"/>
  <c r="R53" i="6"/>
  <c r="AC53" i="6"/>
  <c r="AD53" i="6"/>
  <c r="AE53" i="6"/>
  <c r="AF53" i="6"/>
  <c r="AG53" i="6"/>
  <c r="AH53" i="6"/>
  <c r="R54" i="6"/>
  <c r="AC54" i="6"/>
  <c r="AD54" i="6"/>
  <c r="AE54" i="6"/>
  <c r="AF54" i="6"/>
  <c r="AG54" i="6"/>
  <c r="AH54" i="6"/>
  <c r="R55" i="6"/>
  <c r="AC55" i="6"/>
  <c r="AD55" i="6"/>
  <c r="AE55" i="6"/>
  <c r="AF55" i="6"/>
  <c r="AG55" i="6"/>
  <c r="AH55" i="6"/>
  <c r="R56" i="6"/>
  <c r="AC56" i="6"/>
  <c r="AD56" i="6"/>
  <c r="AE56" i="6"/>
  <c r="AF56" i="6"/>
  <c r="AG56" i="6"/>
  <c r="AH56" i="6"/>
  <c r="R57" i="6"/>
  <c r="AC57" i="6"/>
  <c r="AD57" i="6"/>
  <c r="AE57" i="6"/>
  <c r="AF57" i="6"/>
  <c r="AG57" i="6"/>
  <c r="AH57" i="6"/>
  <c r="R58" i="6"/>
  <c r="AC58" i="6"/>
  <c r="AD58" i="6"/>
  <c r="AE58" i="6"/>
  <c r="AF58" i="6"/>
  <c r="AG58" i="6"/>
  <c r="AH58" i="6"/>
  <c r="R59" i="6"/>
  <c r="AC59" i="6"/>
  <c r="AD59" i="6"/>
  <c r="AE59" i="6"/>
  <c r="AF59" i="6"/>
  <c r="AG59" i="6"/>
  <c r="AH59" i="6"/>
  <c r="R60" i="6"/>
  <c r="AC60" i="6"/>
  <c r="AD60" i="6"/>
  <c r="AE60" i="6"/>
  <c r="AF60" i="6"/>
  <c r="AG60" i="6"/>
  <c r="AH60" i="6"/>
  <c r="R61" i="6"/>
  <c r="AC61" i="6"/>
  <c r="AD61" i="6"/>
  <c r="AE61" i="6"/>
  <c r="AF61" i="6"/>
  <c r="AG61" i="6"/>
  <c r="AH61" i="6"/>
  <c r="R62" i="6"/>
  <c r="AC62" i="6"/>
  <c r="AD62" i="6"/>
  <c r="AE62" i="6"/>
  <c r="AF62" i="6"/>
  <c r="AG62" i="6"/>
  <c r="AH62" i="6"/>
  <c r="R63" i="6"/>
  <c r="AC63" i="6"/>
  <c r="AD63" i="6"/>
  <c r="AE63" i="6"/>
  <c r="AF63" i="6"/>
  <c r="AG63" i="6"/>
  <c r="AH63" i="6"/>
  <c r="R64" i="6"/>
  <c r="AC64" i="6"/>
  <c r="AD64" i="6"/>
  <c r="AE64" i="6"/>
  <c r="AF64" i="6"/>
  <c r="AG64" i="6"/>
  <c r="AH64" i="6"/>
  <c r="R65" i="6"/>
  <c r="AC65" i="6"/>
  <c r="AD65" i="6"/>
  <c r="AE65" i="6"/>
  <c r="AF65" i="6"/>
  <c r="AG65" i="6"/>
  <c r="AH65" i="6"/>
  <c r="R66" i="6"/>
  <c r="AC66" i="6"/>
  <c r="AD66" i="6"/>
  <c r="AE66" i="6"/>
  <c r="AF66" i="6"/>
  <c r="AG66" i="6"/>
  <c r="AH66" i="6"/>
  <c r="R67" i="6"/>
  <c r="AC67" i="6"/>
  <c r="AD67" i="6"/>
  <c r="AE67" i="6"/>
  <c r="AF67" i="6"/>
  <c r="AG67" i="6"/>
  <c r="AH67" i="6"/>
  <c r="R68" i="6"/>
  <c r="AC68" i="6"/>
  <c r="AD68" i="6"/>
  <c r="AE68" i="6"/>
  <c r="AF68" i="6"/>
  <c r="AG68" i="6"/>
  <c r="AH68" i="6"/>
  <c r="R69" i="6"/>
  <c r="AC69" i="6"/>
  <c r="AD69" i="6"/>
  <c r="AE69" i="6"/>
  <c r="AF69" i="6"/>
  <c r="AG69" i="6"/>
  <c r="AH69" i="6"/>
  <c r="R70" i="6"/>
  <c r="AC70" i="6"/>
  <c r="AD70" i="6"/>
  <c r="AE70" i="6"/>
  <c r="AF70" i="6"/>
  <c r="AG70" i="6"/>
  <c r="AH70" i="6"/>
  <c r="R71" i="6"/>
  <c r="AC71" i="6"/>
  <c r="AD71" i="6"/>
  <c r="AE71" i="6"/>
  <c r="AF71" i="6"/>
  <c r="AG71" i="6"/>
  <c r="AH71" i="6"/>
  <c r="R72" i="6"/>
  <c r="AC72" i="6"/>
  <c r="AD72" i="6"/>
  <c r="AE72" i="6"/>
  <c r="AF72" i="6"/>
  <c r="AG72" i="6"/>
  <c r="AH72" i="6"/>
  <c r="R73" i="6"/>
  <c r="AC73" i="6"/>
  <c r="AD73" i="6"/>
  <c r="AE73" i="6"/>
  <c r="AF73" i="6"/>
  <c r="AG73" i="6"/>
  <c r="AH73" i="6"/>
  <c r="R76" i="6"/>
  <c r="AC76" i="6"/>
  <c r="AD76" i="6"/>
  <c r="AE76" i="6"/>
  <c r="AF76" i="6"/>
  <c r="AG76" i="6"/>
  <c r="AH76" i="6"/>
  <c r="R77" i="6"/>
  <c r="AC77" i="6"/>
  <c r="AD77" i="6"/>
  <c r="AE77" i="6"/>
  <c r="AF77" i="6"/>
  <c r="AG77" i="6"/>
  <c r="AH77" i="6"/>
  <c r="R78" i="6"/>
  <c r="AC78" i="6"/>
  <c r="AD78" i="6"/>
  <c r="AE78" i="6"/>
  <c r="AF78" i="6"/>
  <c r="AG78" i="6"/>
  <c r="AH78" i="6"/>
  <c r="R79" i="6"/>
  <c r="AC79" i="6"/>
  <c r="AD79" i="6"/>
  <c r="AE79" i="6"/>
  <c r="AF79" i="6"/>
  <c r="AG79" i="6"/>
  <c r="AH79" i="6"/>
  <c r="R80" i="6"/>
  <c r="AC80" i="6"/>
  <c r="AD80" i="6"/>
  <c r="AE80" i="6"/>
  <c r="AF80" i="6"/>
  <c r="AG80" i="6"/>
  <c r="AH80" i="6"/>
  <c r="R81" i="6"/>
  <c r="AC81" i="6"/>
  <c r="AD81" i="6"/>
  <c r="AE81" i="6"/>
  <c r="AF81" i="6"/>
  <c r="AG81" i="6"/>
  <c r="AH81" i="6"/>
  <c r="R82" i="6"/>
  <c r="AC82" i="6"/>
  <c r="AD82" i="6"/>
  <c r="AE82" i="6"/>
  <c r="AF82" i="6"/>
  <c r="AG82" i="6"/>
  <c r="AH82" i="6"/>
  <c r="R83" i="6"/>
  <c r="AC83" i="6"/>
  <c r="AD83" i="6"/>
  <c r="AE83" i="6"/>
  <c r="AF83" i="6"/>
  <c r="AG83" i="6"/>
  <c r="AH83" i="6"/>
  <c r="R84" i="6"/>
  <c r="AC84" i="6"/>
  <c r="AD84" i="6"/>
  <c r="AE84" i="6"/>
  <c r="AF84" i="6"/>
  <c r="AG84" i="6"/>
  <c r="AH84" i="6"/>
  <c r="R85" i="6"/>
  <c r="AC85" i="6"/>
  <c r="AD85" i="6"/>
  <c r="AE85" i="6"/>
  <c r="AF85" i="6"/>
  <c r="AG85" i="6"/>
  <c r="AH85" i="6"/>
  <c r="R86" i="6"/>
  <c r="AC86" i="6"/>
  <c r="AD86" i="6"/>
  <c r="AE86" i="6"/>
  <c r="AF86" i="6"/>
  <c r="AG86" i="6"/>
  <c r="AH86" i="6"/>
  <c r="R87" i="6"/>
  <c r="AC87" i="6"/>
  <c r="AD87" i="6"/>
  <c r="AE87" i="6"/>
  <c r="AF87" i="6"/>
  <c r="AG87" i="6"/>
  <c r="AH87" i="6"/>
  <c r="R88" i="6"/>
  <c r="AC88" i="6"/>
  <c r="AD88" i="6"/>
  <c r="AE88" i="6"/>
  <c r="AF88" i="6"/>
  <c r="AG88" i="6"/>
  <c r="AH88" i="6"/>
  <c r="R89" i="6"/>
  <c r="AC89" i="6"/>
  <c r="AD89" i="6"/>
  <c r="AE89" i="6"/>
  <c r="AF89" i="6"/>
  <c r="AG89" i="6"/>
  <c r="AH89" i="6"/>
  <c r="R90" i="6"/>
  <c r="AC90" i="6"/>
  <c r="AD90" i="6"/>
  <c r="AE90" i="6"/>
  <c r="AF90" i="6"/>
  <c r="AG90" i="6"/>
  <c r="AH90" i="6"/>
  <c r="R94" i="6"/>
  <c r="AC94" i="6"/>
  <c r="AD94" i="6"/>
  <c r="AE94" i="6"/>
  <c r="AF94" i="6"/>
  <c r="AG94" i="6"/>
  <c r="AH94" i="6"/>
  <c r="R95" i="6"/>
  <c r="AC95" i="6"/>
  <c r="AD95" i="6"/>
  <c r="AE95" i="6"/>
  <c r="AF95" i="6"/>
  <c r="AG95" i="6"/>
  <c r="AH95" i="6"/>
  <c r="R96" i="6"/>
  <c r="AC96" i="6"/>
  <c r="AD96" i="6"/>
  <c r="AE96" i="6"/>
  <c r="AF96" i="6"/>
  <c r="AG96" i="6"/>
  <c r="AH96" i="6"/>
  <c r="R97" i="6"/>
  <c r="AC97" i="6"/>
  <c r="AD97" i="6"/>
  <c r="AE97" i="6"/>
  <c r="AF97" i="6"/>
  <c r="AG97" i="6"/>
  <c r="AH97" i="6"/>
  <c r="R98" i="6"/>
  <c r="AC98" i="6"/>
  <c r="AD98" i="6"/>
  <c r="AE98" i="6"/>
  <c r="AF98" i="6"/>
  <c r="AG98" i="6"/>
  <c r="AH98" i="6"/>
  <c r="R99" i="6"/>
  <c r="AC99" i="6"/>
  <c r="AD99" i="6"/>
  <c r="AE99" i="6"/>
  <c r="AF99" i="6"/>
  <c r="AG99" i="6"/>
  <c r="AH99" i="6"/>
  <c r="R100" i="6"/>
  <c r="AC100" i="6"/>
  <c r="AD100" i="6"/>
  <c r="AE100" i="6"/>
  <c r="AF100" i="6"/>
  <c r="AG100" i="6"/>
  <c r="AH100" i="6"/>
  <c r="R101" i="6"/>
  <c r="AC101" i="6"/>
  <c r="AD101" i="6"/>
  <c r="AE101" i="6"/>
  <c r="AF101" i="6"/>
  <c r="AG101" i="6"/>
  <c r="AH101" i="6"/>
  <c r="R102" i="6"/>
  <c r="AC102" i="6"/>
  <c r="AD102" i="6"/>
  <c r="AE102" i="6"/>
  <c r="AF102" i="6"/>
  <c r="AG102" i="6"/>
  <c r="AH102" i="6"/>
  <c r="R103" i="6"/>
  <c r="AC103" i="6"/>
  <c r="AD103" i="6"/>
  <c r="AE103" i="6"/>
  <c r="AF103" i="6"/>
  <c r="AG103" i="6"/>
  <c r="AH103" i="6"/>
  <c r="R104" i="6"/>
  <c r="AC104" i="6"/>
  <c r="AD104" i="6"/>
  <c r="AE104" i="6"/>
  <c r="AF104" i="6"/>
  <c r="AG104" i="6"/>
  <c r="AH104" i="6"/>
  <c r="R105" i="6"/>
  <c r="AC105" i="6"/>
  <c r="AD105" i="6"/>
  <c r="AE105" i="6"/>
  <c r="AF105" i="6"/>
  <c r="AG105" i="6"/>
  <c r="AH105" i="6"/>
  <c r="R106" i="6"/>
  <c r="AC106" i="6"/>
  <c r="AD106" i="6"/>
  <c r="AE106" i="6"/>
  <c r="AF106" i="6"/>
  <c r="AG106" i="6"/>
  <c r="AH106" i="6"/>
  <c r="R107" i="6"/>
  <c r="AC107" i="6"/>
  <c r="AD107" i="6"/>
  <c r="AE107" i="6"/>
  <c r="AF107" i="6"/>
  <c r="AG107" i="6"/>
  <c r="AH107" i="6"/>
  <c r="R108" i="6"/>
  <c r="AC108" i="6"/>
  <c r="AD108" i="6"/>
  <c r="AE108" i="6"/>
  <c r="AF108" i="6"/>
  <c r="AG108" i="6"/>
  <c r="AH108" i="6"/>
  <c r="R109" i="6"/>
  <c r="AC109" i="6"/>
  <c r="AD109" i="6"/>
  <c r="AE109" i="6"/>
  <c r="AF109" i="6"/>
  <c r="AG109" i="6"/>
  <c r="AH109" i="6"/>
  <c r="R110" i="6"/>
  <c r="AC110" i="6"/>
  <c r="AD110" i="6"/>
  <c r="AE110" i="6"/>
  <c r="AF110" i="6"/>
  <c r="AG110" i="6"/>
  <c r="AH110" i="6"/>
  <c r="R111" i="6"/>
  <c r="AC111" i="6"/>
  <c r="AD111" i="6"/>
  <c r="AE111" i="6"/>
  <c r="AF111" i="6"/>
  <c r="AG111" i="6"/>
  <c r="AH111" i="6"/>
  <c r="R112" i="6"/>
  <c r="AC112" i="6"/>
  <c r="AD112" i="6"/>
  <c r="AE112" i="6"/>
  <c r="AF112" i="6"/>
  <c r="AG112" i="6"/>
  <c r="AH112" i="6"/>
  <c r="R113" i="6"/>
  <c r="AC113" i="6"/>
  <c r="AD113" i="6"/>
  <c r="AE113" i="6"/>
  <c r="AF113" i="6"/>
  <c r="AG113" i="6"/>
  <c r="AH113" i="6"/>
  <c r="R114" i="6"/>
  <c r="AC114" i="6"/>
  <c r="AD114" i="6"/>
  <c r="AE114" i="6"/>
  <c r="AF114" i="6"/>
  <c r="AG114" i="6"/>
  <c r="AH114" i="6"/>
  <c r="R115" i="6"/>
  <c r="AC115" i="6"/>
  <c r="AD115" i="6"/>
  <c r="AE115" i="6"/>
  <c r="AF115" i="6"/>
  <c r="AG115" i="6"/>
  <c r="AH115" i="6"/>
  <c r="R116" i="6"/>
  <c r="AC116" i="6"/>
  <c r="AD116" i="6"/>
  <c r="AE116" i="6"/>
  <c r="AF116" i="6"/>
  <c r="AG116" i="6"/>
  <c r="AH116" i="6"/>
  <c r="R117" i="6"/>
  <c r="AC117" i="6"/>
  <c r="AD117" i="6"/>
  <c r="AE117" i="6"/>
  <c r="AF117" i="6"/>
  <c r="AG117" i="6"/>
  <c r="AH117" i="6"/>
  <c r="R118" i="6"/>
  <c r="AC118" i="6"/>
  <c r="AD118" i="6"/>
  <c r="AE118" i="6"/>
  <c r="AF118" i="6"/>
  <c r="AG118" i="6"/>
  <c r="AH118" i="6"/>
  <c r="R119" i="6"/>
  <c r="AC119" i="6"/>
  <c r="AD119" i="6"/>
  <c r="AE119" i="6"/>
  <c r="AF119" i="6"/>
  <c r="AG119" i="6"/>
  <c r="AH119" i="6"/>
  <c r="R120" i="6"/>
  <c r="AC120" i="6"/>
  <c r="AD120" i="6"/>
  <c r="AE120" i="6"/>
  <c r="AF120" i="6"/>
  <c r="AG120" i="6"/>
  <c r="AH120" i="6"/>
  <c r="R121" i="6"/>
  <c r="AC121" i="6"/>
  <c r="AD121" i="6"/>
  <c r="AE121" i="6"/>
  <c r="AF121" i="6"/>
  <c r="AG121" i="6"/>
  <c r="AH121" i="6"/>
  <c r="R122" i="6"/>
  <c r="AC122" i="6"/>
  <c r="AD122" i="6"/>
  <c r="AE122" i="6"/>
  <c r="AF122" i="6"/>
  <c r="AG122" i="6"/>
  <c r="AH122" i="6"/>
  <c r="R123" i="6"/>
  <c r="AC123" i="6"/>
  <c r="AD123" i="6"/>
  <c r="AE123" i="6"/>
  <c r="AF123" i="6"/>
  <c r="AG123" i="6"/>
  <c r="AH123" i="6"/>
  <c r="R124" i="6"/>
  <c r="AC124" i="6"/>
  <c r="AD124" i="6"/>
  <c r="AE124" i="6"/>
  <c r="AF124" i="6"/>
  <c r="AG124" i="6"/>
  <c r="AH124" i="6"/>
  <c r="R125" i="6"/>
  <c r="AC125" i="6"/>
  <c r="AD125" i="6"/>
  <c r="AE125" i="6"/>
  <c r="AF125" i="6"/>
  <c r="AG125" i="6"/>
  <c r="AH125" i="6"/>
  <c r="R126" i="6"/>
  <c r="AC126" i="6"/>
  <c r="AD126" i="6"/>
  <c r="AE126" i="6"/>
  <c r="AF126" i="6"/>
  <c r="AG126" i="6"/>
  <c r="AH126" i="6"/>
  <c r="R127" i="6"/>
  <c r="AC127" i="6"/>
  <c r="AD127" i="6"/>
  <c r="AE127" i="6"/>
  <c r="AF127" i="6"/>
  <c r="AG127" i="6"/>
  <c r="AH127" i="6"/>
  <c r="R128" i="6"/>
  <c r="AC128" i="6"/>
  <c r="AD128" i="6"/>
  <c r="AE128" i="6"/>
  <c r="AF128" i="6"/>
  <c r="AG128" i="6"/>
  <c r="AH128" i="6"/>
  <c r="R129" i="6"/>
  <c r="AC129" i="6"/>
  <c r="AD129" i="6"/>
  <c r="AE129" i="6"/>
  <c r="AF129" i="6"/>
  <c r="AG129" i="6"/>
  <c r="AH129" i="6"/>
  <c r="R130" i="6"/>
  <c r="AC130" i="6"/>
  <c r="AD130" i="6"/>
  <c r="AE130" i="6"/>
  <c r="AF130" i="6"/>
  <c r="AG130" i="6"/>
  <c r="AH130" i="6"/>
  <c r="R131" i="6"/>
  <c r="AC131" i="6"/>
  <c r="AD131" i="6"/>
  <c r="AE131" i="6"/>
  <c r="AF131" i="6"/>
  <c r="AG131" i="6"/>
  <c r="AH131" i="6"/>
  <c r="R132" i="6"/>
  <c r="AC132" i="6"/>
  <c r="AD132" i="6"/>
  <c r="AE132" i="6"/>
  <c r="AF132" i="6"/>
  <c r="AG132" i="6"/>
  <c r="AH132" i="6"/>
  <c r="R133" i="6"/>
  <c r="AC133" i="6"/>
  <c r="AD133" i="6"/>
  <c r="AE133" i="6"/>
  <c r="AF133" i="6"/>
  <c r="AG133" i="6"/>
  <c r="AH133" i="6"/>
  <c r="R134" i="6"/>
  <c r="AC134" i="6"/>
  <c r="AD134" i="6"/>
  <c r="AE134" i="6"/>
  <c r="AF134" i="6"/>
  <c r="AG134" i="6"/>
  <c r="AH134" i="6"/>
  <c r="R135" i="6"/>
  <c r="AC135" i="6"/>
  <c r="AD135" i="6"/>
  <c r="AE135" i="6"/>
  <c r="AF135" i="6"/>
  <c r="AG135" i="6"/>
  <c r="AH135" i="6"/>
  <c r="R136" i="6"/>
  <c r="AC136" i="6"/>
  <c r="AD136" i="6"/>
  <c r="AE136" i="6"/>
  <c r="AF136" i="6"/>
  <c r="AG136" i="6"/>
  <c r="AH136" i="6"/>
  <c r="R137" i="6"/>
  <c r="AC137" i="6"/>
  <c r="AD137" i="6"/>
  <c r="AE137" i="6"/>
  <c r="AF137" i="6"/>
  <c r="AG137" i="6"/>
  <c r="AH137" i="6"/>
  <c r="R138" i="6"/>
  <c r="AC138" i="6"/>
  <c r="AD138" i="6"/>
  <c r="AE138" i="6"/>
  <c r="AF138" i="6"/>
  <c r="AG138" i="6"/>
  <c r="AH138" i="6"/>
  <c r="R139" i="6"/>
  <c r="AC139" i="6"/>
  <c r="AD139" i="6"/>
  <c r="AE139" i="6"/>
  <c r="AF139" i="6"/>
  <c r="AG139" i="6"/>
  <c r="AH139" i="6"/>
  <c r="R140" i="6"/>
  <c r="AC140" i="6"/>
  <c r="AD140" i="6"/>
  <c r="AE140" i="6"/>
  <c r="AF140" i="6"/>
  <c r="AG140" i="6"/>
  <c r="AH140" i="6"/>
  <c r="R141" i="6"/>
  <c r="AC141" i="6"/>
  <c r="AD141" i="6"/>
  <c r="AE141" i="6"/>
  <c r="AF141" i="6"/>
  <c r="AG141" i="6"/>
  <c r="AH141" i="6"/>
  <c r="R142" i="6"/>
  <c r="AC142" i="6"/>
  <c r="AD142" i="6"/>
  <c r="AE142" i="6"/>
  <c r="AF142" i="6"/>
  <c r="AG142" i="6"/>
  <c r="AH142" i="6"/>
  <c r="R143" i="6"/>
  <c r="AC143" i="6"/>
  <c r="AD143" i="6"/>
  <c r="AE143" i="6"/>
  <c r="AF143" i="6"/>
  <c r="AG143" i="6"/>
  <c r="AH143" i="6"/>
  <c r="R144" i="6"/>
  <c r="AC144" i="6"/>
  <c r="AD144" i="6"/>
  <c r="AE144" i="6"/>
  <c r="AF144" i="6"/>
  <c r="AG144" i="6"/>
  <c r="AH144" i="6"/>
  <c r="R145" i="6"/>
  <c r="AC145" i="6"/>
  <c r="AD145" i="6"/>
  <c r="AE145" i="6"/>
  <c r="AF145" i="6"/>
  <c r="AG145" i="6"/>
  <c r="AH145" i="6"/>
  <c r="R146" i="6"/>
  <c r="AC146" i="6"/>
  <c r="AD146" i="6"/>
  <c r="AE146" i="6"/>
  <c r="AF146" i="6"/>
  <c r="AG146" i="6"/>
  <c r="AH146" i="6"/>
  <c r="R147" i="6"/>
  <c r="AC147" i="6"/>
  <c r="AD147" i="6"/>
  <c r="AE147" i="6"/>
  <c r="AF147" i="6"/>
  <c r="AG147" i="6"/>
  <c r="AH147" i="6"/>
  <c r="R148" i="6"/>
  <c r="AC148" i="6"/>
  <c r="AD148" i="6"/>
  <c r="AE148" i="6"/>
  <c r="AF148" i="6"/>
  <c r="AG148" i="6"/>
  <c r="AH148" i="6"/>
  <c r="R149" i="6"/>
  <c r="AC149" i="6"/>
  <c r="AD149" i="6"/>
  <c r="AE149" i="6"/>
  <c r="AF149" i="6"/>
  <c r="AG149" i="6"/>
  <c r="AH149" i="6"/>
  <c r="R150" i="6"/>
  <c r="AC150" i="6"/>
  <c r="AD150" i="6"/>
  <c r="AE150" i="6"/>
  <c r="AF150" i="6"/>
  <c r="AG150" i="6"/>
  <c r="AH150" i="6"/>
  <c r="R151" i="6"/>
  <c r="AC151" i="6"/>
  <c r="AD151" i="6"/>
  <c r="AE151" i="6"/>
  <c r="AF151" i="6"/>
  <c r="AG151" i="6"/>
  <c r="AH151" i="6"/>
  <c r="R152" i="6"/>
  <c r="AC152" i="6"/>
  <c r="AD152" i="6"/>
  <c r="AE152" i="6"/>
  <c r="AF152" i="6"/>
  <c r="AG152" i="6"/>
  <c r="AH152" i="6"/>
  <c r="R153" i="6"/>
  <c r="AC153" i="6"/>
  <c r="AD153" i="6"/>
  <c r="AE153" i="6"/>
  <c r="AF153" i="6"/>
  <c r="AG153" i="6"/>
  <c r="AH153" i="6"/>
  <c r="R154" i="6"/>
  <c r="AC154" i="6"/>
  <c r="AD154" i="6"/>
  <c r="AE154" i="6"/>
  <c r="AF154" i="6"/>
  <c r="AG154" i="6"/>
  <c r="AH154" i="6"/>
  <c r="R155" i="6"/>
  <c r="AC155" i="6"/>
  <c r="AD155" i="6"/>
  <c r="AE155" i="6"/>
  <c r="AF155" i="6"/>
  <c r="AG155" i="6"/>
  <c r="AH155" i="6"/>
  <c r="R156" i="6"/>
  <c r="AC156" i="6"/>
  <c r="AD156" i="6"/>
  <c r="AE156" i="6"/>
  <c r="AF156" i="6"/>
  <c r="AG156" i="6"/>
  <c r="AH156" i="6"/>
  <c r="R157" i="6"/>
  <c r="AC157" i="6"/>
  <c r="AD157" i="6"/>
  <c r="AE157" i="6"/>
  <c r="AF157" i="6"/>
  <c r="AG157" i="6"/>
  <c r="AH157" i="6"/>
  <c r="R158" i="6"/>
  <c r="AC158" i="6"/>
  <c r="AD158" i="6"/>
  <c r="AE158" i="6"/>
  <c r="AF158" i="6"/>
  <c r="AG158" i="6"/>
  <c r="AH158" i="6"/>
  <c r="R159" i="6"/>
  <c r="AC159" i="6"/>
  <c r="AD159" i="6"/>
  <c r="AE159" i="6"/>
  <c r="AF159" i="6"/>
  <c r="AG159" i="6"/>
  <c r="AH159" i="6"/>
  <c r="R160" i="6"/>
  <c r="AC160" i="6"/>
  <c r="AD160" i="6"/>
  <c r="AE160" i="6"/>
  <c r="AF160" i="6"/>
  <c r="AG160" i="6"/>
  <c r="AH160" i="6"/>
  <c r="R161" i="6"/>
  <c r="AC161" i="6"/>
  <c r="AD161" i="6"/>
  <c r="AE161" i="6"/>
  <c r="AF161" i="6"/>
  <c r="AG161" i="6"/>
  <c r="AH161" i="6"/>
  <c r="R162" i="6"/>
  <c r="AC162" i="6"/>
  <c r="AD162" i="6"/>
  <c r="AE162" i="6"/>
  <c r="AF162" i="6"/>
  <c r="AG162" i="6"/>
  <c r="AH162" i="6"/>
  <c r="R163" i="6"/>
  <c r="AC163" i="6"/>
  <c r="AD163" i="6"/>
  <c r="AE163" i="6"/>
  <c r="AF163" i="6"/>
  <c r="AG163" i="6"/>
  <c r="AH163" i="6"/>
  <c r="R164" i="6"/>
  <c r="AC164" i="6"/>
  <c r="AD164" i="6"/>
  <c r="AE164" i="6"/>
  <c r="AF164" i="6"/>
  <c r="AG164" i="6"/>
  <c r="AH164" i="6"/>
  <c r="R165" i="6"/>
  <c r="AC165" i="6"/>
  <c r="AD165" i="6"/>
  <c r="AE165" i="6"/>
  <c r="AF165" i="6"/>
  <c r="AG165" i="6"/>
  <c r="AH165" i="6"/>
  <c r="R166" i="6"/>
  <c r="AC166" i="6"/>
  <c r="AD166" i="6"/>
  <c r="AE166" i="6"/>
  <c r="AF166" i="6"/>
  <c r="AG166" i="6"/>
  <c r="AH166" i="6"/>
  <c r="R167" i="6"/>
  <c r="AC167" i="6"/>
  <c r="AD167" i="6"/>
  <c r="AE167" i="6"/>
  <c r="AF167" i="6"/>
  <c r="AG167" i="6"/>
  <c r="AH167" i="6"/>
  <c r="R168" i="6"/>
  <c r="AC168" i="6"/>
  <c r="AD168" i="6"/>
  <c r="AE168" i="6"/>
  <c r="AF168" i="6"/>
  <c r="AG168" i="6"/>
  <c r="AH168" i="6"/>
  <c r="R169" i="6"/>
  <c r="AC169" i="6"/>
  <c r="AD169" i="6"/>
  <c r="AE169" i="6"/>
  <c r="AF169" i="6"/>
  <c r="AG169" i="6"/>
  <c r="AH169" i="6"/>
  <c r="R170" i="6"/>
  <c r="AC170" i="6"/>
  <c r="AD170" i="6"/>
  <c r="AE170" i="6"/>
  <c r="AF170" i="6"/>
  <c r="AG170" i="6"/>
  <c r="AH170" i="6"/>
  <c r="R171" i="6"/>
  <c r="AC171" i="6"/>
  <c r="AD171" i="6"/>
  <c r="AE171" i="6"/>
  <c r="AF171" i="6"/>
  <c r="AG171" i="6"/>
  <c r="AH171" i="6"/>
  <c r="R172" i="6"/>
  <c r="AC172" i="6"/>
  <c r="AD172" i="6"/>
  <c r="AE172" i="6"/>
  <c r="AF172" i="6"/>
  <c r="AG172" i="6"/>
  <c r="AH172" i="6"/>
  <c r="R173" i="6"/>
  <c r="AC173" i="6"/>
  <c r="AD173" i="6"/>
  <c r="AE173" i="6"/>
  <c r="AF173" i="6"/>
  <c r="AG173" i="6"/>
  <c r="AH173" i="6"/>
  <c r="R174" i="6"/>
  <c r="AC174" i="6"/>
  <c r="AD174" i="6"/>
  <c r="AE174" i="6"/>
  <c r="AF174" i="6"/>
  <c r="AG174" i="6"/>
  <c r="AH174" i="6"/>
  <c r="R175" i="6"/>
  <c r="AC175" i="6"/>
  <c r="AD175" i="6"/>
  <c r="AE175" i="6"/>
  <c r="AF175" i="6"/>
  <c r="AG175" i="6"/>
  <c r="AH175" i="6"/>
  <c r="R176" i="6"/>
  <c r="AC176" i="6"/>
  <c r="AD176" i="6"/>
  <c r="AE176" i="6"/>
  <c r="AF176" i="6"/>
  <c r="AG176" i="6"/>
  <c r="AH176" i="6"/>
  <c r="R177" i="6"/>
  <c r="AC177" i="6"/>
  <c r="AD177" i="6"/>
  <c r="AE177" i="6"/>
  <c r="AF177" i="6"/>
  <c r="AG177" i="6"/>
  <c r="AH177" i="6"/>
  <c r="R178" i="6"/>
  <c r="AC178" i="6"/>
  <c r="AD178" i="6"/>
  <c r="AE178" i="6"/>
  <c r="AF178" i="6"/>
  <c r="AG178" i="6"/>
  <c r="AH178" i="6"/>
  <c r="R179" i="6"/>
  <c r="AC179" i="6"/>
  <c r="AD179" i="6"/>
  <c r="AE179" i="6"/>
  <c r="AF179" i="6"/>
  <c r="AG179" i="6"/>
  <c r="AH179" i="6"/>
  <c r="R180" i="6"/>
  <c r="AC180" i="6"/>
  <c r="AD180" i="6"/>
  <c r="AE180" i="6"/>
  <c r="AF180" i="6"/>
  <c r="AG180" i="6"/>
  <c r="AH180" i="6"/>
  <c r="R181" i="6"/>
  <c r="AC181" i="6"/>
  <c r="AD181" i="6"/>
  <c r="AE181" i="6"/>
  <c r="AF181" i="6"/>
  <c r="AG181" i="6"/>
  <c r="AH181" i="6"/>
  <c r="R182" i="6"/>
  <c r="AC182" i="6"/>
  <c r="AD182" i="6"/>
  <c r="AE182" i="6"/>
  <c r="AF182" i="6"/>
  <c r="AG182" i="6"/>
  <c r="AH182" i="6"/>
  <c r="R183" i="6"/>
  <c r="AC183" i="6"/>
  <c r="AD183" i="6"/>
  <c r="AE183" i="6"/>
  <c r="AF183" i="6"/>
  <c r="AG183" i="6"/>
  <c r="AH183" i="6"/>
  <c r="R184" i="6"/>
  <c r="AC184" i="6"/>
  <c r="AD184" i="6"/>
  <c r="AE184" i="6"/>
  <c r="AF184" i="6"/>
  <c r="AG184" i="6"/>
  <c r="AH184" i="6"/>
  <c r="R185" i="6"/>
  <c r="AC185" i="6"/>
  <c r="AD185" i="6"/>
  <c r="AE185" i="6"/>
  <c r="AF185" i="6"/>
  <c r="AG185" i="6"/>
  <c r="AH185" i="6"/>
  <c r="R186" i="6"/>
  <c r="AC186" i="6"/>
  <c r="AD186" i="6"/>
  <c r="AE186" i="6"/>
  <c r="AF186" i="6"/>
  <c r="AG186" i="6"/>
  <c r="AH186" i="6"/>
  <c r="R187" i="6"/>
  <c r="AC187" i="6"/>
  <c r="AD187" i="6"/>
  <c r="AE187" i="6"/>
  <c r="AF187" i="6"/>
  <c r="AG187" i="6"/>
  <c r="AH187" i="6"/>
  <c r="R188" i="6"/>
  <c r="AC188" i="6"/>
  <c r="AD188" i="6"/>
  <c r="AE188" i="6"/>
  <c r="AF188" i="6"/>
  <c r="AG188" i="6"/>
  <c r="AH188" i="6"/>
  <c r="R189" i="6"/>
  <c r="AC189" i="6"/>
  <c r="AD189" i="6"/>
  <c r="AE189" i="6"/>
  <c r="AF189" i="6"/>
  <c r="AG189" i="6"/>
  <c r="AH189" i="6"/>
  <c r="R190" i="6"/>
  <c r="AC190" i="6"/>
  <c r="AD190" i="6"/>
  <c r="AE190" i="6"/>
  <c r="AF190" i="6"/>
  <c r="AG190" i="6"/>
  <c r="AH190" i="6"/>
  <c r="R191" i="6"/>
  <c r="AC191" i="6"/>
  <c r="AD191" i="6"/>
  <c r="AE191" i="6"/>
  <c r="AF191" i="6"/>
  <c r="AG191" i="6"/>
  <c r="AH191" i="6"/>
  <c r="R192" i="6"/>
  <c r="AC192" i="6"/>
  <c r="AD192" i="6"/>
  <c r="AE192" i="6"/>
  <c r="AF192" i="6"/>
  <c r="AG192" i="6"/>
  <c r="AH192" i="6"/>
  <c r="R193" i="6"/>
  <c r="AC193" i="6"/>
  <c r="AD193" i="6"/>
  <c r="AE193" i="6"/>
  <c r="AF193" i="6"/>
  <c r="AG193" i="6"/>
  <c r="AH193" i="6"/>
  <c r="R194" i="6"/>
  <c r="AC194" i="6"/>
  <c r="AD194" i="6"/>
  <c r="AE194" i="6"/>
  <c r="AF194" i="6"/>
  <c r="AG194" i="6"/>
  <c r="AH194" i="6"/>
  <c r="R195" i="6"/>
  <c r="AC195" i="6"/>
  <c r="AD195" i="6"/>
  <c r="AE195" i="6"/>
  <c r="AF195" i="6"/>
  <c r="AG195" i="6"/>
  <c r="AH195" i="6"/>
  <c r="R196" i="6"/>
  <c r="AC196" i="6"/>
  <c r="AD196" i="6"/>
  <c r="AE196" i="6"/>
  <c r="AF196" i="6"/>
  <c r="AG196" i="6"/>
  <c r="AH196" i="6"/>
  <c r="R197" i="6"/>
  <c r="AC197" i="6"/>
  <c r="AD197" i="6"/>
  <c r="AE197" i="6"/>
  <c r="AF197" i="6"/>
  <c r="AG197" i="6"/>
  <c r="AH197" i="6"/>
  <c r="R198" i="6"/>
  <c r="AC198" i="6"/>
  <c r="AD198" i="6"/>
  <c r="AE198" i="6"/>
  <c r="AF198" i="6"/>
  <c r="AG198" i="6"/>
  <c r="AH198" i="6"/>
  <c r="R199" i="6"/>
  <c r="AC199" i="6"/>
  <c r="AD199" i="6"/>
  <c r="AE199" i="6"/>
  <c r="AF199" i="6"/>
  <c r="AG199" i="6"/>
  <c r="AH199" i="6"/>
  <c r="R200" i="6"/>
  <c r="AC200" i="6"/>
  <c r="AD200" i="6"/>
  <c r="AE200" i="6"/>
  <c r="AF200" i="6"/>
  <c r="AG200" i="6"/>
  <c r="AH200" i="6"/>
  <c r="R201" i="6"/>
  <c r="AC201" i="6"/>
  <c r="AD201" i="6"/>
  <c r="AE201" i="6"/>
  <c r="AF201" i="6"/>
  <c r="AG201" i="6"/>
  <c r="AH201" i="6"/>
  <c r="R202" i="6"/>
  <c r="AC202" i="6"/>
  <c r="AD202" i="6"/>
  <c r="AE202" i="6"/>
  <c r="AF202" i="6"/>
  <c r="AG202" i="6"/>
  <c r="AH202" i="6"/>
  <c r="R203" i="6"/>
  <c r="AC203" i="6"/>
  <c r="AD203" i="6"/>
  <c r="AE203" i="6"/>
  <c r="AF203" i="6"/>
  <c r="AG203" i="6"/>
  <c r="AH203" i="6"/>
  <c r="R204" i="6"/>
  <c r="AC204" i="6"/>
  <c r="AD204" i="6"/>
  <c r="AE204" i="6"/>
  <c r="AF204" i="6"/>
  <c r="AG204" i="6"/>
  <c r="AH204" i="6"/>
  <c r="R205" i="6"/>
  <c r="AC205" i="6"/>
  <c r="AD205" i="6"/>
  <c r="AE205" i="6"/>
  <c r="AF205" i="6"/>
  <c r="AG205" i="6"/>
  <c r="AH205" i="6"/>
  <c r="R206" i="6"/>
  <c r="AC206" i="6"/>
  <c r="AD206" i="6"/>
  <c r="AE206" i="6"/>
  <c r="AF206" i="6"/>
  <c r="AG206" i="6"/>
  <c r="AH206" i="6"/>
  <c r="R207" i="6"/>
  <c r="AC207" i="6"/>
  <c r="AD207" i="6"/>
  <c r="AE207" i="6"/>
  <c r="AF207" i="6"/>
  <c r="AG207" i="6"/>
  <c r="AH207" i="6"/>
  <c r="R208" i="6"/>
  <c r="AC208" i="6"/>
  <c r="AD208" i="6"/>
  <c r="AE208" i="6"/>
  <c r="AF208" i="6"/>
  <c r="AG208" i="6"/>
  <c r="AH208" i="6"/>
  <c r="R209" i="6"/>
  <c r="AC209" i="6"/>
  <c r="AD209" i="6"/>
  <c r="AE209" i="6"/>
  <c r="AF209" i="6"/>
  <c r="AG209" i="6"/>
  <c r="AH209" i="6"/>
  <c r="R210" i="6"/>
  <c r="AC210" i="6"/>
  <c r="AD210" i="6"/>
  <c r="AE210" i="6"/>
  <c r="AF210" i="6"/>
  <c r="AG210" i="6"/>
  <c r="AH210" i="6"/>
  <c r="R211" i="6"/>
  <c r="AC211" i="6"/>
  <c r="AD211" i="6"/>
  <c r="AE211" i="6"/>
  <c r="AF211" i="6"/>
  <c r="AG211" i="6"/>
  <c r="AH211" i="6"/>
  <c r="R212" i="6"/>
  <c r="AC212" i="6"/>
  <c r="AD212" i="6"/>
  <c r="AE212" i="6"/>
  <c r="AF212" i="6"/>
  <c r="AG212" i="6"/>
  <c r="AH212" i="6"/>
  <c r="R213" i="6"/>
  <c r="AC213" i="6"/>
  <c r="AD213" i="6"/>
  <c r="AE213" i="6"/>
  <c r="AF213" i="6"/>
  <c r="AG213" i="6"/>
  <c r="AH213" i="6"/>
  <c r="R214" i="6"/>
  <c r="AC214" i="6"/>
  <c r="AD214" i="6"/>
  <c r="AE214" i="6"/>
  <c r="AF214" i="6"/>
  <c r="AG214" i="6"/>
  <c r="AH214" i="6"/>
  <c r="R215" i="6"/>
  <c r="AC215" i="6"/>
  <c r="AD215" i="6"/>
  <c r="AE215" i="6"/>
  <c r="AF215" i="6"/>
  <c r="AG215" i="6"/>
  <c r="AH215" i="6"/>
  <c r="R216" i="6"/>
  <c r="AC216" i="6"/>
  <c r="AD216" i="6"/>
  <c r="AE216" i="6"/>
  <c r="AF216" i="6"/>
  <c r="AG216" i="6"/>
  <c r="AH216" i="6"/>
  <c r="R217" i="6"/>
  <c r="AC217" i="6"/>
  <c r="AD217" i="6"/>
  <c r="AE217" i="6"/>
  <c r="AF217" i="6"/>
  <c r="AG217" i="6"/>
  <c r="AH217" i="6"/>
  <c r="R218" i="6"/>
  <c r="AC218" i="6"/>
  <c r="AD218" i="6"/>
  <c r="AE218" i="6"/>
  <c r="AF218" i="6"/>
  <c r="AG218" i="6"/>
  <c r="AH218" i="6"/>
  <c r="R219" i="6"/>
  <c r="AC219" i="6"/>
  <c r="AD219" i="6"/>
  <c r="AE219" i="6"/>
  <c r="AF219" i="6"/>
  <c r="AG219" i="6"/>
  <c r="AH219" i="6"/>
  <c r="R220" i="6"/>
  <c r="AC220" i="6"/>
  <c r="AD220" i="6"/>
  <c r="AE220" i="6"/>
  <c r="AF220" i="6"/>
  <c r="AG220" i="6"/>
  <c r="AH220" i="6"/>
  <c r="R221" i="6"/>
  <c r="AC221" i="6"/>
  <c r="AD221" i="6"/>
  <c r="AE221" i="6"/>
  <c r="AF221" i="6"/>
  <c r="AG221" i="6"/>
  <c r="AH221" i="6"/>
  <c r="R222" i="6"/>
  <c r="AC222" i="6"/>
  <c r="AD222" i="6"/>
  <c r="AE222" i="6"/>
  <c r="AF222" i="6"/>
  <c r="AG222" i="6"/>
  <c r="AH222" i="6"/>
  <c r="R223" i="6"/>
  <c r="AC223" i="6"/>
  <c r="AD223" i="6"/>
  <c r="AE223" i="6"/>
  <c r="AF223" i="6"/>
  <c r="AG223" i="6"/>
  <c r="AH223" i="6"/>
  <c r="R224" i="6"/>
  <c r="AC224" i="6"/>
  <c r="AD224" i="6"/>
  <c r="AE224" i="6"/>
  <c r="AF224" i="6"/>
  <c r="AG224" i="6"/>
  <c r="AH224" i="6"/>
  <c r="R225" i="6"/>
  <c r="AC225" i="6"/>
  <c r="AD225" i="6"/>
  <c r="AE225" i="6"/>
  <c r="AF225" i="6"/>
  <c r="AG225" i="6"/>
  <c r="AH225" i="6"/>
  <c r="R226" i="6"/>
  <c r="AC226" i="6"/>
  <c r="AD226" i="6"/>
  <c r="AE226" i="6"/>
  <c r="AF226" i="6"/>
  <c r="AG226" i="6"/>
  <c r="AH226" i="6"/>
  <c r="R227" i="6"/>
  <c r="AC227" i="6"/>
  <c r="AD227" i="6"/>
  <c r="AE227" i="6"/>
  <c r="AF227" i="6"/>
  <c r="AG227" i="6"/>
  <c r="AH227" i="6"/>
  <c r="R228" i="6"/>
  <c r="AC228" i="6"/>
  <c r="AD228" i="6"/>
  <c r="AE228" i="6"/>
  <c r="AF228" i="6"/>
  <c r="AG228" i="6"/>
  <c r="AH228" i="6"/>
  <c r="R229" i="6"/>
  <c r="AC229" i="6"/>
  <c r="AD229" i="6"/>
  <c r="AE229" i="6"/>
  <c r="AF229" i="6"/>
  <c r="AG229" i="6"/>
  <c r="AH229" i="6"/>
  <c r="R230" i="6"/>
  <c r="AC230" i="6"/>
  <c r="AD230" i="6"/>
  <c r="AE230" i="6"/>
  <c r="AF230" i="6"/>
  <c r="AG230" i="6"/>
  <c r="AH230" i="6"/>
  <c r="R231" i="6"/>
  <c r="AC231" i="6"/>
  <c r="AD231" i="6"/>
  <c r="AE231" i="6"/>
  <c r="AF231" i="6"/>
  <c r="AG231" i="6"/>
  <c r="AH231" i="6"/>
  <c r="R232" i="6"/>
  <c r="AC232" i="6"/>
  <c r="AD232" i="6"/>
  <c r="AE232" i="6"/>
  <c r="AF232" i="6"/>
  <c r="AG232" i="6"/>
  <c r="AH232" i="6"/>
  <c r="R233" i="6"/>
  <c r="AC233" i="6"/>
  <c r="AD233" i="6"/>
  <c r="AE233" i="6"/>
  <c r="AF233" i="6"/>
  <c r="AG233" i="6"/>
  <c r="AH233" i="6"/>
  <c r="R234" i="6"/>
  <c r="AC234" i="6"/>
  <c r="AD234" i="6"/>
  <c r="AE234" i="6"/>
  <c r="AF234" i="6"/>
  <c r="AG234" i="6"/>
  <c r="AH234" i="6"/>
  <c r="R235" i="6"/>
  <c r="AC235" i="6"/>
  <c r="AD235" i="6"/>
  <c r="AE235" i="6"/>
  <c r="AF235" i="6"/>
  <c r="AG235" i="6"/>
  <c r="AH235" i="6"/>
  <c r="R236" i="6"/>
  <c r="AC236" i="6"/>
  <c r="AD236" i="6"/>
  <c r="AE236" i="6"/>
  <c r="AF236" i="6"/>
  <c r="AG236" i="6"/>
  <c r="AH236" i="6"/>
  <c r="R237" i="6"/>
  <c r="AC237" i="6"/>
  <c r="AD237" i="6"/>
  <c r="AE237" i="6"/>
  <c r="AF237" i="6"/>
  <c r="AG237" i="6"/>
  <c r="AH237" i="6"/>
  <c r="R238" i="6"/>
  <c r="AC238" i="6"/>
  <c r="AD238" i="6"/>
  <c r="AE238" i="6"/>
  <c r="AF238" i="6"/>
  <c r="AG238" i="6"/>
  <c r="AH238" i="6"/>
  <c r="R239" i="6"/>
  <c r="AC239" i="6"/>
  <c r="AD239" i="6"/>
  <c r="AE239" i="6"/>
  <c r="AF239" i="6"/>
  <c r="AG239" i="6"/>
  <c r="AH239" i="6"/>
  <c r="R240" i="6"/>
  <c r="AC240" i="6"/>
  <c r="AD240" i="6"/>
  <c r="AE240" i="6"/>
  <c r="AF240" i="6"/>
  <c r="AG240" i="6"/>
  <c r="AH240" i="6"/>
  <c r="R241" i="6"/>
  <c r="AC241" i="6"/>
  <c r="AD241" i="6"/>
  <c r="AE241" i="6"/>
  <c r="AF241" i="6"/>
  <c r="AG241" i="6"/>
  <c r="AH241" i="6"/>
  <c r="R242" i="6"/>
  <c r="AC242" i="6"/>
  <c r="AD242" i="6"/>
  <c r="AE242" i="6"/>
  <c r="AF242" i="6"/>
  <c r="AG242" i="6"/>
  <c r="AH242" i="6"/>
  <c r="R243" i="6"/>
  <c r="AC243" i="6"/>
  <c r="AD243" i="6"/>
  <c r="AE243" i="6"/>
  <c r="AF243" i="6"/>
  <c r="AG243" i="6"/>
  <c r="AH243" i="6"/>
  <c r="R244" i="6"/>
  <c r="AC244" i="6"/>
  <c r="AD244" i="6"/>
  <c r="AE244" i="6"/>
  <c r="AF244" i="6"/>
  <c r="AG244" i="6"/>
  <c r="AH244" i="6"/>
  <c r="R245" i="6"/>
  <c r="AC245" i="6"/>
  <c r="AD245" i="6"/>
  <c r="AE245" i="6"/>
  <c r="AF245" i="6"/>
  <c r="AG245" i="6"/>
  <c r="AH245" i="6"/>
  <c r="R246" i="6"/>
  <c r="AC246" i="6"/>
  <c r="AD246" i="6"/>
  <c r="AE246" i="6"/>
  <c r="AF246" i="6"/>
  <c r="AG246" i="6"/>
  <c r="AH246" i="6"/>
  <c r="R247" i="6"/>
  <c r="AC247" i="6"/>
  <c r="AD247" i="6"/>
  <c r="AE247" i="6"/>
  <c r="AF247" i="6"/>
  <c r="AG247" i="6"/>
  <c r="AH247" i="6"/>
  <c r="R248" i="6"/>
  <c r="AC248" i="6"/>
  <c r="AD248" i="6"/>
  <c r="AE248" i="6"/>
  <c r="AF248" i="6"/>
  <c r="AG248" i="6"/>
  <c r="AH248" i="6"/>
  <c r="R249" i="6"/>
  <c r="AC249" i="6"/>
  <c r="AD249" i="6"/>
  <c r="AE249" i="6"/>
  <c r="AF249" i="6"/>
  <c r="AG249" i="6"/>
  <c r="AH249" i="6"/>
  <c r="R250" i="6"/>
  <c r="AC250" i="6"/>
  <c r="AD250" i="6"/>
  <c r="AE250" i="6"/>
  <c r="AF250" i="6"/>
  <c r="AG250" i="6"/>
  <c r="AH250" i="6"/>
  <c r="R251" i="6"/>
  <c r="AC251" i="6"/>
  <c r="AD251" i="6"/>
  <c r="AE251" i="6"/>
  <c r="AF251" i="6"/>
  <c r="AG251" i="6"/>
  <c r="AH251" i="6"/>
  <c r="R252" i="6"/>
  <c r="AC252" i="6"/>
  <c r="AD252" i="6"/>
  <c r="AE252" i="6"/>
  <c r="AF252" i="6"/>
  <c r="AG252" i="6"/>
  <c r="AH252" i="6"/>
  <c r="R253" i="6"/>
  <c r="AC253" i="6"/>
  <c r="AD253" i="6"/>
  <c r="AE253" i="6"/>
  <c r="AF253" i="6"/>
  <c r="AG253" i="6"/>
  <c r="AH253" i="6"/>
  <c r="R254" i="6"/>
  <c r="AC254" i="6"/>
  <c r="AD254" i="6"/>
  <c r="AE254" i="6"/>
  <c r="AF254" i="6"/>
  <c r="AG254" i="6"/>
  <c r="AH254" i="6"/>
  <c r="R255" i="6"/>
  <c r="AC255" i="6"/>
  <c r="AD255" i="6"/>
  <c r="AE255" i="6"/>
  <c r="AF255" i="6"/>
  <c r="AG255" i="6"/>
  <c r="AH255" i="6"/>
  <c r="R256" i="6"/>
  <c r="AC256" i="6"/>
  <c r="AD256" i="6"/>
  <c r="AE256" i="6"/>
  <c r="AF256" i="6"/>
  <c r="AG256" i="6"/>
  <c r="AH256" i="6"/>
  <c r="R257" i="6"/>
  <c r="AC257" i="6"/>
  <c r="AD257" i="6"/>
  <c r="AE257" i="6"/>
  <c r="AF257" i="6"/>
  <c r="AG257" i="6"/>
  <c r="AH257" i="6"/>
  <c r="R258" i="6"/>
  <c r="AC258" i="6"/>
  <c r="AD258" i="6"/>
  <c r="AE258" i="6"/>
  <c r="AF258" i="6"/>
  <c r="AG258" i="6"/>
  <c r="AH258" i="6"/>
  <c r="R259" i="6"/>
  <c r="AC259" i="6"/>
  <c r="AD259" i="6"/>
  <c r="AE259" i="6"/>
  <c r="AF259" i="6"/>
  <c r="AG259" i="6"/>
  <c r="AH259" i="6"/>
  <c r="R260" i="6"/>
  <c r="AC260" i="6"/>
  <c r="AD260" i="6"/>
  <c r="AE260" i="6"/>
  <c r="AF260" i="6"/>
  <c r="AG260" i="6"/>
  <c r="AH260" i="6"/>
  <c r="R261" i="6"/>
  <c r="AC261" i="6"/>
  <c r="AD261" i="6"/>
  <c r="AE261" i="6"/>
  <c r="AF261" i="6"/>
  <c r="AG261" i="6"/>
  <c r="AH261" i="6"/>
  <c r="R262" i="6"/>
  <c r="AC262" i="6"/>
  <c r="AD262" i="6"/>
  <c r="AE262" i="6"/>
  <c r="AF262" i="6"/>
  <c r="AG262" i="6"/>
  <c r="AH262" i="6"/>
  <c r="R263" i="6"/>
  <c r="AC263" i="6"/>
  <c r="AD263" i="6"/>
  <c r="AE263" i="6"/>
  <c r="AF263" i="6"/>
  <c r="AG263" i="6"/>
  <c r="AH263" i="6"/>
  <c r="R264" i="6"/>
  <c r="AC264" i="6"/>
  <c r="AD264" i="6"/>
  <c r="AE264" i="6"/>
  <c r="AF264" i="6"/>
  <c r="AG264" i="6"/>
  <c r="AH264" i="6"/>
  <c r="R265" i="6"/>
  <c r="AC265" i="6"/>
  <c r="AD265" i="6"/>
  <c r="AE265" i="6"/>
  <c r="AF265" i="6"/>
  <c r="AG265" i="6"/>
  <c r="AH265" i="6"/>
  <c r="R266" i="6"/>
  <c r="AC266" i="6"/>
  <c r="AD266" i="6"/>
  <c r="AE266" i="6"/>
  <c r="AF266" i="6"/>
  <c r="AG266" i="6"/>
  <c r="AH266" i="6"/>
  <c r="R267" i="6"/>
  <c r="AC267" i="6"/>
  <c r="AD267" i="6"/>
  <c r="AE267" i="6"/>
  <c r="AF267" i="6"/>
  <c r="AG267" i="6"/>
  <c r="AH267" i="6"/>
  <c r="R268" i="6"/>
  <c r="AC268" i="6"/>
  <c r="AD268" i="6"/>
  <c r="AE268" i="6"/>
  <c r="AF268" i="6"/>
  <c r="AG268" i="6"/>
  <c r="AH268" i="6"/>
  <c r="R269" i="6"/>
  <c r="AC269" i="6"/>
  <c r="AD269" i="6"/>
  <c r="AE269" i="6"/>
  <c r="AF269" i="6"/>
  <c r="AG269" i="6"/>
  <c r="AH269" i="6"/>
  <c r="R270" i="6"/>
  <c r="AC270" i="6"/>
  <c r="AD270" i="6"/>
  <c r="AE270" i="6"/>
  <c r="AF270" i="6"/>
  <c r="AG270" i="6"/>
  <c r="AH270" i="6"/>
  <c r="R271" i="6"/>
  <c r="AC271" i="6"/>
  <c r="AD271" i="6"/>
  <c r="AE271" i="6"/>
  <c r="AF271" i="6"/>
  <c r="AG271" i="6"/>
  <c r="AH271" i="6"/>
  <c r="R272" i="6"/>
  <c r="AC272" i="6"/>
  <c r="AD272" i="6"/>
  <c r="AE272" i="6"/>
  <c r="AF272" i="6"/>
  <c r="AG272" i="6"/>
  <c r="AH272" i="6"/>
  <c r="R273" i="6"/>
  <c r="AC273" i="6"/>
  <c r="AD273" i="6"/>
  <c r="AE273" i="6"/>
  <c r="AF273" i="6"/>
  <c r="AG273" i="6"/>
  <c r="AH273" i="6"/>
  <c r="R274" i="6"/>
  <c r="AC274" i="6"/>
  <c r="AD274" i="6"/>
  <c r="AE274" i="6"/>
  <c r="AF274" i="6"/>
  <c r="AG274" i="6"/>
  <c r="AH274" i="6"/>
  <c r="R275" i="6"/>
  <c r="AC275" i="6"/>
  <c r="AD275" i="6"/>
  <c r="AE275" i="6"/>
  <c r="AF275" i="6"/>
  <c r="AG275" i="6"/>
  <c r="AH275" i="6"/>
  <c r="R276" i="6"/>
  <c r="AC276" i="6"/>
  <c r="AD276" i="6"/>
  <c r="AE276" i="6"/>
  <c r="AF276" i="6"/>
  <c r="AG276" i="6"/>
  <c r="AH276" i="6"/>
  <c r="R277" i="6"/>
  <c r="AC277" i="6"/>
  <c r="AD277" i="6"/>
  <c r="AE277" i="6"/>
  <c r="AF277" i="6"/>
  <c r="AG277" i="6"/>
  <c r="AH277" i="6"/>
  <c r="R278" i="6"/>
  <c r="AC278" i="6"/>
  <c r="AD278" i="6"/>
  <c r="AE278" i="6"/>
  <c r="AF278" i="6"/>
  <c r="AG278" i="6"/>
  <c r="AH278" i="6"/>
  <c r="R279" i="6"/>
  <c r="AC279" i="6"/>
  <c r="AD279" i="6"/>
  <c r="AE279" i="6"/>
  <c r="AF279" i="6"/>
  <c r="AG279" i="6"/>
  <c r="AH279" i="6"/>
  <c r="R280" i="6"/>
  <c r="AC280" i="6"/>
  <c r="AD280" i="6"/>
  <c r="AE280" i="6"/>
  <c r="AF280" i="6"/>
  <c r="AG280" i="6"/>
  <c r="AH280" i="6"/>
  <c r="R281" i="6"/>
  <c r="AC281" i="6"/>
  <c r="AD281" i="6"/>
  <c r="AE281" i="6"/>
  <c r="AF281" i="6"/>
  <c r="AG281" i="6"/>
  <c r="AH281" i="6"/>
  <c r="R282" i="6"/>
  <c r="AC282" i="6"/>
  <c r="AD282" i="6"/>
  <c r="AE282" i="6"/>
  <c r="AF282" i="6"/>
  <c r="AG282" i="6"/>
  <c r="AH282" i="6"/>
  <c r="R283" i="6"/>
  <c r="AC283" i="6"/>
  <c r="AD283" i="6"/>
  <c r="AE283" i="6"/>
  <c r="AF283" i="6"/>
  <c r="AG283" i="6"/>
  <c r="AH283" i="6"/>
  <c r="R284" i="6"/>
  <c r="AC284" i="6"/>
  <c r="AD284" i="6"/>
  <c r="AE284" i="6"/>
  <c r="AF284" i="6"/>
  <c r="AG284" i="6"/>
  <c r="AH284" i="6"/>
  <c r="R285" i="6"/>
  <c r="AC285" i="6"/>
  <c r="AD285" i="6"/>
  <c r="AE285" i="6"/>
  <c r="AF285" i="6"/>
  <c r="AG285" i="6"/>
  <c r="AH285" i="6"/>
  <c r="R286" i="6"/>
  <c r="AC286" i="6"/>
  <c r="AD286" i="6"/>
  <c r="AE286" i="6"/>
  <c r="AF286" i="6"/>
  <c r="AG286" i="6"/>
  <c r="AH286" i="6"/>
  <c r="R287" i="6"/>
  <c r="AC287" i="6"/>
  <c r="AD287" i="6"/>
  <c r="AE287" i="6"/>
  <c r="AF287" i="6"/>
  <c r="AG287" i="6"/>
  <c r="AH287" i="6"/>
  <c r="R288" i="6"/>
  <c r="AC288" i="6"/>
  <c r="AD288" i="6"/>
  <c r="AE288" i="6"/>
  <c r="AF288" i="6"/>
  <c r="AG288" i="6"/>
  <c r="AH288" i="6"/>
  <c r="R289" i="6"/>
  <c r="AC289" i="6"/>
  <c r="AD289" i="6"/>
  <c r="AE289" i="6"/>
  <c r="AF289" i="6"/>
  <c r="AG289" i="6"/>
  <c r="AH289" i="6"/>
  <c r="R290" i="6"/>
  <c r="AC290" i="6"/>
  <c r="AD290" i="6"/>
  <c r="AE290" i="6"/>
  <c r="AF290" i="6"/>
  <c r="AG290" i="6"/>
  <c r="AH290" i="6"/>
  <c r="R291" i="6"/>
  <c r="AC291" i="6"/>
  <c r="AD291" i="6"/>
  <c r="AE291" i="6"/>
  <c r="AF291" i="6"/>
  <c r="AG291" i="6"/>
  <c r="AH291" i="6"/>
  <c r="R292" i="6"/>
  <c r="AC292" i="6"/>
  <c r="AD292" i="6"/>
  <c r="AE292" i="6"/>
  <c r="AF292" i="6"/>
  <c r="AG292" i="6"/>
  <c r="AH292" i="6"/>
  <c r="R293" i="6"/>
  <c r="AC293" i="6"/>
  <c r="AD293" i="6"/>
  <c r="AE293" i="6"/>
  <c r="AF293" i="6"/>
  <c r="AG293" i="6"/>
  <c r="AH293" i="6"/>
  <c r="R294" i="6"/>
  <c r="AC294" i="6"/>
  <c r="AD294" i="6"/>
  <c r="AE294" i="6"/>
  <c r="AF294" i="6"/>
  <c r="AG294" i="6"/>
  <c r="AH294" i="6"/>
  <c r="R295" i="6"/>
  <c r="AC295" i="6"/>
  <c r="AD295" i="6"/>
  <c r="AE295" i="6"/>
  <c r="AF295" i="6"/>
  <c r="AG295" i="6"/>
  <c r="AH295" i="6"/>
  <c r="R296" i="6"/>
  <c r="AC296" i="6"/>
  <c r="AD296" i="6"/>
  <c r="AE296" i="6"/>
  <c r="AF296" i="6"/>
  <c r="AG296" i="6"/>
  <c r="AH296" i="6"/>
  <c r="R297" i="6"/>
  <c r="AC297" i="6"/>
  <c r="AD297" i="6"/>
  <c r="AE297" i="6"/>
  <c r="AF297" i="6"/>
  <c r="AG297" i="6"/>
  <c r="AH297" i="6"/>
  <c r="R298" i="6"/>
  <c r="AC298" i="6"/>
  <c r="AD298" i="6"/>
  <c r="AE298" i="6"/>
  <c r="AF298" i="6"/>
  <c r="AG298" i="6"/>
  <c r="AH298" i="6"/>
  <c r="R299" i="6"/>
  <c r="AC299" i="6"/>
  <c r="AD299" i="6"/>
  <c r="AE299" i="6"/>
  <c r="AF299" i="6"/>
  <c r="AG299" i="6"/>
  <c r="AH299" i="6"/>
  <c r="R300" i="6"/>
  <c r="AC300" i="6"/>
  <c r="AD300" i="6"/>
  <c r="AE300" i="6"/>
  <c r="AF300" i="6"/>
  <c r="AG300" i="6"/>
  <c r="AH300" i="6"/>
  <c r="R301" i="6"/>
  <c r="AC301" i="6"/>
  <c r="AD301" i="6"/>
  <c r="AE301" i="6"/>
  <c r="AF301" i="6"/>
  <c r="AG301" i="6"/>
  <c r="AH301" i="6"/>
  <c r="R302" i="6"/>
  <c r="AC302" i="6"/>
  <c r="AD302" i="6"/>
  <c r="AE302" i="6"/>
  <c r="AF302" i="6"/>
  <c r="AG302" i="6"/>
  <c r="AH302" i="6"/>
  <c r="R303" i="6"/>
  <c r="AC303" i="6"/>
  <c r="AD303" i="6"/>
  <c r="AE303" i="6"/>
  <c r="AF303" i="6"/>
  <c r="AG303" i="6"/>
  <c r="AH303" i="6"/>
  <c r="R304" i="6"/>
  <c r="AC304" i="6"/>
  <c r="AD304" i="6"/>
  <c r="AE304" i="6"/>
  <c r="AF304" i="6"/>
  <c r="AG304" i="6"/>
  <c r="AH304" i="6"/>
  <c r="R305" i="6"/>
  <c r="AC305" i="6"/>
  <c r="AD305" i="6"/>
  <c r="AE305" i="6"/>
  <c r="AF305" i="6"/>
  <c r="AG305" i="6"/>
  <c r="AH305" i="6"/>
  <c r="R306" i="6"/>
  <c r="AC306" i="6"/>
  <c r="AD306" i="6"/>
  <c r="AE306" i="6"/>
  <c r="AF306" i="6"/>
  <c r="AG306" i="6"/>
  <c r="AH306" i="6"/>
  <c r="R307" i="6"/>
  <c r="AC307" i="6"/>
  <c r="AD307" i="6"/>
  <c r="AE307" i="6"/>
  <c r="AF307" i="6"/>
  <c r="AG307" i="6"/>
  <c r="AH307" i="6"/>
  <c r="R308" i="6"/>
  <c r="AC308" i="6"/>
  <c r="AD308" i="6"/>
  <c r="AE308" i="6"/>
  <c r="AF308" i="6"/>
  <c r="AG308" i="6"/>
  <c r="AH308" i="6"/>
  <c r="R309" i="6"/>
  <c r="AC309" i="6"/>
  <c r="AD309" i="6"/>
  <c r="AE309" i="6"/>
  <c r="AF309" i="6"/>
  <c r="AG309" i="6"/>
  <c r="AH309" i="6"/>
  <c r="R310" i="6"/>
  <c r="AC310" i="6"/>
  <c r="AD310" i="6"/>
  <c r="AE310" i="6"/>
  <c r="AF310" i="6"/>
  <c r="AG310" i="6"/>
  <c r="AH310" i="6"/>
  <c r="R311" i="6"/>
  <c r="AC311" i="6"/>
  <c r="AD311" i="6"/>
  <c r="AE311" i="6"/>
  <c r="AF311" i="6"/>
  <c r="AG311" i="6"/>
  <c r="AH311" i="6"/>
  <c r="R312" i="6"/>
  <c r="AC312" i="6"/>
  <c r="AD312" i="6"/>
  <c r="AE312" i="6"/>
  <c r="AF312" i="6"/>
  <c r="AG312" i="6"/>
  <c r="AH312" i="6"/>
  <c r="R313" i="6"/>
  <c r="AC313" i="6"/>
  <c r="AD313" i="6"/>
  <c r="AE313" i="6"/>
  <c r="AF313" i="6"/>
  <c r="AG313" i="6"/>
  <c r="AH313" i="6"/>
  <c r="R314" i="6"/>
  <c r="AC314" i="6"/>
  <c r="AD314" i="6"/>
  <c r="AE314" i="6"/>
  <c r="AF314" i="6"/>
  <c r="AG314" i="6"/>
  <c r="AH314" i="6"/>
  <c r="R315" i="6"/>
  <c r="AC315" i="6"/>
  <c r="AD315" i="6"/>
  <c r="AE315" i="6"/>
  <c r="AF315" i="6"/>
  <c r="AG315" i="6"/>
  <c r="AH315" i="6"/>
  <c r="R316" i="6"/>
  <c r="AC316" i="6"/>
  <c r="AD316" i="6"/>
  <c r="AE316" i="6"/>
  <c r="AF316" i="6"/>
  <c r="AG316" i="6"/>
  <c r="AH316" i="6"/>
  <c r="R317" i="6"/>
  <c r="AC317" i="6"/>
  <c r="AD317" i="6"/>
  <c r="AE317" i="6"/>
  <c r="AF317" i="6"/>
  <c r="AG317" i="6"/>
  <c r="AH317" i="6"/>
  <c r="R318" i="6"/>
  <c r="AC318" i="6"/>
  <c r="AD318" i="6"/>
  <c r="AE318" i="6"/>
  <c r="AF318" i="6"/>
  <c r="AG318" i="6"/>
  <c r="AH318" i="6"/>
  <c r="R319" i="6"/>
  <c r="AC319" i="6"/>
  <c r="AD319" i="6"/>
  <c r="AE319" i="6"/>
  <c r="AF319" i="6"/>
  <c r="AG319" i="6"/>
  <c r="AH319" i="6"/>
  <c r="R320" i="6"/>
  <c r="AC320" i="6"/>
  <c r="AD320" i="6"/>
  <c r="AE320" i="6"/>
  <c r="AF320" i="6"/>
  <c r="AG320" i="6"/>
  <c r="AH320" i="6"/>
  <c r="R321" i="6"/>
  <c r="AC321" i="6"/>
  <c r="AD321" i="6"/>
  <c r="AE321" i="6"/>
  <c r="AF321" i="6"/>
  <c r="AG321" i="6"/>
  <c r="AH321" i="6"/>
  <c r="R322" i="6"/>
  <c r="AC322" i="6"/>
  <c r="AD322" i="6"/>
  <c r="AE322" i="6"/>
  <c r="AF322" i="6"/>
  <c r="AG322" i="6"/>
  <c r="AH322" i="6"/>
  <c r="R323" i="6"/>
  <c r="AC323" i="6"/>
  <c r="AD323" i="6"/>
  <c r="AE323" i="6"/>
  <c r="AF323" i="6"/>
  <c r="AG323" i="6"/>
  <c r="AH323" i="6"/>
  <c r="R324" i="6"/>
  <c r="AC324" i="6"/>
  <c r="AD324" i="6"/>
  <c r="AE324" i="6"/>
  <c r="AF324" i="6"/>
  <c r="AG324" i="6"/>
  <c r="AH324" i="6"/>
  <c r="R325" i="6"/>
  <c r="AC325" i="6"/>
  <c r="AD325" i="6"/>
  <c r="AE325" i="6"/>
  <c r="AF325" i="6"/>
  <c r="AG325" i="6"/>
  <c r="AH325" i="6"/>
  <c r="R326" i="6"/>
  <c r="AC326" i="6"/>
  <c r="AD326" i="6"/>
  <c r="AE326" i="6"/>
  <c r="AF326" i="6"/>
  <c r="AG326" i="6"/>
  <c r="AH326" i="6"/>
  <c r="R327" i="6"/>
  <c r="AC327" i="6"/>
  <c r="AD327" i="6"/>
  <c r="AE327" i="6"/>
  <c r="AF327" i="6"/>
  <c r="AG327" i="6"/>
  <c r="AH327" i="6"/>
  <c r="R328" i="6"/>
  <c r="AC328" i="6"/>
  <c r="AD328" i="6"/>
  <c r="AE328" i="6"/>
  <c r="AF328" i="6"/>
  <c r="AG328" i="6"/>
  <c r="AH328" i="6"/>
  <c r="R329" i="6"/>
  <c r="AC329" i="6"/>
  <c r="AD329" i="6"/>
  <c r="AE329" i="6"/>
  <c r="AF329" i="6"/>
  <c r="AG329" i="6"/>
  <c r="AH329" i="6"/>
  <c r="R330" i="6"/>
  <c r="AC330" i="6"/>
  <c r="AD330" i="6"/>
  <c r="AE330" i="6"/>
  <c r="AF330" i="6"/>
  <c r="AG330" i="6"/>
  <c r="AH330" i="6"/>
  <c r="R331" i="6"/>
  <c r="AC331" i="6"/>
  <c r="AD331" i="6"/>
  <c r="AE331" i="6"/>
  <c r="AF331" i="6"/>
  <c r="AG331" i="6"/>
  <c r="AH331" i="6"/>
  <c r="R332" i="6"/>
  <c r="AC332" i="6"/>
  <c r="AD332" i="6"/>
  <c r="AE332" i="6"/>
  <c r="AF332" i="6"/>
  <c r="AG332" i="6"/>
  <c r="AH332" i="6"/>
  <c r="R333" i="6"/>
  <c r="AC333" i="6"/>
  <c r="AD333" i="6"/>
  <c r="AE333" i="6"/>
  <c r="AF333" i="6"/>
  <c r="AG333" i="6"/>
  <c r="AH333" i="6"/>
  <c r="R334" i="6"/>
  <c r="AC334" i="6"/>
  <c r="AD334" i="6"/>
  <c r="AE334" i="6"/>
  <c r="AF334" i="6"/>
  <c r="AG334" i="6"/>
  <c r="AH334" i="6"/>
  <c r="R335" i="6"/>
  <c r="AC335" i="6"/>
  <c r="AD335" i="6"/>
  <c r="AE335" i="6"/>
  <c r="AF335" i="6"/>
  <c r="AG335" i="6"/>
  <c r="AH335" i="6"/>
  <c r="R336" i="6"/>
  <c r="AC336" i="6"/>
  <c r="AD336" i="6"/>
  <c r="AE336" i="6"/>
  <c r="AF336" i="6"/>
  <c r="AG336" i="6"/>
  <c r="AH336" i="6"/>
  <c r="R337" i="6"/>
  <c r="AC337" i="6"/>
  <c r="AD337" i="6"/>
  <c r="AE337" i="6"/>
  <c r="AF337" i="6"/>
  <c r="AG337" i="6"/>
  <c r="AH337" i="6"/>
  <c r="R338" i="6"/>
  <c r="AC338" i="6"/>
  <c r="AD338" i="6"/>
  <c r="AE338" i="6"/>
  <c r="AF338" i="6"/>
  <c r="AG338" i="6"/>
  <c r="AH338" i="6"/>
  <c r="R339" i="6"/>
  <c r="AC339" i="6"/>
  <c r="AD339" i="6"/>
  <c r="AE339" i="6"/>
  <c r="AF339" i="6"/>
  <c r="AG339" i="6"/>
  <c r="AH339" i="6"/>
  <c r="R340" i="6"/>
  <c r="AC340" i="6"/>
  <c r="AD340" i="6"/>
  <c r="AE340" i="6"/>
  <c r="AF340" i="6"/>
  <c r="AG340" i="6"/>
  <c r="AH340" i="6"/>
  <c r="R341" i="6"/>
  <c r="AC341" i="6"/>
  <c r="AD341" i="6"/>
  <c r="AE341" i="6"/>
  <c r="AF341" i="6"/>
  <c r="AG341" i="6"/>
  <c r="AH341" i="6"/>
  <c r="R342" i="6"/>
  <c r="AC342" i="6"/>
  <c r="AD342" i="6"/>
  <c r="AE342" i="6"/>
  <c r="AF342" i="6"/>
  <c r="AG342" i="6"/>
  <c r="AH342" i="6"/>
  <c r="R343" i="6"/>
  <c r="AC343" i="6"/>
  <c r="AD343" i="6"/>
  <c r="AE343" i="6"/>
  <c r="AF343" i="6"/>
  <c r="AG343" i="6"/>
  <c r="AH343" i="6"/>
  <c r="R344" i="6"/>
  <c r="AC344" i="6"/>
  <c r="AD344" i="6"/>
  <c r="AE344" i="6"/>
  <c r="AF344" i="6"/>
  <c r="AG344" i="6"/>
  <c r="AH344" i="6"/>
  <c r="R345" i="6"/>
  <c r="AC345" i="6"/>
  <c r="AD345" i="6"/>
  <c r="AE345" i="6"/>
  <c r="AF345" i="6"/>
  <c r="AG345" i="6"/>
  <c r="AH345" i="6"/>
  <c r="R346" i="6"/>
  <c r="AC346" i="6"/>
  <c r="AD346" i="6"/>
  <c r="AE346" i="6"/>
  <c r="AF346" i="6"/>
  <c r="AG346" i="6"/>
  <c r="AH346" i="6"/>
  <c r="R347" i="6"/>
  <c r="AC347" i="6"/>
  <c r="AD347" i="6"/>
  <c r="AE347" i="6"/>
  <c r="AF347" i="6"/>
  <c r="AG347" i="6"/>
  <c r="AH347" i="6"/>
  <c r="R348" i="6"/>
  <c r="AC348" i="6"/>
  <c r="AD348" i="6"/>
  <c r="AE348" i="6"/>
  <c r="AF348" i="6"/>
  <c r="AG348" i="6"/>
  <c r="AH348" i="6"/>
  <c r="R349" i="6"/>
  <c r="AC349" i="6"/>
  <c r="AD349" i="6"/>
  <c r="AE349" i="6"/>
  <c r="AF349" i="6"/>
  <c r="AG349" i="6"/>
  <c r="AH349" i="6"/>
  <c r="R350" i="6"/>
  <c r="AC350" i="6"/>
  <c r="AD350" i="6"/>
  <c r="AE350" i="6"/>
  <c r="AF350" i="6"/>
  <c r="AG350" i="6"/>
  <c r="AH350" i="6"/>
  <c r="R351" i="6"/>
  <c r="AC351" i="6"/>
  <c r="AD351" i="6"/>
  <c r="AE351" i="6"/>
  <c r="AF351" i="6"/>
  <c r="AG351" i="6"/>
  <c r="AH351" i="6"/>
  <c r="R352" i="6"/>
  <c r="AC352" i="6"/>
  <c r="AD352" i="6"/>
  <c r="AE352" i="6"/>
  <c r="AF352" i="6"/>
  <c r="AG352" i="6"/>
  <c r="AH352" i="6"/>
  <c r="R353" i="6"/>
  <c r="AC353" i="6"/>
  <c r="AD353" i="6"/>
  <c r="AE353" i="6"/>
  <c r="AF353" i="6"/>
  <c r="AG353" i="6"/>
  <c r="AH353" i="6"/>
  <c r="R354" i="6"/>
  <c r="AC354" i="6"/>
  <c r="AD354" i="6"/>
  <c r="AE354" i="6"/>
  <c r="AF354" i="6"/>
  <c r="AG354" i="6"/>
  <c r="AH354" i="6"/>
  <c r="R355" i="6"/>
  <c r="AC355" i="6"/>
  <c r="AD355" i="6"/>
  <c r="AE355" i="6"/>
  <c r="AF355" i="6"/>
  <c r="AG355" i="6"/>
  <c r="AH355" i="6"/>
  <c r="R356" i="6"/>
  <c r="AC356" i="6"/>
  <c r="AD356" i="6"/>
  <c r="AE356" i="6"/>
  <c r="AF356" i="6"/>
  <c r="AG356" i="6"/>
  <c r="AH356" i="6"/>
  <c r="R357" i="6"/>
  <c r="AC357" i="6"/>
  <c r="AD357" i="6"/>
  <c r="AE357" i="6"/>
  <c r="AF357" i="6"/>
  <c r="AG357" i="6"/>
  <c r="AH357" i="6"/>
  <c r="R358" i="6"/>
  <c r="AC358" i="6"/>
  <c r="AD358" i="6"/>
  <c r="AE358" i="6"/>
  <c r="AF358" i="6"/>
  <c r="AG358" i="6"/>
  <c r="AH358" i="6"/>
  <c r="R359" i="6"/>
  <c r="AC359" i="6"/>
  <c r="AD359" i="6"/>
  <c r="AE359" i="6"/>
  <c r="AF359" i="6"/>
  <c r="AG359" i="6"/>
  <c r="AH359" i="6"/>
  <c r="R360" i="6"/>
  <c r="AC360" i="6"/>
  <c r="AD360" i="6"/>
  <c r="AE360" i="6"/>
  <c r="AF360" i="6"/>
  <c r="AG360" i="6"/>
  <c r="AH360" i="6"/>
  <c r="R361" i="6"/>
  <c r="AC361" i="6"/>
  <c r="AD361" i="6"/>
  <c r="AE361" i="6"/>
  <c r="AF361" i="6"/>
  <c r="AG361" i="6"/>
  <c r="AH361" i="6"/>
  <c r="R362" i="6"/>
  <c r="AC362" i="6"/>
  <c r="AD362" i="6"/>
  <c r="AE362" i="6"/>
  <c r="AF362" i="6"/>
  <c r="AG362" i="6"/>
  <c r="AH362" i="6"/>
  <c r="R363" i="6"/>
  <c r="AC363" i="6"/>
  <c r="AD363" i="6"/>
  <c r="AE363" i="6"/>
  <c r="AF363" i="6"/>
  <c r="AG363" i="6"/>
  <c r="AH363" i="6"/>
  <c r="R364" i="6"/>
  <c r="AC364" i="6"/>
  <c r="AD364" i="6"/>
  <c r="AE364" i="6"/>
  <c r="AF364" i="6"/>
  <c r="AG364" i="6"/>
  <c r="AH364" i="6"/>
  <c r="R365" i="6"/>
  <c r="AC365" i="6"/>
  <c r="AD365" i="6"/>
  <c r="AE365" i="6"/>
  <c r="AF365" i="6"/>
  <c r="AG365" i="6"/>
  <c r="AH365" i="6"/>
  <c r="R366" i="6"/>
  <c r="AC366" i="6"/>
  <c r="AD366" i="6"/>
  <c r="AE366" i="6"/>
  <c r="AF366" i="6"/>
  <c r="AG366" i="6"/>
  <c r="AH366" i="6"/>
  <c r="R367" i="6"/>
  <c r="AC367" i="6"/>
  <c r="AD367" i="6"/>
  <c r="AE367" i="6"/>
  <c r="AF367" i="6"/>
  <c r="AG367" i="6"/>
  <c r="AH367" i="6"/>
  <c r="R368" i="6"/>
  <c r="AC368" i="6"/>
  <c r="AD368" i="6"/>
  <c r="AE368" i="6"/>
  <c r="AF368" i="6"/>
  <c r="AG368" i="6"/>
  <c r="AH368" i="6"/>
  <c r="R372" i="6"/>
  <c r="AC372" i="6"/>
  <c r="AD372" i="6"/>
  <c r="AE372" i="6"/>
  <c r="AF372" i="6"/>
  <c r="AG372" i="6"/>
  <c r="AH372" i="6"/>
  <c r="R373" i="6"/>
  <c r="AC373" i="6"/>
  <c r="AD373" i="6"/>
  <c r="AE373" i="6"/>
  <c r="AF373" i="6"/>
  <c r="AG373" i="6"/>
  <c r="AH373" i="6"/>
  <c r="R374" i="6"/>
  <c r="AC374" i="6"/>
  <c r="AD374" i="6"/>
  <c r="AE374" i="6"/>
  <c r="AF374" i="6"/>
  <c r="AG374" i="6"/>
  <c r="AH374" i="6"/>
  <c r="R375" i="6"/>
  <c r="AC375" i="6"/>
  <c r="AD375" i="6"/>
  <c r="AE375" i="6"/>
  <c r="AF375" i="6"/>
  <c r="AG375" i="6"/>
  <c r="AH375" i="6"/>
  <c r="R376" i="6"/>
  <c r="AC376" i="6"/>
  <c r="AD376" i="6"/>
  <c r="AE376" i="6"/>
  <c r="AF376" i="6"/>
  <c r="AG376" i="6"/>
  <c r="AH376" i="6"/>
  <c r="R377" i="6"/>
  <c r="AC377" i="6"/>
  <c r="AD377" i="6"/>
  <c r="AE377" i="6"/>
  <c r="AF377" i="6"/>
  <c r="AG377" i="6"/>
  <c r="AH377" i="6"/>
  <c r="R378" i="6"/>
  <c r="AC378" i="6"/>
  <c r="AD378" i="6"/>
  <c r="AE378" i="6"/>
  <c r="AF378" i="6"/>
  <c r="AG378" i="6"/>
  <c r="AH378" i="6"/>
  <c r="R379" i="6"/>
  <c r="AC379" i="6"/>
  <c r="AD379" i="6"/>
  <c r="AE379" i="6"/>
  <c r="AF379" i="6"/>
  <c r="AG379" i="6"/>
  <c r="AH379" i="6"/>
  <c r="R380" i="6"/>
  <c r="AC380" i="6"/>
  <c r="AD380" i="6"/>
  <c r="AE380" i="6"/>
  <c r="AF380" i="6"/>
  <c r="AG380" i="6"/>
  <c r="AH380" i="6"/>
  <c r="R381" i="6"/>
  <c r="AC381" i="6"/>
  <c r="AD381" i="6"/>
  <c r="AE381" i="6"/>
  <c r="AF381" i="6"/>
  <c r="AG381" i="6"/>
  <c r="AH381" i="6"/>
  <c r="R382" i="6"/>
  <c r="AC382" i="6"/>
  <c r="AD382" i="6"/>
  <c r="AE382" i="6"/>
  <c r="AF382" i="6"/>
  <c r="AG382" i="6"/>
  <c r="AH382" i="6"/>
  <c r="R383" i="6"/>
  <c r="AC383" i="6"/>
  <c r="AD383" i="6"/>
  <c r="AE383" i="6"/>
  <c r="AF383" i="6"/>
  <c r="AG383" i="6"/>
  <c r="AH383" i="6"/>
  <c r="R384" i="6"/>
  <c r="AC384" i="6"/>
  <c r="AD384" i="6"/>
  <c r="AE384" i="6"/>
  <c r="AF384" i="6"/>
  <c r="AG384" i="6"/>
  <c r="AH384" i="6"/>
  <c r="R385" i="6"/>
  <c r="AC385" i="6"/>
  <c r="AD385" i="6"/>
  <c r="AE385" i="6"/>
  <c r="AF385" i="6"/>
  <c r="AG385" i="6"/>
  <c r="AH385" i="6"/>
  <c r="R386" i="6"/>
  <c r="AC386" i="6"/>
  <c r="AD386" i="6"/>
  <c r="AE386" i="6"/>
  <c r="AF386" i="6"/>
  <c r="AG386" i="6"/>
  <c r="AH386" i="6"/>
  <c r="R387" i="6"/>
  <c r="AC387" i="6"/>
  <c r="AD387" i="6"/>
  <c r="AE387" i="6"/>
  <c r="AF387" i="6"/>
  <c r="AG387" i="6"/>
  <c r="AH387" i="6"/>
  <c r="R388" i="6"/>
  <c r="AC388" i="6"/>
  <c r="AD388" i="6"/>
  <c r="AE388" i="6"/>
  <c r="AF388" i="6"/>
  <c r="AG388" i="6"/>
  <c r="AH388" i="6"/>
  <c r="R389" i="6"/>
  <c r="AC389" i="6"/>
  <c r="AD389" i="6"/>
  <c r="AE389" i="6"/>
  <c r="AF389" i="6"/>
  <c r="AG389" i="6"/>
  <c r="AH389" i="6"/>
  <c r="R390" i="6"/>
  <c r="AC390" i="6"/>
  <c r="AD390" i="6"/>
  <c r="AE390" i="6"/>
  <c r="AF390" i="6"/>
  <c r="AG390" i="6"/>
  <c r="AH390" i="6"/>
  <c r="R391" i="6"/>
  <c r="AC391" i="6"/>
  <c r="AD391" i="6"/>
  <c r="AE391" i="6"/>
  <c r="AF391" i="6"/>
  <c r="AG391" i="6"/>
  <c r="AH391" i="6"/>
  <c r="R392" i="6"/>
  <c r="AC392" i="6"/>
  <c r="AD392" i="6"/>
  <c r="AE392" i="6"/>
  <c r="AF392" i="6"/>
  <c r="AG392" i="6"/>
  <c r="AH392" i="6"/>
  <c r="R393" i="6"/>
  <c r="AC393" i="6"/>
  <c r="AD393" i="6"/>
  <c r="AE393" i="6"/>
  <c r="AF393" i="6"/>
  <c r="AG393" i="6"/>
  <c r="AH393" i="6"/>
  <c r="R394" i="6"/>
  <c r="AC394" i="6"/>
  <c r="AD394" i="6"/>
  <c r="AE394" i="6"/>
  <c r="AF394" i="6"/>
  <c r="AG394" i="6"/>
  <c r="AH394" i="6"/>
  <c r="R395" i="6"/>
  <c r="AC395" i="6"/>
  <c r="AD395" i="6"/>
  <c r="AE395" i="6"/>
  <c r="AF395" i="6"/>
  <c r="AG395" i="6"/>
  <c r="AH395" i="6"/>
  <c r="R396" i="6"/>
  <c r="AC396" i="6"/>
  <c r="AD396" i="6"/>
  <c r="AE396" i="6"/>
  <c r="AF396" i="6"/>
  <c r="AG396" i="6"/>
  <c r="AH396" i="6"/>
  <c r="R397" i="6"/>
  <c r="AC397" i="6"/>
  <c r="AD397" i="6"/>
  <c r="AE397" i="6"/>
  <c r="AF397" i="6"/>
  <c r="AG397" i="6"/>
  <c r="AH397" i="6"/>
  <c r="R398" i="6"/>
  <c r="AC398" i="6"/>
  <c r="AD398" i="6"/>
  <c r="AE398" i="6"/>
  <c r="AF398" i="6"/>
  <c r="AG398" i="6"/>
  <c r="AH398" i="6"/>
  <c r="R399" i="6"/>
  <c r="AC399" i="6"/>
  <c r="AD399" i="6"/>
  <c r="AE399" i="6"/>
  <c r="AF399" i="6"/>
  <c r="AG399" i="6"/>
  <c r="AH399" i="6"/>
  <c r="R400" i="6"/>
  <c r="AC400" i="6"/>
  <c r="AD400" i="6"/>
  <c r="AE400" i="6"/>
  <c r="AF400" i="6"/>
  <c r="AG400" i="6"/>
  <c r="AH400" i="6"/>
  <c r="R401" i="6"/>
  <c r="AC401" i="6"/>
  <c r="AD401" i="6"/>
  <c r="AE401" i="6"/>
  <c r="AF401" i="6"/>
  <c r="AG401" i="6"/>
  <c r="AH401" i="6"/>
  <c r="R402" i="6"/>
  <c r="AC402" i="6"/>
  <c r="AD402" i="6"/>
  <c r="AE402" i="6"/>
  <c r="AF402" i="6"/>
  <c r="AG402" i="6"/>
  <c r="AH402" i="6"/>
  <c r="R403" i="6"/>
  <c r="AC403" i="6"/>
  <c r="AD403" i="6"/>
  <c r="AE403" i="6"/>
  <c r="AF403" i="6"/>
  <c r="AG403" i="6"/>
  <c r="AH403" i="6"/>
  <c r="R404" i="6"/>
  <c r="AC404" i="6"/>
  <c r="AD404" i="6"/>
  <c r="AE404" i="6"/>
  <c r="AF404" i="6"/>
  <c r="AG404" i="6"/>
  <c r="AH404" i="6"/>
  <c r="R405" i="6"/>
  <c r="AC405" i="6"/>
  <c r="AD405" i="6"/>
  <c r="AE405" i="6"/>
  <c r="AF405" i="6"/>
  <c r="AG405" i="6"/>
  <c r="AH405" i="6"/>
  <c r="R406" i="6"/>
  <c r="AC406" i="6"/>
  <c r="AD406" i="6"/>
  <c r="AE406" i="6"/>
  <c r="AF406" i="6"/>
  <c r="AG406" i="6"/>
  <c r="AH406" i="6"/>
  <c r="R407" i="6"/>
  <c r="AC407" i="6"/>
  <c r="AD407" i="6"/>
  <c r="AE407" i="6"/>
  <c r="AF407" i="6"/>
  <c r="AG407" i="6"/>
  <c r="AH407" i="6"/>
  <c r="R408" i="6"/>
  <c r="AC408" i="6"/>
  <c r="AD408" i="6"/>
  <c r="AE408" i="6"/>
  <c r="AF408" i="6"/>
  <c r="AG408" i="6"/>
  <c r="AH408" i="6"/>
  <c r="R409" i="6"/>
  <c r="AC409" i="6"/>
  <c r="AD409" i="6"/>
  <c r="AE409" i="6"/>
  <c r="AF409" i="6"/>
  <c r="AG409" i="6"/>
  <c r="AH409" i="6"/>
  <c r="R410" i="6"/>
  <c r="AC410" i="6"/>
  <c r="AD410" i="6"/>
  <c r="AE410" i="6"/>
  <c r="AF410" i="6"/>
  <c r="AG410" i="6"/>
  <c r="AH410" i="6"/>
  <c r="R411" i="6"/>
  <c r="AC411" i="6"/>
  <c r="AD411" i="6"/>
  <c r="AE411" i="6"/>
  <c r="AF411" i="6"/>
  <c r="AG411" i="6"/>
  <c r="AH411" i="6"/>
  <c r="R412" i="6"/>
  <c r="AC412" i="6"/>
  <c r="AD412" i="6"/>
  <c r="AE412" i="6"/>
  <c r="AF412" i="6"/>
  <c r="AG412" i="6"/>
  <c r="AH412" i="6"/>
  <c r="R413" i="6"/>
  <c r="AC413" i="6"/>
  <c r="AD413" i="6"/>
  <c r="AE413" i="6"/>
  <c r="AF413" i="6"/>
  <c r="AG413" i="6"/>
  <c r="AH413" i="6"/>
  <c r="R414" i="6"/>
  <c r="AC414" i="6"/>
  <c r="AD414" i="6"/>
  <c r="AE414" i="6"/>
  <c r="AF414" i="6"/>
  <c r="AG414" i="6"/>
  <c r="AH414" i="6"/>
  <c r="R415" i="6"/>
  <c r="AC415" i="6"/>
  <c r="AD415" i="6"/>
  <c r="AE415" i="6"/>
  <c r="AF415" i="6"/>
  <c r="AG415" i="6"/>
  <c r="AH415" i="6"/>
  <c r="R416" i="6"/>
  <c r="AC416" i="6"/>
  <c r="AD416" i="6"/>
  <c r="AE416" i="6"/>
  <c r="AF416" i="6"/>
  <c r="AG416" i="6"/>
  <c r="AH416" i="6"/>
  <c r="R417" i="6"/>
  <c r="AC417" i="6"/>
  <c r="AD417" i="6"/>
  <c r="AE417" i="6"/>
  <c r="AF417" i="6"/>
  <c r="AG417" i="6"/>
  <c r="AH417" i="6"/>
  <c r="R418" i="6"/>
  <c r="AC418" i="6"/>
  <c r="AD418" i="6"/>
  <c r="AE418" i="6"/>
  <c r="AF418" i="6"/>
  <c r="AG418" i="6"/>
  <c r="AH418" i="6"/>
  <c r="R419" i="6"/>
  <c r="AC419" i="6"/>
  <c r="AD419" i="6"/>
  <c r="AE419" i="6"/>
  <c r="AF419" i="6"/>
  <c r="AG419" i="6"/>
  <c r="AH419" i="6"/>
  <c r="R420" i="6"/>
  <c r="AC420" i="6"/>
  <c r="AD420" i="6"/>
  <c r="AE420" i="6"/>
  <c r="AF420" i="6"/>
  <c r="AG420" i="6"/>
  <c r="AH420" i="6"/>
  <c r="R421" i="6"/>
  <c r="AC421" i="6"/>
  <c r="AD421" i="6"/>
  <c r="AE421" i="6"/>
  <c r="AF421" i="6"/>
  <c r="AG421" i="6"/>
  <c r="AH421" i="6"/>
  <c r="R422" i="6"/>
  <c r="AC422" i="6"/>
  <c r="AD422" i="6"/>
  <c r="AE422" i="6"/>
  <c r="AF422" i="6"/>
  <c r="AG422" i="6"/>
  <c r="AH422" i="6"/>
  <c r="R423" i="6"/>
  <c r="AC423" i="6"/>
  <c r="AD423" i="6"/>
  <c r="AE423" i="6"/>
  <c r="AF423" i="6"/>
  <c r="AG423" i="6"/>
  <c r="AH423" i="6"/>
  <c r="R424" i="6"/>
  <c r="AC424" i="6"/>
  <c r="AD424" i="6"/>
  <c r="AE424" i="6"/>
  <c r="AF424" i="6"/>
  <c r="AG424" i="6"/>
  <c r="AH424" i="6"/>
  <c r="R425" i="6"/>
  <c r="AC425" i="6"/>
  <c r="AD425" i="6"/>
  <c r="AE425" i="6"/>
  <c r="AF425" i="6"/>
  <c r="AG425" i="6"/>
  <c r="AH425" i="6"/>
  <c r="R426" i="6"/>
  <c r="AC426" i="6"/>
  <c r="AD426" i="6"/>
  <c r="AE426" i="6"/>
  <c r="AF426" i="6"/>
  <c r="AG426" i="6"/>
  <c r="AH426" i="6"/>
  <c r="R427" i="6"/>
  <c r="AC427" i="6"/>
  <c r="AD427" i="6"/>
  <c r="AE427" i="6"/>
  <c r="AF427" i="6"/>
  <c r="AG427" i="6"/>
  <c r="AH427" i="6"/>
  <c r="R428" i="6"/>
  <c r="AC428" i="6"/>
  <c r="AD428" i="6"/>
  <c r="AE428" i="6"/>
  <c r="AF428" i="6"/>
  <c r="AG428" i="6"/>
  <c r="AH428" i="6"/>
  <c r="R429" i="6"/>
  <c r="AC429" i="6"/>
  <c r="AD429" i="6"/>
  <c r="AE429" i="6"/>
  <c r="AF429" i="6"/>
  <c r="AG429" i="6"/>
  <c r="AH429" i="6"/>
  <c r="R430" i="6"/>
  <c r="AC430" i="6"/>
  <c r="AD430" i="6"/>
  <c r="AE430" i="6"/>
  <c r="AF430" i="6"/>
  <c r="AG430" i="6"/>
  <c r="AH430" i="6"/>
  <c r="R431" i="6"/>
  <c r="AC431" i="6"/>
  <c r="AD431" i="6"/>
  <c r="AE431" i="6"/>
  <c r="AF431" i="6"/>
  <c r="AG431" i="6"/>
  <c r="AH431" i="6"/>
  <c r="R432" i="6"/>
  <c r="AC432" i="6"/>
  <c r="AD432" i="6"/>
  <c r="AE432" i="6"/>
  <c r="AF432" i="6"/>
  <c r="AG432" i="6"/>
  <c r="AH432" i="6"/>
  <c r="R433" i="6"/>
  <c r="AC433" i="6"/>
  <c r="AD433" i="6"/>
  <c r="AE433" i="6"/>
  <c r="AF433" i="6"/>
  <c r="AG433" i="6"/>
  <c r="AH433" i="6"/>
  <c r="R434" i="6"/>
  <c r="AC434" i="6"/>
  <c r="AD434" i="6"/>
  <c r="AE434" i="6"/>
  <c r="AF434" i="6"/>
  <c r="AG434" i="6"/>
  <c r="AH434" i="6"/>
  <c r="R435" i="6"/>
  <c r="AC435" i="6"/>
  <c r="AD435" i="6"/>
  <c r="AE435" i="6"/>
  <c r="AF435" i="6"/>
  <c r="AG435" i="6"/>
  <c r="AH435" i="6"/>
  <c r="R436" i="6"/>
  <c r="AC436" i="6"/>
  <c r="AD436" i="6"/>
  <c r="AE436" i="6"/>
  <c r="AF436" i="6"/>
  <c r="AG436" i="6"/>
  <c r="AH436" i="6"/>
  <c r="R437" i="6"/>
  <c r="AC437" i="6"/>
  <c r="AD437" i="6"/>
  <c r="AE437" i="6"/>
  <c r="AF437" i="6"/>
  <c r="AG437" i="6"/>
  <c r="AH437" i="6"/>
  <c r="R438" i="6"/>
  <c r="AC438" i="6"/>
  <c r="AD438" i="6"/>
  <c r="AE438" i="6"/>
  <c r="AF438" i="6"/>
  <c r="AG438" i="6"/>
  <c r="AH438" i="6"/>
  <c r="R439" i="6"/>
  <c r="AC439" i="6"/>
  <c r="AD439" i="6"/>
  <c r="AE439" i="6"/>
  <c r="AF439" i="6"/>
  <c r="AG439" i="6"/>
  <c r="AH439" i="6"/>
  <c r="R440" i="6"/>
  <c r="AC440" i="6"/>
  <c r="AD440" i="6"/>
  <c r="AE440" i="6"/>
  <c r="AF440" i="6"/>
  <c r="AG440" i="6"/>
  <c r="AH440" i="6"/>
  <c r="R441" i="6"/>
  <c r="AC441" i="6"/>
  <c r="AD441" i="6"/>
  <c r="AE441" i="6"/>
  <c r="AF441" i="6"/>
  <c r="AG441" i="6"/>
  <c r="AH441" i="6"/>
  <c r="R442" i="6"/>
  <c r="AC442" i="6"/>
  <c r="AD442" i="6"/>
  <c r="AE442" i="6"/>
  <c r="AF442" i="6"/>
  <c r="AG442" i="6"/>
  <c r="AH442" i="6"/>
  <c r="R443" i="6"/>
  <c r="AC443" i="6"/>
  <c r="AD443" i="6"/>
  <c r="AE443" i="6"/>
  <c r="AF443" i="6"/>
  <c r="AG443" i="6"/>
  <c r="AH443" i="6"/>
  <c r="R445" i="6"/>
  <c r="AE445" i="6"/>
  <c r="AF445" i="6"/>
  <c r="AG445" i="6"/>
  <c r="AH445" i="6"/>
  <c r="R446" i="6"/>
  <c r="AC446" i="6"/>
  <c r="AD446" i="6"/>
  <c r="AE446" i="6"/>
  <c r="AF446" i="6"/>
  <c r="AG446" i="6"/>
  <c r="AH446" i="6"/>
  <c r="R447" i="6"/>
  <c r="AC447" i="6"/>
  <c r="AD447" i="6"/>
  <c r="AE447" i="6"/>
  <c r="AF447" i="6"/>
  <c r="AG447" i="6"/>
  <c r="AH447" i="6"/>
  <c r="R448" i="6"/>
  <c r="AC448" i="6"/>
  <c r="AD448" i="6"/>
  <c r="AE448" i="6"/>
  <c r="AF448" i="6"/>
  <c r="AG448" i="6"/>
  <c r="AH448" i="6"/>
  <c r="R449" i="6"/>
  <c r="AC449" i="6"/>
  <c r="AD449" i="6"/>
  <c r="AE449" i="6"/>
  <c r="AF449" i="6"/>
  <c r="AG449" i="6"/>
  <c r="AH449" i="6"/>
  <c r="R450" i="6"/>
  <c r="AC450" i="6"/>
  <c r="AD450" i="6"/>
  <c r="AE450" i="6"/>
  <c r="AF450" i="6"/>
  <c r="AG450" i="6"/>
  <c r="AH450" i="6"/>
  <c r="R451" i="6"/>
  <c r="AC451" i="6"/>
  <c r="AD451" i="6"/>
  <c r="AE451" i="6"/>
  <c r="AF451" i="6"/>
  <c r="AG451" i="6"/>
  <c r="AH451" i="6"/>
  <c r="R452" i="6"/>
  <c r="AC452" i="6"/>
  <c r="AD452" i="6"/>
  <c r="AE452" i="6"/>
  <c r="AF452" i="6"/>
  <c r="AG452" i="6"/>
  <c r="AH452" i="6"/>
  <c r="R453" i="6"/>
  <c r="AC453" i="6"/>
  <c r="AD453" i="6"/>
  <c r="AE453" i="6"/>
  <c r="AF453" i="6"/>
  <c r="AG453" i="6"/>
  <c r="AH453" i="6"/>
  <c r="R454" i="6"/>
  <c r="AE454" i="6"/>
  <c r="AF454" i="6"/>
  <c r="AG454" i="6"/>
  <c r="AH454" i="6"/>
  <c r="R456" i="6"/>
  <c r="AE456" i="6"/>
  <c r="AF456" i="6"/>
  <c r="AG456" i="6"/>
  <c r="AH456" i="6"/>
  <c r="R457" i="6"/>
  <c r="AE457" i="6"/>
  <c r="AF457" i="6"/>
  <c r="AG457" i="6"/>
  <c r="AH457" i="6"/>
  <c r="R459" i="6"/>
  <c r="AC459" i="6"/>
  <c r="AD459" i="6"/>
  <c r="AE459" i="6"/>
  <c r="AF459" i="6"/>
  <c r="AG459" i="6"/>
  <c r="AH459" i="6"/>
  <c r="R460" i="6"/>
  <c r="AC460" i="6"/>
  <c r="AD460" i="6"/>
  <c r="AE460" i="6"/>
  <c r="AF460" i="6"/>
  <c r="AG460" i="6"/>
  <c r="AH460" i="6"/>
  <c r="R461" i="6"/>
  <c r="AC461" i="6"/>
  <c r="AD461" i="6"/>
  <c r="AE461" i="6"/>
  <c r="AF461" i="6"/>
  <c r="AG461" i="6"/>
  <c r="AH461" i="6"/>
  <c r="R462" i="6"/>
  <c r="AC462" i="6"/>
  <c r="AD462" i="6"/>
  <c r="AE462" i="6"/>
  <c r="AF462" i="6"/>
  <c r="AG462" i="6"/>
  <c r="AH462" i="6"/>
  <c r="R463" i="6"/>
  <c r="AC463" i="6"/>
  <c r="AD463" i="6"/>
  <c r="AE463" i="6"/>
  <c r="AF463" i="6"/>
  <c r="AG463" i="6"/>
  <c r="AH463" i="6"/>
  <c r="R464" i="6"/>
  <c r="AC464" i="6"/>
  <c r="AD464" i="6"/>
  <c r="AE464" i="6"/>
  <c r="AF464" i="6"/>
  <c r="AG464" i="6"/>
  <c r="AH464" i="6"/>
  <c r="R465" i="6"/>
  <c r="AC465" i="6"/>
  <c r="AD465" i="6"/>
  <c r="AE465" i="6"/>
  <c r="AF465" i="6"/>
  <c r="AG465" i="6"/>
  <c r="AH465" i="6"/>
  <c r="R9" i="6"/>
  <c r="AC9" i="6"/>
  <c r="AD9" i="6"/>
  <c r="AE9" i="6"/>
  <c r="AF9" i="6"/>
  <c r="AG9" i="6"/>
  <c r="AH9" i="6"/>
  <c r="R10" i="6"/>
  <c r="AC10" i="6"/>
  <c r="AD10" i="6"/>
  <c r="AE10" i="6"/>
  <c r="AF10" i="6"/>
  <c r="AG10" i="6"/>
  <c r="AH10" i="6"/>
  <c r="R11" i="6"/>
  <c r="AC11" i="6"/>
  <c r="AD11" i="6"/>
  <c r="AE11" i="6"/>
  <c r="AF11" i="6"/>
  <c r="AG11" i="6"/>
  <c r="AH11" i="6"/>
  <c r="R8" i="6"/>
  <c r="AC8" i="6"/>
  <c r="AD8" i="6"/>
  <c r="AE8" i="6"/>
  <c r="AF8" i="6"/>
  <c r="AG8" i="6"/>
  <c r="AH8" i="6"/>
  <c r="S7" i="6"/>
  <c r="S422" i="6" s="1"/>
  <c r="S32" i="6"/>
  <c r="S86" i="6"/>
  <c r="S64" i="6"/>
  <c r="S183" i="6"/>
  <c r="S184" i="6"/>
  <c r="S292" i="6"/>
  <c r="S360" i="6"/>
  <c r="S329" i="6"/>
  <c r="S444" i="6" l="1"/>
  <c r="S264" i="6"/>
  <c r="S235" i="6"/>
  <c r="S265" i="6"/>
  <c r="S213" i="6"/>
  <c r="S212" i="6"/>
  <c r="S349" i="6"/>
  <c r="S333" i="6"/>
  <c r="S139" i="6"/>
  <c r="S162" i="6"/>
  <c r="S102" i="6"/>
  <c r="S140" i="6"/>
  <c r="S314" i="6"/>
  <c r="S101" i="6"/>
  <c r="S93" i="6"/>
  <c r="S92" i="6"/>
  <c r="S91" i="6"/>
  <c r="S289" i="6"/>
  <c r="S236" i="6"/>
  <c r="S364" i="6"/>
  <c r="S350" i="6"/>
  <c r="S313" i="6"/>
  <c r="S285" i="6"/>
  <c r="S262" i="6"/>
  <c r="S234" i="6"/>
  <c r="S211" i="6"/>
  <c r="S181" i="6"/>
  <c r="S70" i="6"/>
  <c r="S138" i="6"/>
  <c r="S98" i="6"/>
  <c r="S368" i="6"/>
  <c r="S335" i="6"/>
  <c r="S312" i="6"/>
  <c r="S284" i="6"/>
  <c r="S261" i="6"/>
  <c r="S233" i="6"/>
  <c r="S208" i="6"/>
  <c r="S180" i="6"/>
  <c r="S97" i="6"/>
  <c r="S130" i="6"/>
  <c r="S65" i="6"/>
  <c r="S283" i="6"/>
  <c r="S179" i="6"/>
  <c r="S203" i="6"/>
  <c r="S385" i="6"/>
  <c r="S68" i="6"/>
  <c r="S201" i="6"/>
  <c r="S357" i="6"/>
  <c r="S393" i="6"/>
  <c r="S323" i="6"/>
  <c r="S301" i="6"/>
  <c r="S278" i="6"/>
  <c r="S79" i="6"/>
  <c r="S227" i="6"/>
  <c r="S200" i="6"/>
  <c r="S89" i="6"/>
  <c r="S154" i="6"/>
  <c r="S122" i="6"/>
  <c r="S88" i="6"/>
  <c r="S125" i="6"/>
  <c r="S229" i="6"/>
  <c r="S339" i="6"/>
  <c r="S361" i="6"/>
  <c r="S401" i="6"/>
  <c r="S248" i="6"/>
  <c r="S300" i="6"/>
  <c r="S277" i="6"/>
  <c r="S242" i="6"/>
  <c r="S224" i="6"/>
  <c r="S199" i="6"/>
  <c r="S167" i="6"/>
  <c r="S153" i="6"/>
  <c r="S121" i="6"/>
  <c r="S49" i="6"/>
  <c r="S321" i="6"/>
  <c r="S126" i="6"/>
  <c r="S257" i="6"/>
  <c r="S322" i="6"/>
  <c r="S253" i="6"/>
  <c r="S172" i="6"/>
  <c r="S389" i="6"/>
  <c r="S299" i="6"/>
  <c r="S243" i="6"/>
  <c r="S220" i="6"/>
  <c r="S197" i="6"/>
  <c r="S160" i="6"/>
  <c r="S151" i="6"/>
  <c r="S119" i="6"/>
  <c r="S48" i="6"/>
  <c r="S373" i="6"/>
  <c r="S260" i="6"/>
  <c r="S60" i="6"/>
  <c r="S231" i="6"/>
  <c r="S281" i="6"/>
  <c r="S170" i="6"/>
  <c r="S365" i="6"/>
  <c r="S324" i="6"/>
  <c r="S276" i="6"/>
  <c r="S347" i="6"/>
  <c r="S246" i="6"/>
  <c r="S298" i="6"/>
  <c r="S273" i="6"/>
  <c r="S244" i="6"/>
  <c r="S219" i="6"/>
  <c r="S196" i="6"/>
  <c r="S168" i="6"/>
  <c r="S150" i="6"/>
  <c r="S118" i="6"/>
  <c r="S46" i="6"/>
  <c r="S310" i="6"/>
  <c r="S83" i="6"/>
  <c r="S377" i="6"/>
  <c r="S282" i="6"/>
  <c r="S67" i="6"/>
  <c r="S308" i="6"/>
  <c r="S124" i="6"/>
  <c r="S123" i="6"/>
  <c r="S330" i="6"/>
  <c r="S374" i="6"/>
  <c r="S331" i="6"/>
  <c r="S341" i="6"/>
  <c r="S297" i="6"/>
  <c r="S269" i="6"/>
  <c r="S169" i="6"/>
  <c r="S218" i="6"/>
  <c r="S188" i="6"/>
  <c r="S69" i="6"/>
  <c r="S149" i="6"/>
  <c r="S114" i="6"/>
  <c r="S45" i="6"/>
  <c r="S232" i="6"/>
  <c r="S338" i="6"/>
  <c r="S176" i="6"/>
  <c r="S202" i="6"/>
  <c r="S354" i="6"/>
  <c r="S305" i="6"/>
  <c r="S228" i="6"/>
  <c r="S164" i="6"/>
  <c r="S58" i="6"/>
  <c r="S318" i="6"/>
  <c r="S296" i="6"/>
  <c r="S161" i="6"/>
  <c r="S187" i="6"/>
  <c r="S146" i="6"/>
  <c r="S386" i="6"/>
  <c r="S348" i="6"/>
  <c r="S251" i="6"/>
  <c r="S294" i="6"/>
  <c r="S267" i="6"/>
  <c r="S171" i="6"/>
  <c r="S216" i="6"/>
  <c r="S186" i="6"/>
  <c r="S90" i="6"/>
  <c r="S142" i="6"/>
  <c r="S105" i="6"/>
  <c r="S41" i="6"/>
  <c r="S204" i="6"/>
  <c r="S309" i="6"/>
  <c r="S84" i="6"/>
  <c r="S399" i="6"/>
  <c r="S156" i="6"/>
  <c r="S280" i="6"/>
  <c r="S155" i="6"/>
  <c r="S382" i="6"/>
  <c r="S250" i="6"/>
  <c r="S268" i="6"/>
  <c r="S217" i="6"/>
  <c r="S59" i="6"/>
  <c r="S110" i="6"/>
  <c r="S43" i="6"/>
  <c r="S390" i="6"/>
  <c r="S332" i="6"/>
  <c r="S252" i="6"/>
  <c r="S293" i="6"/>
  <c r="S266" i="6"/>
  <c r="S240" i="6"/>
  <c r="S215" i="6"/>
  <c r="S185" i="6"/>
  <c r="S73" i="6"/>
  <c r="S141" i="6"/>
  <c r="S103" i="6"/>
  <c r="S38" i="6"/>
  <c r="S33" i="6"/>
  <c r="S61" i="6"/>
  <c r="S55" i="6"/>
  <c r="S137" i="6"/>
  <c r="S109" i="6"/>
  <c r="S78" i="6"/>
  <c r="S31" i="6"/>
  <c r="S195" i="6"/>
  <c r="S165" i="6"/>
  <c r="S158" i="6"/>
  <c r="S135" i="6"/>
  <c r="S108" i="6"/>
  <c r="S63" i="6"/>
  <c r="S30" i="6"/>
  <c r="S192" i="6"/>
  <c r="S166" i="6"/>
  <c r="S157" i="6"/>
  <c r="S134" i="6"/>
  <c r="S107" i="6"/>
  <c r="S54" i="6"/>
  <c r="S29" i="6"/>
  <c r="S133" i="6"/>
  <c r="S106" i="6"/>
  <c r="S50" i="6"/>
  <c r="S27" i="6"/>
  <c r="S26" i="6"/>
  <c r="S455" i="6"/>
  <c r="S25" i="6"/>
  <c r="S47" i="6"/>
  <c r="S17" i="6"/>
  <c r="S16" i="6"/>
  <c r="S15" i="6"/>
  <c r="S14" i="6"/>
  <c r="S42" i="6"/>
  <c r="S9" i="6"/>
  <c r="S11" i="6"/>
  <c r="S117" i="6"/>
  <c r="S81" i="6"/>
  <c r="S34" i="6"/>
  <c r="S22" i="6"/>
  <c r="S18" i="6"/>
  <c r="S446" i="6"/>
  <c r="S13" i="6"/>
  <c r="T7" i="6"/>
  <c r="T444" i="6" s="1"/>
  <c r="S424" i="6"/>
  <c r="S366" i="6"/>
  <c r="S458" i="6"/>
  <c r="S378" i="6"/>
  <c r="S381" i="6"/>
  <c r="S247" i="6"/>
  <c r="S340" i="6"/>
  <c r="S311" i="6"/>
  <c r="S295" i="6"/>
  <c r="S279" i="6"/>
  <c r="S263" i="6"/>
  <c r="S245" i="6"/>
  <c r="S230" i="6"/>
  <c r="S214" i="6"/>
  <c r="S198" i="6"/>
  <c r="S182" i="6"/>
  <c r="S82" i="6"/>
  <c r="S57" i="6"/>
  <c r="S152" i="6"/>
  <c r="S136" i="6"/>
  <c r="S120" i="6"/>
  <c r="S104" i="6"/>
  <c r="S94" i="6"/>
  <c r="S44" i="6"/>
  <c r="S28" i="6"/>
  <c r="S12" i="6"/>
  <c r="S464" i="6"/>
  <c r="S394" i="6"/>
  <c r="S397" i="6"/>
  <c r="S334" i="6"/>
  <c r="S325" i="6"/>
  <c r="S307" i="6"/>
  <c r="S291" i="6"/>
  <c r="S275" i="6"/>
  <c r="S259" i="6"/>
  <c r="S163" i="6"/>
  <c r="S226" i="6"/>
  <c r="S210" i="6"/>
  <c r="S194" i="6"/>
  <c r="S178" i="6"/>
  <c r="S95" i="6"/>
  <c r="S148" i="6"/>
  <c r="S132" i="6"/>
  <c r="S116" i="6"/>
  <c r="S100" i="6"/>
  <c r="S56" i="6"/>
  <c r="S40" i="6"/>
  <c r="S24" i="6"/>
  <c r="S10" i="6"/>
  <c r="S459" i="6"/>
  <c r="S398" i="6"/>
  <c r="S402" i="6"/>
  <c r="S319" i="6"/>
  <c r="S249" i="6"/>
  <c r="S306" i="6"/>
  <c r="S290" i="6"/>
  <c r="S274" i="6"/>
  <c r="S258" i="6"/>
  <c r="S241" i="6"/>
  <c r="S225" i="6"/>
  <c r="S209" i="6"/>
  <c r="S193" i="6"/>
  <c r="S177" i="6"/>
  <c r="S85" i="6"/>
  <c r="S80" i="6"/>
  <c r="S147" i="6"/>
  <c r="S131" i="6"/>
  <c r="S115" i="6"/>
  <c r="S99" i="6"/>
  <c r="S72" i="6"/>
  <c r="S39" i="6"/>
  <c r="S23" i="6"/>
  <c r="S345" i="6"/>
  <c r="S384" i="6"/>
  <c r="S429" i="6"/>
  <c r="AC6" i="6"/>
  <c r="F3" i="6" s="1"/>
  <c r="S405" i="6"/>
  <c r="S403" i="6"/>
  <c r="S344" i="6"/>
  <c r="S336" i="6"/>
  <c r="S317" i="6"/>
  <c r="S304" i="6"/>
  <c r="S288" i="6"/>
  <c r="S272" i="6"/>
  <c r="S256" i="6"/>
  <c r="S239" i="6"/>
  <c r="S223" i="6"/>
  <c r="S207" i="6"/>
  <c r="S191" i="6"/>
  <c r="S175" i="6"/>
  <c r="S66" i="6"/>
  <c r="S77" i="6"/>
  <c r="S145" i="6"/>
  <c r="S129" i="6"/>
  <c r="S113" i="6"/>
  <c r="S87" i="6"/>
  <c r="S53" i="6"/>
  <c r="S37" i="6"/>
  <c r="S21" i="6"/>
  <c r="S440" i="6"/>
  <c r="S352" i="6"/>
  <c r="S327" i="6"/>
  <c r="S328" i="6"/>
  <c r="S320" i="6"/>
  <c r="S316" i="6"/>
  <c r="S303" i="6"/>
  <c r="S287" i="6"/>
  <c r="S271" i="6"/>
  <c r="S255" i="6"/>
  <c r="S238" i="6"/>
  <c r="S222" i="6"/>
  <c r="S206" i="6"/>
  <c r="S190" i="6"/>
  <c r="S174" i="6"/>
  <c r="S96" i="6"/>
  <c r="S62" i="6"/>
  <c r="S144" i="6"/>
  <c r="S128" i="6"/>
  <c r="S112" i="6"/>
  <c r="S52" i="6"/>
  <c r="S36" i="6"/>
  <c r="S20" i="6"/>
  <c r="S342" i="6"/>
  <c r="S353" i="6"/>
  <c r="S346" i="6"/>
  <c r="S337" i="6"/>
  <c r="S315" i="6"/>
  <c r="S302" i="6"/>
  <c r="S286" i="6"/>
  <c r="S270" i="6"/>
  <c r="S254" i="6"/>
  <c r="S237" i="6"/>
  <c r="S221" i="6"/>
  <c r="S205" i="6"/>
  <c r="S189" i="6"/>
  <c r="S173" i="6"/>
  <c r="S76" i="6"/>
  <c r="S159" i="6"/>
  <c r="S143" i="6"/>
  <c r="S127" i="6"/>
  <c r="S111" i="6"/>
  <c r="S71" i="6"/>
  <c r="S51" i="6"/>
  <c r="S35" i="6"/>
  <c r="S19" i="6"/>
  <c r="S413" i="6"/>
  <c r="S75" i="6"/>
  <c r="S74" i="6"/>
  <c r="R5" i="6"/>
  <c r="AE6" i="6"/>
  <c r="G3" i="6" s="1"/>
  <c r="AF6" i="6"/>
  <c r="G4" i="6" s="1"/>
  <c r="AD6" i="6"/>
  <c r="F4" i="6" s="1"/>
  <c r="AH6" i="6"/>
  <c r="E4" i="6" s="1"/>
  <c r="AG6" i="6"/>
  <c r="E3" i="6" s="1"/>
  <c r="T13" i="6"/>
  <c r="S8" i="6"/>
  <c r="S453" i="6"/>
  <c r="S436" i="6"/>
  <c r="S420" i="6"/>
  <c r="S462" i="6"/>
  <c r="S443" i="6"/>
  <c r="S427" i="6"/>
  <c r="S411" i="6"/>
  <c r="S388" i="6"/>
  <c r="S356" i="6"/>
  <c r="S451" i="6"/>
  <c r="S434" i="6"/>
  <c r="S418" i="6"/>
  <c r="S343" i="6"/>
  <c r="S460" i="6"/>
  <c r="S441" i="6"/>
  <c r="S425" i="6"/>
  <c r="S409" i="6"/>
  <c r="S392" i="6"/>
  <c r="S375" i="6"/>
  <c r="S359" i="6"/>
  <c r="S449" i="6"/>
  <c r="S432" i="6"/>
  <c r="S416" i="6"/>
  <c r="S407" i="6"/>
  <c r="S457" i="6"/>
  <c r="S439" i="6"/>
  <c r="S423" i="6"/>
  <c r="S396" i="6"/>
  <c r="S379" i="6"/>
  <c r="S363" i="6"/>
  <c r="S465" i="6"/>
  <c r="S447" i="6"/>
  <c r="S430" i="6"/>
  <c r="S414" i="6"/>
  <c r="S454" i="6"/>
  <c r="S437" i="6"/>
  <c r="S421" i="6"/>
  <c r="S383" i="6"/>
  <c r="S367" i="6"/>
  <c r="S351" i="6"/>
  <c r="S463" i="6"/>
  <c r="S445" i="6"/>
  <c r="S428" i="6"/>
  <c r="S412" i="6"/>
  <c r="S400" i="6"/>
  <c r="S452" i="6"/>
  <c r="S435" i="6"/>
  <c r="S419" i="6"/>
  <c r="S387" i="6"/>
  <c r="S372" i="6"/>
  <c r="S355" i="6"/>
  <c r="S461" i="6"/>
  <c r="S442" i="6"/>
  <c r="S426" i="6"/>
  <c r="S410" i="6"/>
  <c r="S450" i="6"/>
  <c r="S433" i="6"/>
  <c r="S417" i="6"/>
  <c r="S408" i="6"/>
  <c r="S404" i="6"/>
  <c r="S391" i="6"/>
  <c r="S376" i="6"/>
  <c r="S358" i="6"/>
  <c r="S406" i="6"/>
  <c r="S326" i="6"/>
  <c r="S448" i="6"/>
  <c r="S431" i="6"/>
  <c r="S415" i="6"/>
  <c r="S395" i="6"/>
  <c r="S380" i="6"/>
  <c r="S362" i="6"/>
  <c r="T328" i="6"/>
  <c r="S456" i="6"/>
  <c r="S438" i="6"/>
  <c r="T455" i="6" l="1"/>
  <c r="T91" i="6"/>
  <c r="T92" i="6"/>
  <c r="T93" i="6"/>
  <c r="T141" i="6"/>
  <c r="T106" i="6"/>
  <c r="T286" i="6"/>
  <c r="T179" i="6"/>
  <c r="T442" i="6"/>
  <c r="T407" i="6"/>
  <c r="T447" i="6"/>
  <c r="T287" i="6"/>
  <c r="T216" i="6"/>
  <c r="T226" i="6"/>
  <c r="T305" i="6"/>
  <c r="T170" i="6"/>
  <c r="T130" i="6"/>
  <c r="T269" i="6"/>
  <c r="T145" i="6"/>
  <c r="T272" i="6"/>
  <c r="T99" i="6"/>
  <c r="T326" i="6"/>
  <c r="T315" i="6"/>
  <c r="T76" i="6"/>
  <c r="T291" i="6"/>
  <c r="T160" i="6"/>
  <c r="T378" i="6"/>
  <c r="T107" i="6"/>
  <c r="T104" i="6"/>
  <c r="T325" i="6"/>
  <c r="T172" i="6"/>
  <c r="T202" i="6"/>
  <c r="T117" i="6"/>
  <c r="T319" i="6"/>
  <c r="T196" i="6"/>
  <c r="T289" i="6"/>
  <c r="T175" i="6"/>
  <c r="T155" i="6"/>
  <c r="T45" i="6"/>
  <c r="T22" i="6"/>
  <c r="T185" i="6"/>
  <c r="T36" i="6"/>
  <c r="T24" i="6"/>
  <c r="T52" i="6"/>
  <c r="T293" i="6"/>
  <c r="T120" i="6"/>
  <c r="T223" i="6"/>
  <c r="T199" i="6"/>
  <c r="T460" i="6"/>
  <c r="T465" i="6"/>
  <c r="T450" i="6"/>
  <c r="T20" i="6"/>
  <c r="T434" i="6"/>
  <c r="T317" i="6"/>
  <c r="T70" i="6"/>
  <c r="T449" i="6"/>
  <c r="T440" i="6"/>
  <c r="T231" i="6"/>
  <c r="T150" i="6"/>
  <c r="T309" i="6"/>
  <c r="T153" i="6"/>
  <c r="T235" i="6"/>
  <c r="T225" i="6"/>
  <c r="T109" i="6"/>
  <c r="T195" i="6"/>
  <c r="T227" i="6"/>
  <c r="U7" i="6"/>
  <c r="U444" i="6" s="1"/>
  <c r="T27" i="6"/>
  <c r="T452" i="6"/>
  <c r="T242" i="6"/>
  <c r="T432" i="6"/>
  <c r="T454" i="6"/>
  <c r="T21" i="6"/>
  <c r="T108" i="6"/>
  <c r="T19" i="6"/>
  <c r="T68" i="6"/>
  <c r="T404" i="6"/>
  <c r="T136" i="6"/>
  <c r="T336" i="6"/>
  <c r="T413" i="6"/>
  <c r="T211" i="6"/>
  <c r="T344" i="6"/>
  <c r="T77" i="6"/>
  <c r="T261" i="6"/>
  <c r="T201" i="6"/>
  <c r="T277" i="6"/>
  <c r="T439" i="6"/>
  <c r="T451" i="6"/>
  <c r="T56" i="6"/>
  <c r="T35" i="6"/>
  <c r="T103" i="6"/>
  <c r="T72" i="6"/>
  <c r="T138" i="6"/>
  <c r="T129" i="6"/>
  <c r="T131" i="6"/>
  <c r="T327" i="6"/>
  <c r="T156" i="6"/>
  <c r="T173" i="6"/>
  <c r="T265" i="6"/>
  <c r="T429" i="6"/>
  <c r="T9" i="6"/>
  <c r="T67" i="6"/>
  <c r="T169" i="6"/>
  <c r="T149" i="6"/>
  <c r="T105" i="6"/>
  <c r="T11" i="6"/>
  <c r="T283" i="6"/>
  <c r="T345" i="6"/>
  <c r="T187" i="6"/>
  <c r="T427" i="6"/>
  <c r="T189" i="6"/>
  <c r="T75" i="6"/>
  <c r="T285" i="6"/>
  <c r="T420" i="6"/>
  <c r="T268" i="6"/>
  <c r="T177" i="6"/>
  <c r="T30" i="6"/>
  <c r="T433" i="6"/>
  <c r="T421" i="6"/>
  <c r="T461" i="6"/>
  <c r="T416" i="6"/>
  <c r="T408" i="6"/>
  <c r="T140" i="6"/>
  <c r="T423" i="6"/>
  <c r="T10" i="6"/>
  <c r="T110" i="6"/>
  <c r="T23" i="6"/>
  <c r="T405" i="6"/>
  <c r="T154" i="6"/>
  <c r="T459" i="6"/>
  <c r="T101" i="6"/>
  <c r="T267" i="6"/>
  <c r="T74" i="6"/>
  <c r="T233" i="6"/>
  <c r="T157" i="6"/>
  <c r="T402" i="6"/>
  <c r="T83" i="6"/>
  <c r="T133" i="6"/>
  <c r="T412" i="6"/>
  <c r="T116" i="6"/>
  <c r="T147" i="6"/>
  <c r="T25" i="6"/>
  <c r="T299" i="6"/>
  <c r="T409" i="6"/>
  <c r="T203" i="6"/>
  <c r="T205" i="6"/>
  <c r="T304" i="6"/>
  <c r="T174" i="6"/>
  <c r="T307" i="6"/>
  <c r="T204" i="6"/>
  <c r="T58" i="6"/>
  <c r="T463" i="6"/>
  <c r="T122" i="6"/>
  <c r="T61" i="6"/>
  <c r="T8" i="6"/>
  <c r="T424" i="6"/>
  <c r="T346" i="6"/>
  <c r="T40" i="6"/>
  <c r="T217" i="6"/>
  <c r="T438" i="6"/>
  <c r="T86" i="6"/>
  <c r="T84" i="6"/>
  <c r="T457" i="6"/>
  <c r="T411" i="6"/>
  <c r="T456" i="6"/>
  <c r="T51" i="6"/>
  <c r="T88" i="6"/>
  <c r="T446" i="6"/>
  <c r="T415" i="6"/>
  <c r="T403" i="6"/>
  <c r="T100" i="6"/>
  <c r="T410" i="6"/>
  <c r="T249" i="6"/>
  <c r="T182" i="6"/>
  <c r="T414" i="6"/>
  <c r="T166" i="6"/>
  <c r="T41" i="6"/>
  <c r="T162" i="6"/>
  <c r="T219" i="6"/>
  <c r="T443" i="6"/>
  <c r="T221" i="6"/>
  <c r="T251" i="6"/>
  <c r="T197" i="6"/>
  <c r="T361" i="6"/>
  <c r="T171" i="6"/>
  <c r="T400" i="6"/>
  <c r="T241" i="6"/>
  <c r="T80" i="6"/>
  <c r="T418" i="6"/>
  <c r="T437" i="6"/>
  <c r="T43" i="6"/>
  <c r="T38" i="6"/>
  <c r="T59" i="6"/>
  <c r="T54" i="6"/>
  <c r="T161" i="6"/>
  <c r="T464" i="6"/>
  <c r="T448" i="6"/>
  <c r="T125" i="6"/>
  <c r="T426" i="6"/>
  <c r="T214" i="6"/>
  <c r="T430" i="6"/>
  <c r="T184" i="6"/>
  <c r="T73" i="6"/>
  <c r="T462" i="6"/>
  <c r="T255" i="6"/>
  <c r="T391" i="6"/>
  <c r="T229" i="6"/>
  <c r="T270" i="6"/>
  <c r="T16" i="6"/>
  <c r="T206" i="6"/>
  <c r="T435" i="6"/>
  <c r="T29" i="6"/>
  <c r="T163" i="6"/>
  <c r="T422" i="6"/>
  <c r="T94" i="6"/>
  <c r="T431" i="6"/>
  <c r="T18" i="6"/>
  <c r="T428" i="6"/>
  <c r="T198" i="6"/>
  <c r="T132" i="6"/>
  <c r="T57" i="6"/>
  <c r="T425" i="6"/>
  <c r="T343" i="6"/>
  <c r="T245" i="6"/>
  <c r="T337" i="6"/>
  <c r="T224" i="6"/>
  <c r="T15" i="6"/>
  <c r="T417" i="6"/>
  <c r="T151" i="6"/>
  <c r="T419" i="6"/>
  <c r="T445" i="6"/>
  <c r="T126" i="6"/>
  <c r="T200" i="6"/>
  <c r="T89" i="6"/>
  <c r="T441" i="6"/>
  <c r="T271" i="6"/>
  <c r="T78" i="6"/>
  <c r="T266" i="6"/>
  <c r="T394" i="6"/>
  <c r="T178" i="6"/>
  <c r="T49" i="6"/>
  <c r="T87" i="6"/>
  <c r="T115" i="6"/>
  <c r="T290" i="6"/>
  <c r="T363" i="6"/>
  <c r="T118" i="6"/>
  <c r="T127" i="6"/>
  <c r="T288" i="6"/>
  <c r="T308" i="6"/>
  <c r="T380" i="6"/>
  <c r="T310" i="6"/>
  <c r="T186" i="6"/>
  <c r="T359" i="6"/>
  <c r="T306" i="6"/>
  <c r="T342" i="6"/>
  <c r="T406" i="6"/>
  <c r="T396" i="6"/>
  <c r="T276" i="6"/>
  <c r="U458" i="6"/>
  <c r="T358" i="6"/>
  <c r="T239" i="6"/>
  <c r="T376" i="6"/>
  <c r="T250" i="6"/>
  <c r="T335" i="6"/>
  <c r="T436" i="6"/>
  <c r="T453" i="6"/>
  <c r="T296" i="6"/>
  <c r="T375" i="6"/>
  <c r="T392" i="6"/>
  <c r="T320" i="6"/>
  <c r="T362" i="6"/>
  <c r="T314" i="6"/>
  <c r="T44" i="6"/>
  <c r="T331" i="6"/>
  <c r="T377" i="6"/>
  <c r="T379" i="6"/>
  <c r="T340" i="6"/>
  <c r="T42" i="6"/>
  <c r="T318" i="6"/>
  <c r="T71" i="6"/>
  <c r="T360" i="6"/>
  <c r="T47" i="6"/>
  <c r="T14" i="6"/>
  <c r="T395" i="6"/>
  <c r="T352" i="6"/>
  <c r="T69" i="6"/>
  <c r="T12" i="6"/>
  <c r="T102" i="6"/>
  <c r="T393" i="6"/>
  <c r="T176" i="6"/>
  <c r="T48" i="6"/>
  <c r="T329" i="6"/>
  <c r="T367" i="6"/>
  <c r="T167" i="6"/>
  <c r="T347" i="6"/>
  <c r="T46" i="6"/>
  <c r="T237" i="6"/>
  <c r="T79" i="6"/>
  <c r="T111" i="6"/>
  <c r="T384" i="6"/>
  <c r="T330" i="6"/>
  <c r="T34" i="6"/>
  <c r="T119" i="6"/>
  <c r="T207" i="6"/>
  <c r="T244" i="6"/>
  <c r="T280" i="6"/>
  <c r="T228" i="6"/>
  <c r="T350" i="6"/>
  <c r="T374" i="6"/>
  <c r="T247" i="6"/>
  <c r="T208" i="6"/>
  <c r="T236" i="6"/>
  <c r="T50" i="6"/>
  <c r="T97" i="6"/>
  <c r="T159" i="6"/>
  <c r="T212" i="6"/>
  <c r="T254" i="6"/>
  <c r="T284" i="6"/>
  <c r="T240" i="6"/>
  <c r="T354" i="6"/>
  <c r="T383" i="6"/>
  <c r="T112" i="6"/>
  <c r="T386" i="6"/>
  <c r="T191" i="6"/>
  <c r="T95" i="6"/>
  <c r="T143" i="6"/>
  <c r="T458" i="6"/>
  <c r="T53" i="6"/>
  <c r="T98" i="6"/>
  <c r="T164" i="6"/>
  <c r="T213" i="6"/>
  <c r="T256" i="6"/>
  <c r="T292" i="6"/>
  <c r="T252" i="6"/>
  <c r="T355" i="6"/>
  <c r="T385" i="6"/>
  <c r="T124" i="6"/>
  <c r="T258" i="6"/>
  <c r="T121" i="6"/>
  <c r="T81" i="6"/>
  <c r="T303" i="6"/>
  <c r="T90" i="6"/>
  <c r="T313" i="6"/>
  <c r="T243" i="6"/>
  <c r="T332" i="6"/>
  <c r="T39" i="6"/>
  <c r="T282" i="6"/>
  <c r="T55" i="6"/>
  <c r="T215" i="6"/>
  <c r="T294" i="6"/>
  <c r="T356" i="6"/>
  <c r="T274" i="6"/>
  <c r="T279" i="6"/>
  <c r="T209" i="6"/>
  <c r="T60" i="6"/>
  <c r="T113" i="6"/>
  <c r="T148" i="6"/>
  <c r="T218" i="6"/>
  <c r="T259" i="6"/>
  <c r="T295" i="6"/>
  <c r="T341" i="6"/>
  <c r="T387" i="6"/>
  <c r="T144" i="6"/>
  <c r="T33" i="6"/>
  <c r="T349" i="6"/>
  <c r="T382" i="6"/>
  <c r="T62" i="6"/>
  <c r="T114" i="6"/>
  <c r="T180" i="6"/>
  <c r="T220" i="6"/>
  <c r="T260" i="6"/>
  <c r="T297" i="6"/>
  <c r="T316" i="6"/>
  <c r="T357" i="6"/>
  <c r="T388" i="6"/>
  <c r="T222" i="6"/>
  <c r="T324" i="6"/>
  <c r="T364" i="6"/>
  <c r="T134" i="6"/>
  <c r="T248" i="6"/>
  <c r="T37" i="6"/>
  <c r="T63" i="6"/>
  <c r="T123" i="6"/>
  <c r="T181" i="6"/>
  <c r="T262" i="6"/>
  <c r="T298" i="6"/>
  <c r="T389" i="6"/>
  <c r="T263" i="6"/>
  <c r="T365" i="6"/>
  <c r="T135" i="6"/>
  <c r="T64" i="6"/>
  <c r="T139" i="6"/>
  <c r="T183" i="6"/>
  <c r="T300" i="6"/>
  <c r="T390" i="6"/>
  <c r="T137" i="6"/>
  <c r="T399" i="6"/>
  <c r="T238" i="6"/>
  <c r="T96" i="6"/>
  <c r="T353" i="6"/>
  <c r="T17" i="6"/>
  <c r="T65" i="6"/>
  <c r="T168" i="6"/>
  <c r="T188" i="6"/>
  <c r="T142" i="6"/>
  <c r="T264" i="6"/>
  <c r="T301" i="6"/>
  <c r="T323" i="6"/>
  <c r="T366" i="6"/>
  <c r="T397" i="6"/>
  <c r="T273" i="6"/>
  <c r="T302" i="6"/>
  <c r="T368" i="6"/>
  <c r="T398" i="6"/>
  <c r="T194" i="6"/>
  <c r="T381" i="6"/>
  <c r="T26" i="6"/>
  <c r="T66" i="6"/>
  <c r="T128" i="6"/>
  <c r="T190" i="6"/>
  <c r="T158" i="6"/>
  <c r="T339" i="6"/>
  <c r="T28" i="6"/>
  <c r="T322" i="6"/>
  <c r="T165" i="6"/>
  <c r="T334" i="6"/>
  <c r="T281" i="6"/>
  <c r="T31" i="6"/>
  <c r="T82" i="6"/>
  <c r="T152" i="6"/>
  <c r="T192" i="6"/>
  <c r="T230" i="6"/>
  <c r="T275" i="6"/>
  <c r="T311" i="6"/>
  <c r="T338" i="6"/>
  <c r="T401" i="6"/>
  <c r="T232" i="6"/>
  <c r="T253" i="6"/>
  <c r="T32" i="6"/>
  <c r="T85" i="6"/>
  <c r="T146" i="6"/>
  <c r="T193" i="6"/>
  <c r="T234" i="6"/>
  <c r="T278" i="6"/>
  <c r="T312" i="6"/>
  <c r="T321" i="6"/>
  <c r="T372" i="6"/>
  <c r="T333" i="6"/>
  <c r="T373" i="6"/>
  <c r="T351" i="6"/>
  <c r="T348" i="6"/>
  <c r="T210" i="6"/>
  <c r="T246" i="6"/>
  <c r="T257" i="6"/>
  <c r="F5" i="6"/>
  <c r="G5" i="6"/>
  <c r="E5" i="6"/>
  <c r="H4" i="6"/>
  <c r="H3" i="6"/>
  <c r="S5" i="6"/>
  <c r="U28" i="6"/>
  <c r="U282" i="6"/>
  <c r="U164" i="6"/>
  <c r="U13" i="6"/>
  <c r="U315" i="6"/>
  <c r="U222" i="6"/>
  <c r="U38" i="6"/>
  <c r="U303" i="6"/>
  <c r="U126" i="6"/>
  <c r="U376" i="6"/>
  <c r="U257" i="6"/>
  <c r="U94" i="6"/>
  <c r="U306" i="6"/>
  <c r="U179" i="6"/>
  <c r="U428" i="6"/>
  <c r="U228" i="6"/>
  <c r="U18" i="6"/>
  <c r="U277" i="6"/>
  <c r="U67" i="6"/>
  <c r="U344" i="6"/>
  <c r="U134" i="6"/>
  <c r="U384" i="6"/>
  <c r="U233" i="6"/>
  <c r="U349" i="6"/>
  <c r="U454" i="6"/>
  <c r="U185" i="6"/>
  <c r="U372" i="6"/>
  <c r="U138" i="6"/>
  <c r="U311" i="6"/>
  <c r="U455" i="6" l="1"/>
  <c r="U91" i="6"/>
  <c r="U92" i="6"/>
  <c r="U93" i="6"/>
  <c r="U151" i="6"/>
  <c r="U409" i="6"/>
  <c r="U199" i="6"/>
  <c r="U460" i="6"/>
  <c r="U347" i="6"/>
  <c r="U246" i="6"/>
  <c r="U72" i="6"/>
  <c r="U352" i="6"/>
  <c r="U102" i="6"/>
  <c r="U382" i="6"/>
  <c r="U132" i="6"/>
  <c r="U247" i="6"/>
  <c r="U446" i="6"/>
  <c r="U196" i="6"/>
  <c r="U249" i="6"/>
  <c r="U55" i="6"/>
  <c r="U274" i="6"/>
  <c r="U12" i="6"/>
  <c r="U225" i="6"/>
  <c r="U337" i="6"/>
  <c r="U51" i="6"/>
  <c r="U271" i="6"/>
  <c r="U439" i="6"/>
  <c r="U190" i="6"/>
  <c r="U285" i="6"/>
  <c r="U34" i="6"/>
  <c r="U153" i="6"/>
  <c r="U244" i="6"/>
  <c r="U32" i="6"/>
  <c r="U385" i="6"/>
  <c r="U122" i="6"/>
  <c r="U430" i="6"/>
  <c r="U351" i="6"/>
  <c r="U64" i="6"/>
  <c r="U447" i="6"/>
  <c r="U340" i="6"/>
  <c r="U35" i="6"/>
  <c r="U365" i="6"/>
  <c r="U116" i="6"/>
  <c r="U229" i="6"/>
  <c r="U429" i="6"/>
  <c r="U180" i="6"/>
  <c r="U395" i="6"/>
  <c r="U145" i="6"/>
  <c r="U258" i="6"/>
  <c r="U461" i="6"/>
  <c r="U209" i="6"/>
  <c r="U318" i="6"/>
  <c r="U19" i="6"/>
  <c r="U255" i="6"/>
  <c r="U423" i="6"/>
  <c r="U174" i="6"/>
  <c r="U269" i="6"/>
  <c r="U387" i="6"/>
  <c r="U137" i="6"/>
  <c r="U234" i="6"/>
  <c r="U261" i="6"/>
  <c r="U441" i="6"/>
  <c r="U295" i="6"/>
  <c r="U465" i="6"/>
  <c r="U9" i="6"/>
  <c r="U242" i="6"/>
  <c r="U87" i="6"/>
  <c r="U418" i="6"/>
  <c r="U312" i="6"/>
  <c r="U65" i="6"/>
  <c r="U350" i="6"/>
  <c r="U100" i="6"/>
  <c r="U213" i="6"/>
  <c r="U413" i="6"/>
  <c r="U168" i="6"/>
  <c r="U379" i="6"/>
  <c r="U129" i="6"/>
  <c r="U79" i="6"/>
  <c r="U442" i="6"/>
  <c r="U193" i="6"/>
  <c r="U304" i="6"/>
  <c r="U78" i="6"/>
  <c r="U239" i="6"/>
  <c r="V7" i="6"/>
  <c r="V444" i="6" s="1"/>
  <c r="U90" i="6"/>
  <c r="U253" i="6"/>
  <c r="U121" i="6"/>
  <c r="U218" i="6"/>
  <c r="U464" i="6"/>
  <c r="U414" i="6"/>
  <c r="U204" i="6"/>
  <c r="U434" i="6"/>
  <c r="U356" i="6"/>
  <c r="U165" i="6"/>
  <c r="U451" i="6"/>
  <c r="U403" i="6"/>
  <c r="U296" i="6"/>
  <c r="U66" i="6"/>
  <c r="U341" i="6"/>
  <c r="U31" i="6"/>
  <c r="U197" i="6"/>
  <c r="U330" i="6"/>
  <c r="U80" i="6"/>
  <c r="U362" i="6"/>
  <c r="U113" i="6"/>
  <c r="U226" i="6"/>
  <c r="U426" i="6"/>
  <c r="U177" i="6"/>
  <c r="U288" i="6"/>
  <c r="U40" i="6"/>
  <c r="U223" i="6"/>
  <c r="U406" i="6"/>
  <c r="U156" i="6"/>
  <c r="U237" i="6"/>
  <c r="U355" i="6"/>
  <c r="U105" i="6"/>
  <c r="U202" i="6"/>
  <c r="U437" i="6"/>
  <c r="U248" i="6"/>
  <c r="U398" i="6"/>
  <c r="U169" i="6"/>
  <c r="U359" i="6"/>
  <c r="U301" i="6"/>
  <c r="U399" i="6"/>
  <c r="U135" i="6"/>
  <c r="U10" i="6"/>
  <c r="U265" i="6"/>
  <c r="U43" i="6"/>
  <c r="U420" i="6"/>
  <c r="U313" i="6"/>
  <c r="U280" i="6"/>
  <c r="U24" i="6"/>
  <c r="U310" i="6"/>
  <c r="U84" i="6"/>
  <c r="U181" i="6"/>
  <c r="U396" i="6"/>
  <c r="U146" i="6"/>
  <c r="U335" i="6"/>
  <c r="U77" i="6"/>
  <c r="U210" i="6"/>
  <c r="U410" i="6"/>
  <c r="U89" i="6"/>
  <c r="U272" i="6"/>
  <c r="U459" i="6"/>
  <c r="U207" i="6"/>
  <c r="U390" i="6"/>
  <c r="U140" i="6"/>
  <c r="U221" i="6"/>
  <c r="U339" i="6"/>
  <c r="U41" i="6"/>
  <c r="U186" i="6"/>
  <c r="U75" i="6"/>
  <c r="U300" i="6"/>
  <c r="U436" i="6"/>
  <c r="U368" i="6"/>
  <c r="U183" i="6"/>
  <c r="U453" i="6"/>
  <c r="U405" i="6"/>
  <c r="U231" i="6"/>
  <c r="U264" i="6"/>
  <c r="U101" i="6"/>
  <c r="U294" i="6"/>
  <c r="U52" i="6"/>
  <c r="U167" i="6"/>
  <c r="U380" i="6"/>
  <c r="U130" i="6"/>
  <c r="U326" i="6"/>
  <c r="U25" i="6"/>
  <c r="U194" i="6"/>
  <c r="U332" i="6"/>
  <c r="U159" i="6"/>
  <c r="U256" i="6"/>
  <c r="U440" i="6"/>
  <c r="U191" i="6"/>
  <c r="U374" i="6"/>
  <c r="U124" i="6"/>
  <c r="U205" i="6"/>
  <c r="U252" i="6"/>
  <c r="U95" i="6"/>
  <c r="U59" i="6"/>
  <c r="U74" i="6"/>
  <c r="U217" i="6"/>
  <c r="U346" i="6"/>
  <c r="U279" i="6"/>
  <c r="U106" i="6"/>
  <c r="U422" i="6"/>
  <c r="U324" i="6"/>
  <c r="U154" i="6"/>
  <c r="U163" i="6"/>
  <c r="U33" i="6"/>
  <c r="U278" i="6"/>
  <c r="U20" i="6"/>
  <c r="U363" i="6"/>
  <c r="U114" i="6"/>
  <c r="U307" i="6"/>
  <c r="U58" i="6"/>
  <c r="U178" i="6"/>
  <c r="U393" i="6"/>
  <c r="U143" i="6"/>
  <c r="U240" i="6"/>
  <c r="U424" i="6"/>
  <c r="U175" i="6"/>
  <c r="U357" i="6"/>
  <c r="U108" i="6"/>
  <c r="U189" i="6"/>
  <c r="U299" i="6"/>
  <c r="U30" i="6"/>
  <c r="U70" i="6"/>
  <c r="U149" i="6"/>
  <c r="U383" i="6"/>
  <c r="U188" i="6"/>
  <c r="U456" i="6"/>
  <c r="U348" i="6"/>
  <c r="U236" i="6"/>
  <c r="U69" i="6"/>
  <c r="U232" i="6"/>
  <c r="U60" i="6"/>
  <c r="U262" i="6"/>
  <c r="U397" i="6"/>
  <c r="U147" i="6"/>
  <c r="U319" i="6"/>
  <c r="U98" i="6"/>
  <c r="U291" i="6"/>
  <c r="U46" i="6"/>
  <c r="U161" i="6"/>
  <c r="U377" i="6"/>
  <c r="U127" i="6"/>
  <c r="U224" i="6"/>
  <c r="U328" i="6"/>
  <c r="U61" i="6"/>
  <c r="U250" i="6"/>
  <c r="U47" i="6"/>
  <c r="U173" i="6"/>
  <c r="U283" i="6"/>
  <c r="U402" i="6"/>
  <c r="U152" i="6"/>
  <c r="U26" i="6"/>
  <c r="U284" i="6"/>
  <c r="U119" i="6"/>
  <c r="U427" i="6"/>
  <c r="U322" i="6"/>
  <c r="U57" i="6"/>
  <c r="U408" i="6"/>
  <c r="U216" i="6"/>
  <c r="U54" i="6"/>
  <c r="U171" i="6"/>
  <c r="U381" i="6"/>
  <c r="U131" i="6"/>
  <c r="U342" i="6"/>
  <c r="U27" i="6"/>
  <c r="U275" i="6"/>
  <c r="U14" i="6"/>
  <c r="U160" i="6"/>
  <c r="U360" i="6"/>
  <c r="U111" i="6"/>
  <c r="U208" i="6"/>
  <c r="U333" i="6"/>
  <c r="U157" i="6"/>
  <c r="U316" i="6"/>
  <c r="U15" i="6"/>
  <c r="U73" i="6"/>
  <c r="U267" i="6"/>
  <c r="U386" i="6"/>
  <c r="U136" i="6"/>
  <c r="U438" i="6"/>
  <c r="U201" i="6"/>
  <c r="U462" i="6"/>
  <c r="U11" i="6"/>
  <c r="U245" i="6"/>
  <c r="U71" i="6"/>
  <c r="U450" i="6"/>
  <c r="U200" i="6"/>
  <c r="U22" i="6"/>
  <c r="U230" i="6"/>
  <c r="U364" i="6"/>
  <c r="U115" i="6"/>
  <c r="U308" i="6"/>
  <c r="U81" i="6"/>
  <c r="U259" i="6"/>
  <c r="U394" i="6"/>
  <c r="U144" i="6"/>
  <c r="U320" i="6"/>
  <c r="U53" i="6"/>
  <c r="U192" i="6"/>
  <c r="U391" i="6"/>
  <c r="U141" i="6"/>
  <c r="U302" i="6"/>
  <c r="U63" i="6"/>
  <c r="U155" i="6"/>
  <c r="U243" i="6"/>
  <c r="U120" i="6"/>
  <c r="U281" i="6"/>
  <c r="U83" i="6"/>
  <c r="U148" i="6"/>
  <c r="U290" i="6"/>
  <c r="U110" i="6"/>
  <c r="U56" i="6"/>
  <c r="U411" i="6"/>
  <c r="U133" i="6"/>
  <c r="U432" i="6"/>
  <c r="U353" i="6"/>
  <c r="U96" i="6"/>
  <c r="U449" i="6"/>
  <c r="U433" i="6"/>
  <c r="U184" i="6"/>
  <c r="U407" i="6"/>
  <c r="U214" i="6"/>
  <c r="U334" i="6"/>
  <c r="U99" i="6"/>
  <c r="U292" i="6"/>
  <c r="U48" i="6"/>
  <c r="U162" i="6"/>
  <c r="U378" i="6"/>
  <c r="U128" i="6"/>
  <c r="U327" i="6"/>
  <c r="U21" i="6"/>
  <c r="U176" i="6"/>
  <c r="U375" i="6"/>
  <c r="U125" i="6"/>
  <c r="U286" i="6"/>
  <c r="U36" i="6"/>
  <c r="U139" i="6"/>
  <c r="U235" i="6"/>
  <c r="U354" i="6"/>
  <c r="U104" i="6"/>
  <c r="U220" i="6"/>
  <c r="U425" i="6"/>
  <c r="U118" i="6"/>
  <c r="U412" i="6"/>
  <c r="U241" i="6"/>
  <c r="U457" i="6"/>
  <c r="U86" i="6"/>
  <c r="U443" i="6"/>
  <c r="U388" i="6"/>
  <c r="U345" i="6"/>
  <c r="U8" i="6"/>
  <c r="U263" i="6"/>
  <c r="U37" i="6"/>
  <c r="U419" i="6"/>
  <c r="U417" i="6"/>
  <c r="U166" i="6"/>
  <c r="U448" i="6"/>
  <c r="U198" i="6"/>
  <c r="U325" i="6"/>
  <c r="U29" i="6"/>
  <c r="U276" i="6"/>
  <c r="U16" i="6"/>
  <c r="U227" i="6"/>
  <c r="U361" i="6"/>
  <c r="U112" i="6"/>
  <c r="U305" i="6"/>
  <c r="U88" i="6"/>
  <c r="U82" i="6"/>
  <c r="U358" i="6"/>
  <c r="U109" i="6"/>
  <c r="U270" i="6"/>
  <c r="U389" i="6"/>
  <c r="U123" i="6"/>
  <c r="U219" i="6"/>
  <c r="U323" i="6"/>
  <c r="U39" i="6"/>
  <c r="U416" i="6"/>
  <c r="U297" i="6"/>
  <c r="U435" i="6"/>
  <c r="U366" i="6"/>
  <c r="U172" i="6"/>
  <c r="U452" i="6"/>
  <c r="U404" i="6"/>
  <c r="U329" i="6"/>
  <c r="U97" i="6"/>
  <c r="U431" i="6"/>
  <c r="U182" i="6"/>
  <c r="U309" i="6"/>
  <c r="U68" i="6"/>
  <c r="U260" i="6"/>
  <c r="U463" i="6"/>
  <c r="U211" i="6"/>
  <c r="U336" i="6"/>
  <c r="U62" i="6"/>
  <c r="U289" i="6"/>
  <c r="U42" i="6"/>
  <c r="U158" i="6"/>
  <c r="U321" i="6"/>
  <c r="U49" i="6"/>
  <c r="U254" i="6"/>
  <c r="U373" i="6"/>
  <c r="U107" i="6"/>
  <c r="U203" i="6"/>
  <c r="U314" i="6"/>
  <c r="U117" i="6"/>
  <c r="U367" i="6"/>
  <c r="U212" i="6"/>
  <c r="U44" i="6"/>
  <c r="U287" i="6"/>
  <c r="U206" i="6"/>
  <c r="U266" i="6"/>
  <c r="U401" i="6"/>
  <c r="U215" i="6"/>
  <c r="U331" i="6"/>
  <c r="U268" i="6"/>
  <c r="U103" i="6"/>
  <c r="U421" i="6"/>
  <c r="U251" i="6"/>
  <c r="U400" i="6"/>
  <c r="U150" i="6"/>
  <c r="U415" i="6"/>
  <c r="U76" i="6"/>
  <c r="U293" i="6"/>
  <c r="U50" i="6"/>
  <c r="U170" i="6"/>
  <c r="U445" i="6"/>
  <c r="U195" i="6"/>
  <c r="U343" i="6"/>
  <c r="U23" i="6"/>
  <c r="U273" i="6"/>
  <c r="U392" i="6"/>
  <c r="U142" i="6"/>
  <c r="U317" i="6"/>
  <c r="U17" i="6"/>
  <c r="U238" i="6"/>
  <c r="U338" i="6"/>
  <c r="U45" i="6"/>
  <c r="U187" i="6"/>
  <c r="U298" i="6"/>
  <c r="U85" i="6"/>
  <c r="T5" i="6"/>
  <c r="H5" i="6"/>
  <c r="V17" i="6"/>
  <c r="V296" i="6"/>
  <c r="V66" i="6"/>
  <c r="V52" i="6"/>
  <c r="V312" i="6"/>
  <c r="V123" i="6"/>
  <c r="V395" i="6"/>
  <c r="V194" i="6"/>
  <c r="V422" i="6"/>
  <c r="V272" i="6"/>
  <c r="V59" i="6"/>
  <c r="V352" i="6"/>
  <c r="V182" i="6"/>
  <c r="V245" i="6"/>
  <c r="V96" i="6"/>
  <c r="V145" i="6"/>
  <c r="V116" i="6"/>
  <c r="V85" i="6"/>
  <c r="V60" i="6"/>
  <c r="V61" i="6"/>
  <c r="V32" i="6"/>
  <c r="V35" i="6"/>
  <c r="V37" i="6"/>
  <c r="V12" i="6"/>
  <c r="V411" i="6"/>
  <c r="V464" i="6"/>
  <c r="V8" i="6"/>
  <c r="V402" i="6"/>
  <c r="V349" i="6"/>
  <c r="V33" i="6" l="1"/>
  <c r="V91" i="6"/>
  <c r="V92" i="6"/>
  <c r="V93" i="6"/>
  <c r="U5" i="6"/>
  <c r="V372" i="6"/>
  <c r="V397" i="6"/>
  <c r="V394" i="6"/>
  <c r="V403" i="6"/>
  <c r="V413" i="6"/>
  <c r="V460" i="6"/>
  <c r="V441" i="6"/>
  <c r="V425" i="6"/>
  <c r="V414" i="6"/>
  <c r="V31" i="6"/>
  <c r="V30" i="6"/>
  <c r="V58" i="6"/>
  <c r="V83" i="6"/>
  <c r="V115" i="6"/>
  <c r="V143" i="6"/>
  <c r="V160" i="6"/>
  <c r="V238" i="6"/>
  <c r="V176" i="6"/>
  <c r="V43" i="6"/>
  <c r="V256" i="6"/>
  <c r="V446" i="6"/>
  <c r="V165" i="6"/>
  <c r="V379" i="6"/>
  <c r="V107" i="6"/>
  <c r="V203" i="6"/>
  <c r="V36" i="6"/>
  <c r="V50" i="6"/>
  <c r="V280" i="6"/>
  <c r="V335" i="6"/>
  <c r="V392" i="6"/>
  <c r="V329" i="6"/>
  <c r="V410" i="6"/>
  <c r="V457" i="6"/>
  <c r="V423" i="6"/>
  <c r="V249" i="6"/>
  <c r="V459" i="6"/>
  <c r="V440" i="6"/>
  <c r="V29" i="6"/>
  <c r="V56" i="6"/>
  <c r="V80" i="6"/>
  <c r="V114" i="6"/>
  <c r="V141" i="6"/>
  <c r="V161" i="6"/>
  <c r="V327" i="6"/>
  <c r="V27" i="6"/>
  <c r="V217" i="6"/>
  <c r="V433" i="6"/>
  <c r="V156" i="6"/>
  <c r="V362" i="6"/>
  <c r="V86" i="6"/>
  <c r="V299" i="6"/>
  <c r="V20" i="6"/>
  <c r="V34" i="6"/>
  <c r="V264" i="6"/>
  <c r="V75" i="6"/>
  <c r="V184" i="6"/>
  <c r="V224" i="6"/>
  <c r="V336" i="6"/>
  <c r="V368" i="6"/>
  <c r="V391" i="6"/>
  <c r="V313" i="6"/>
  <c r="V404" i="6"/>
  <c r="V347" i="6"/>
  <c r="V461" i="6"/>
  <c r="V438" i="6"/>
  <c r="V452" i="6"/>
  <c r="V424" i="6"/>
  <c r="V28" i="6"/>
  <c r="V53" i="6"/>
  <c r="V79" i="6"/>
  <c r="V113" i="6"/>
  <c r="V138" i="6"/>
  <c r="V306" i="6"/>
  <c r="V448" i="6"/>
  <c r="V242" i="6"/>
  <c r="V405" i="6"/>
  <c r="V140" i="6"/>
  <c r="V314" i="6"/>
  <c r="V70" i="6"/>
  <c r="V283" i="6"/>
  <c r="V297" i="6"/>
  <c r="V18" i="6"/>
  <c r="V222" i="6"/>
  <c r="V74" i="6"/>
  <c r="V343" i="6"/>
  <c r="V344" i="6"/>
  <c r="V200" i="6"/>
  <c r="V366" i="6"/>
  <c r="V389" i="6"/>
  <c r="V388" i="6"/>
  <c r="V387" i="6"/>
  <c r="V318" i="6"/>
  <c r="V442" i="6"/>
  <c r="V453" i="6"/>
  <c r="V419" i="6"/>
  <c r="V465" i="6"/>
  <c r="V26" i="6"/>
  <c r="V51" i="6"/>
  <c r="V78" i="6"/>
  <c r="V111" i="6"/>
  <c r="V290" i="6"/>
  <c r="V456" i="6"/>
  <c r="V210" i="6"/>
  <c r="V396" i="6"/>
  <c r="V124" i="6"/>
  <c r="V340" i="6"/>
  <c r="V54" i="6"/>
  <c r="V267" i="6"/>
  <c r="V281" i="6"/>
  <c r="W7" i="6"/>
  <c r="W347" i="6" s="1"/>
  <c r="V233" i="6"/>
  <c r="V455" i="6"/>
  <c r="V294" i="6"/>
  <c r="V293" i="6"/>
  <c r="V251" i="6"/>
  <c r="V337" i="6"/>
  <c r="V364" i="6"/>
  <c r="V361" i="6"/>
  <c r="V359" i="6"/>
  <c r="V386" i="6"/>
  <c r="V406" i="6"/>
  <c r="V399" i="6"/>
  <c r="V436" i="6"/>
  <c r="V462" i="6"/>
  <c r="V443" i="6"/>
  <c r="V24" i="6"/>
  <c r="V48" i="6"/>
  <c r="V77" i="6"/>
  <c r="V274" i="6"/>
  <c r="V421" i="6"/>
  <c r="V248" i="6"/>
  <c r="V380" i="6"/>
  <c r="V108" i="6"/>
  <c r="V219" i="6"/>
  <c r="V38" i="6"/>
  <c r="V236" i="6"/>
  <c r="V265" i="6"/>
  <c r="V412" i="6"/>
  <c r="V175" i="6"/>
  <c r="V458" i="6"/>
  <c r="V266" i="6"/>
  <c r="V263" i="6"/>
  <c r="V292" i="6"/>
  <c r="V211" i="6"/>
  <c r="V321" i="6"/>
  <c r="V315" i="6"/>
  <c r="V250" i="6"/>
  <c r="V358" i="6"/>
  <c r="V385" i="6"/>
  <c r="V383" i="6"/>
  <c r="V407" i="6"/>
  <c r="V427" i="6"/>
  <c r="V454" i="6"/>
  <c r="V434" i="6"/>
  <c r="V21" i="6"/>
  <c r="V47" i="6"/>
  <c r="V258" i="6"/>
  <c r="V451" i="6"/>
  <c r="V158" i="6"/>
  <c r="V363" i="6"/>
  <c r="V87" i="6"/>
  <c r="V301" i="6"/>
  <c r="V22" i="6"/>
  <c r="V177" i="6"/>
  <c r="V228" i="6"/>
  <c r="V10" i="6"/>
  <c r="V171" i="6"/>
  <c r="V209" i="6"/>
  <c r="V185" i="6"/>
  <c r="V262" i="6"/>
  <c r="V291" i="6"/>
  <c r="V195" i="6"/>
  <c r="V187" i="6"/>
  <c r="V252" i="6"/>
  <c r="V338" i="6"/>
  <c r="V339" i="6"/>
  <c r="V356" i="6"/>
  <c r="V381" i="6"/>
  <c r="V345" i="6"/>
  <c r="V450" i="6"/>
  <c r="V437" i="6"/>
  <c r="V431" i="6"/>
  <c r="V19" i="6"/>
  <c r="V172" i="6"/>
  <c r="V398" i="6"/>
  <c r="V142" i="6"/>
  <c r="V319" i="6"/>
  <c r="V71" i="6"/>
  <c r="V285" i="6"/>
  <c r="V463" i="6"/>
  <c r="V199" i="6"/>
  <c r="V237" i="6"/>
  <c r="V439" i="6"/>
  <c r="V169" i="6"/>
  <c r="V225" i="6"/>
  <c r="V90" i="6"/>
  <c r="V230" i="6"/>
  <c r="V218" i="6"/>
  <c r="V241" i="6"/>
  <c r="V261" i="6"/>
  <c r="V289" i="6"/>
  <c r="V287" i="6"/>
  <c r="V284" i="6"/>
  <c r="V174" i="6"/>
  <c r="V309" i="6"/>
  <c r="V324" i="6"/>
  <c r="V355" i="6"/>
  <c r="V378" i="6"/>
  <c r="V330" i="6"/>
  <c r="V9" i="6"/>
  <c r="V449" i="6"/>
  <c r="V348" i="6"/>
  <c r="V188" i="6"/>
  <c r="V333" i="6"/>
  <c r="V126" i="6"/>
  <c r="V323" i="6"/>
  <c r="V55" i="6"/>
  <c r="V269" i="6"/>
  <c r="V435" i="6"/>
  <c r="V173" i="6"/>
  <c r="V183" i="6"/>
  <c r="V235" i="6"/>
  <c r="V150" i="6"/>
  <c r="V295" i="6"/>
  <c r="V234" i="6"/>
  <c r="V136" i="6"/>
  <c r="V170" i="6"/>
  <c r="V162" i="6"/>
  <c r="V202" i="6"/>
  <c r="V229" i="6"/>
  <c r="V260" i="6"/>
  <c r="V259" i="6"/>
  <c r="V257" i="6"/>
  <c r="V282" i="6"/>
  <c r="V279" i="6"/>
  <c r="V308" i="6"/>
  <c r="V341" i="6"/>
  <c r="V354" i="6"/>
  <c r="V376" i="6"/>
  <c r="V331" i="6"/>
  <c r="V401" i="6"/>
  <c r="V409" i="6"/>
  <c r="V226" i="6"/>
  <c r="V382" i="6"/>
  <c r="V110" i="6"/>
  <c r="V227" i="6"/>
  <c r="V39" i="6"/>
  <c r="V253" i="6"/>
  <c r="V426" i="6"/>
  <c r="V167" i="6"/>
  <c r="V246" i="6"/>
  <c r="V216" i="6"/>
  <c r="V134" i="6"/>
  <c r="V268" i="6"/>
  <c r="V109" i="6"/>
  <c r="V133" i="6"/>
  <c r="V132" i="6"/>
  <c r="V97" i="6"/>
  <c r="V178" i="6"/>
  <c r="V220" i="6"/>
  <c r="V212" i="6"/>
  <c r="V204" i="6"/>
  <c r="V255" i="6"/>
  <c r="V240" i="6"/>
  <c r="V278" i="6"/>
  <c r="V307" i="6"/>
  <c r="V325" i="6"/>
  <c r="V353" i="6"/>
  <c r="V375" i="6"/>
  <c r="V239" i="6"/>
  <c r="V430" i="6"/>
  <c r="V189" i="6"/>
  <c r="V365" i="6"/>
  <c r="V89" i="6"/>
  <c r="V302" i="6"/>
  <c r="V23" i="6"/>
  <c r="V193" i="6"/>
  <c r="V231" i="6"/>
  <c r="V153" i="6"/>
  <c r="V168" i="6"/>
  <c r="V390" i="6"/>
  <c r="V118" i="6"/>
  <c r="V76" i="6"/>
  <c r="V106" i="6"/>
  <c r="V104" i="6"/>
  <c r="V131" i="6"/>
  <c r="V159" i="6"/>
  <c r="V163" i="6"/>
  <c r="V247" i="6"/>
  <c r="V221" i="6"/>
  <c r="V196" i="6"/>
  <c r="V180" i="6"/>
  <c r="V232" i="6"/>
  <c r="V277" i="6"/>
  <c r="V305" i="6"/>
  <c r="V208" i="6"/>
  <c r="V351" i="6"/>
  <c r="V373" i="6"/>
  <c r="V420" i="6"/>
  <c r="V350" i="6"/>
  <c r="V73" i="6"/>
  <c r="V286" i="6"/>
  <c r="V418" i="6"/>
  <c r="V215" i="6"/>
  <c r="V11" i="6"/>
  <c r="V137" i="6"/>
  <c r="V151" i="6"/>
  <c r="V374" i="6"/>
  <c r="V102" i="6"/>
  <c r="V46" i="6"/>
  <c r="V45" i="6"/>
  <c r="V72" i="6"/>
  <c r="V101" i="6"/>
  <c r="V130" i="6"/>
  <c r="V157" i="6"/>
  <c r="V154" i="6"/>
  <c r="V152" i="6"/>
  <c r="V213" i="6"/>
  <c r="V205" i="6"/>
  <c r="V243" i="6"/>
  <c r="V214" i="6"/>
  <c r="V276" i="6"/>
  <c r="V303" i="6"/>
  <c r="V342" i="6"/>
  <c r="V334" i="6"/>
  <c r="V317" i="6"/>
  <c r="V144" i="6"/>
  <c r="V322" i="6"/>
  <c r="V57" i="6"/>
  <c r="V270" i="6"/>
  <c r="V310" i="6"/>
  <c r="V186" i="6"/>
  <c r="V393" i="6"/>
  <c r="V121" i="6"/>
  <c r="V135" i="6"/>
  <c r="V357" i="6"/>
  <c r="V81" i="6"/>
  <c r="V16" i="6"/>
  <c r="V15" i="6"/>
  <c r="V44" i="6"/>
  <c r="V69" i="6"/>
  <c r="V100" i="6"/>
  <c r="V129" i="6"/>
  <c r="V127" i="6"/>
  <c r="V125" i="6"/>
  <c r="V149" i="6"/>
  <c r="V148" i="6"/>
  <c r="V197" i="6"/>
  <c r="V207" i="6"/>
  <c r="V206" i="6"/>
  <c r="V275" i="6"/>
  <c r="V300" i="6"/>
  <c r="V326" i="6"/>
  <c r="V192" i="6"/>
  <c r="V128" i="6"/>
  <c r="V328" i="6"/>
  <c r="V41" i="6"/>
  <c r="V254" i="6"/>
  <c r="V429" i="6"/>
  <c r="V166" i="6"/>
  <c r="V377" i="6"/>
  <c r="V105" i="6"/>
  <c r="V119" i="6"/>
  <c r="V320" i="6"/>
  <c r="V65" i="6"/>
  <c r="V432" i="6"/>
  <c r="V428" i="6"/>
  <c r="V14" i="6"/>
  <c r="V42" i="6"/>
  <c r="V67" i="6"/>
  <c r="V99" i="6"/>
  <c r="V98" i="6"/>
  <c r="V122" i="6"/>
  <c r="V120" i="6"/>
  <c r="V147" i="6"/>
  <c r="V181" i="6"/>
  <c r="V191" i="6"/>
  <c r="V198" i="6"/>
  <c r="V273" i="6"/>
  <c r="V298" i="6"/>
  <c r="V384" i="6"/>
  <c r="V112" i="6"/>
  <c r="V304" i="6"/>
  <c r="V25" i="6"/>
  <c r="V201" i="6"/>
  <c r="V417" i="6"/>
  <c r="V155" i="6"/>
  <c r="V360" i="6"/>
  <c r="V84" i="6"/>
  <c r="V103" i="6"/>
  <c r="V316" i="6"/>
  <c r="V49" i="6"/>
  <c r="V400" i="6"/>
  <c r="V445" i="6"/>
  <c r="V346" i="6"/>
  <c r="V416" i="6"/>
  <c r="V408" i="6"/>
  <c r="V447" i="6"/>
  <c r="V13" i="6"/>
  <c r="V40" i="6"/>
  <c r="V64" i="6"/>
  <c r="V63" i="6"/>
  <c r="V62" i="6"/>
  <c r="V95" i="6"/>
  <c r="V88" i="6"/>
  <c r="V117" i="6"/>
  <c r="V146" i="6"/>
  <c r="V164" i="6"/>
  <c r="V244" i="6"/>
  <c r="V190" i="6"/>
  <c r="V271" i="6"/>
  <c r="V367" i="6"/>
  <c r="V94" i="6"/>
  <c r="V288" i="6"/>
  <c r="V415" i="6"/>
  <c r="V223" i="6"/>
  <c r="V332" i="6"/>
  <c r="V139" i="6"/>
  <c r="V311" i="6"/>
  <c r="V68" i="6"/>
  <c r="V82" i="6"/>
  <c r="V179" i="6"/>
  <c r="W13" i="6"/>
  <c r="W66" i="6"/>
  <c r="W77" i="6"/>
  <c r="W406" i="6"/>
  <c r="W434" i="6"/>
  <c r="W264" i="6"/>
  <c r="W280" i="6"/>
  <c r="W265" i="6"/>
  <c r="W71" i="6"/>
  <c r="W315" i="6"/>
  <c r="W163" i="6"/>
  <c r="W290" i="6"/>
  <c r="W461" i="6"/>
  <c r="W378" i="6"/>
  <c r="W28" i="6" l="1"/>
  <c r="W444" i="6"/>
  <c r="W420" i="6"/>
  <c r="W79" i="6"/>
  <c r="W162" i="6"/>
  <c r="W26" i="6"/>
  <c r="W313" i="6"/>
  <c r="W244" i="6"/>
  <c r="W213" i="6"/>
  <c r="W437" i="6"/>
  <c r="W304" i="6"/>
  <c r="W80" i="6"/>
  <c r="W422" i="6"/>
  <c r="W409" i="6"/>
  <c r="W361" i="6"/>
  <c r="W220" i="6"/>
  <c r="W435" i="6"/>
  <c r="W245" i="6"/>
  <c r="W306" i="6"/>
  <c r="W319" i="6"/>
  <c r="W176" i="6"/>
  <c r="W85" i="6"/>
  <c r="W130" i="6"/>
  <c r="W387" i="6"/>
  <c r="W353" i="6"/>
  <c r="W147" i="6"/>
  <c r="W338" i="6"/>
  <c r="W284" i="6"/>
  <c r="W268" i="6"/>
  <c r="W188" i="6"/>
  <c r="W324" i="6"/>
  <c r="W346" i="6"/>
  <c r="W29" i="6"/>
  <c r="W91" i="6"/>
  <c r="W92" i="6"/>
  <c r="W93" i="6"/>
  <c r="W352" i="6"/>
  <c r="W166" i="6"/>
  <c r="W282" i="6"/>
  <c r="W90" i="6"/>
  <c r="W64" i="6"/>
  <c r="W69" i="6"/>
  <c r="W331" i="6"/>
  <c r="W150" i="6"/>
  <c r="W27" i="6"/>
  <c r="W398" i="6"/>
  <c r="W266" i="6"/>
  <c r="W82" i="6"/>
  <c r="W460" i="6"/>
  <c r="W281" i="6"/>
  <c r="W165" i="6"/>
  <c r="W87" i="6"/>
  <c r="V5" i="6"/>
  <c r="W462" i="6"/>
  <c r="W417" i="6"/>
  <c r="W99" i="6"/>
  <c r="W342" i="6"/>
  <c r="W375" i="6"/>
  <c r="W10" i="6"/>
  <c r="W425" i="6"/>
  <c r="W259" i="6"/>
  <c r="W322" i="6"/>
  <c r="W240" i="6"/>
  <c r="W174" i="6"/>
  <c r="W43" i="6"/>
  <c r="W232" i="6"/>
  <c r="W228" i="6"/>
  <c r="W222" i="6"/>
  <c r="W426" i="6"/>
  <c r="W184" i="6"/>
  <c r="W205" i="6"/>
  <c r="W390" i="6"/>
  <c r="W134" i="6"/>
  <c r="W149" i="6"/>
  <c r="W402" i="6"/>
  <c r="W146" i="6"/>
  <c r="W328" i="6"/>
  <c r="W51" i="6"/>
  <c r="W49" i="6"/>
  <c r="W48" i="6"/>
  <c r="W46" i="6"/>
  <c r="W75" i="6"/>
  <c r="W301" i="6"/>
  <c r="W410" i="6"/>
  <c r="W185" i="6"/>
  <c r="W22" i="6"/>
  <c r="W237" i="6"/>
  <c r="W133" i="6"/>
  <c r="W25" i="6"/>
  <c r="W24" i="6"/>
  <c r="W74" i="6"/>
  <c r="W451" i="6"/>
  <c r="W383" i="6"/>
  <c r="W416" i="6"/>
  <c r="W181" i="6"/>
  <c r="W343" i="6"/>
  <c r="W372" i="6"/>
  <c r="X7" i="6"/>
  <c r="X444" i="6" s="1"/>
  <c r="W456" i="6"/>
  <c r="W182" i="6"/>
  <c r="W207" i="6"/>
  <c r="W283" i="6"/>
  <c r="W348" i="6"/>
  <c r="W191" i="6"/>
  <c r="W183" i="6"/>
  <c r="W175" i="6"/>
  <c r="W408" i="6"/>
  <c r="W152" i="6"/>
  <c r="W167" i="6"/>
  <c r="W357" i="6"/>
  <c r="W102" i="6"/>
  <c r="W117" i="6"/>
  <c r="W114" i="6"/>
  <c r="W288" i="6"/>
  <c r="W287" i="6"/>
  <c r="W286" i="6"/>
  <c r="W285" i="6"/>
  <c r="W52" i="6"/>
  <c r="W455" i="6"/>
  <c r="W9" i="6"/>
  <c r="W358" i="6"/>
  <c r="W447" i="6"/>
  <c r="W415" i="6"/>
  <c r="W297" i="6"/>
  <c r="W252" i="6"/>
  <c r="W393" i="6"/>
  <c r="W436" i="6"/>
  <c r="W116" i="6"/>
  <c r="W178" i="6"/>
  <c r="W267" i="6"/>
  <c r="W459" i="6"/>
  <c r="W246" i="6"/>
  <c r="W247" i="6"/>
  <c r="W221" i="6"/>
  <c r="W392" i="6"/>
  <c r="W136" i="6"/>
  <c r="W151" i="6"/>
  <c r="W337" i="6"/>
  <c r="W78" i="6"/>
  <c r="W101" i="6"/>
  <c r="W354" i="6"/>
  <c r="W98" i="6"/>
  <c r="W272" i="6"/>
  <c r="W271" i="6"/>
  <c r="W270" i="6"/>
  <c r="W269" i="6"/>
  <c r="W36" i="6"/>
  <c r="W458" i="6"/>
  <c r="W404" i="6"/>
  <c r="W323" i="6"/>
  <c r="W403" i="6"/>
  <c r="W464" i="6"/>
  <c r="W73" i="6"/>
  <c r="W251" i="6"/>
  <c r="W367" i="6"/>
  <c r="W11" i="6"/>
  <c r="W454" i="6"/>
  <c r="W224" i="6"/>
  <c r="W236" i="6"/>
  <c r="W413" i="6"/>
  <c r="W208" i="6"/>
  <c r="W200" i="6"/>
  <c r="W192" i="6"/>
  <c r="W376" i="6"/>
  <c r="W120" i="6"/>
  <c r="W135" i="6"/>
  <c r="W326" i="6"/>
  <c r="W57" i="6"/>
  <c r="W56" i="6"/>
  <c r="W187" i="6"/>
  <c r="W89" i="6"/>
  <c r="W256" i="6"/>
  <c r="W255" i="6"/>
  <c r="W254" i="6"/>
  <c r="W253" i="6"/>
  <c r="W20" i="6"/>
  <c r="W391" i="6"/>
  <c r="W307" i="6"/>
  <c r="W380" i="6"/>
  <c r="W333" i="6"/>
  <c r="W412" i="6"/>
  <c r="W291" i="6"/>
  <c r="W211" i="6"/>
  <c r="W388" i="6"/>
  <c r="W418" i="6"/>
  <c r="W83" i="6"/>
  <c r="W177" i="6"/>
  <c r="W465" i="6"/>
  <c r="W171" i="6"/>
  <c r="W170" i="6"/>
  <c r="W169" i="6"/>
  <c r="W359" i="6"/>
  <c r="W104" i="6"/>
  <c r="W119" i="6"/>
  <c r="W309" i="6"/>
  <c r="W37" i="6"/>
  <c r="W35" i="6"/>
  <c r="W344" i="6"/>
  <c r="W53" i="6"/>
  <c r="W217" i="6"/>
  <c r="W209" i="6"/>
  <c r="W201" i="6"/>
  <c r="W193" i="6"/>
  <c r="W50" i="6"/>
  <c r="W423" i="6"/>
  <c r="W396" i="6"/>
  <c r="W132" i="6"/>
  <c r="W299" i="6"/>
  <c r="W233" i="6"/>
  <c r="W381" i="6"/>
  <c r="W196" i="6"/>
  <c r="W355" i="6"/>
  <c r="W399" i="6"/>
  <c r="W429" i="6"/>
  <c r="W164" i="6"/>
  <c r="W329" i="6"/>
  <c r="W364" i="6"/>
  <c r="W433" i="6"/>
  <c r="W157" i="6"/>
  <c r="W199" i="6"/>
  <c r="W332" i="6"/>
  <c r="W155" i="6"/>
  <c r="W154" i="6"/>
  <c r="W153" i="6"/>
  <c r="W320" i="6"/>
  <c r="W81" i="6"/>
  <c r="W103" i="6"/>
  <c r="W293" i="6"/>
  <c r="W12" i="6"/>
  <c r="W95" i="6"/>
  <c r="W305" i="6"/>
  <c r="W30" i="6"/>
  <c r="W242" i="6"/>
  <c r="W243" i="6"/>
  <c r="W223" i="6"/>
  <c r="W215" i="6"/>
  <c r="W34" i="6"/>
  <c r="W350" i="6"/>
  <c r="W118" i="6"/>
  <c r="W366" i="6"/>
  <c r="W100" i="6"/>
  <c r="W316" i="6"/>
  <c r="W377" i="6"/>
  <c r="W349" i="6"/>
  <c r="W441" i="6"/>
  <c r="W275" i="6"/>
  <c r="W250" i="6"/>
  <c r="W179" i="6"/>
  <c r="W141" i="6"/>
  <c r="W173" i="6"/>
  <c r="W395" i="6"/>
  <c r="W139" i="6"/>
  <c r="W138" i="6"/>
  <c r="W137" i="6"/>
  <c r="W219" i="6"/>
  <c r="W59" i="6"/>
  <c r="W88" i="6"/>
  <c r="W277" i="6"/>
  <c r="W292" i="6"/>
  <c r="W55" i="6"/>
  <c r="W289" i="6"/>
  <c r="W428" i="6"/>
  <c r="W210" i="6"/>
  <c r="W202" i="6"/>
  <c r="W194" i="6"/>
  <c r="W186" i="6"/>
  <c r="W18" i="6"/>
  <c r="W407" i="6"/>
  <c r="W374" i="6"/>
  <c r="W356" i="6"/>
  <c r="W421" i="6"/>
  <c r="W302" i="6"/>
  <c r="W351" i="6"/>
  <c r="W397" i="6"/>
  <c r="W442" i="6"/>
  <c r="W148" i="6"/>
  <c r="W312" i="6"/>
  <c r="W384" i="6"/>
  <c r="W125" i="6"/>
  <c r="W216" i="6"/>
  <c r="W379" i="6"/>
  <c r="W123" i="6"/>
  <c r="W122" i="6"/>
  <c r="W121" i="6"/>
  <c r="W311" i="6"/>
  <c r="W39" i="6"/>
  <c r="W58" i="6"/>
  <c r="W261" i="6"/>
  <c r="W276" i="6"/>
  <c r="W33" i="6"/>
  <c r="W273" i="6"/>
  <c r="W432" i="6"/>
  <c r="W239" i="6"/>
  <c r="W235" i="6"/>
  <c r="W231" i="6"/>
  <c r="W227" i="6"/>
  <c r="W63" i="6"/>
  <c r="W386" i="6"/>
  <c r="W321" i="6"/>
  <c r="W419" i="6"/>
  <c r="W226" i="6"/>
  <c r="W195" i="6"/>
  <c r="W373" i="6"/>
  <c r="W8" i="6"/>
  <c r="W427" i="6"/>
  <c r="W258" i="6"/>
  <c r="W360" i="6"/>
  <c r="W109" i="6"/>
  <c r="W67" i="6"/>
  <c r="W362" i="6"/>
  <c r="W107" i="6"/>
  <c r="W106" i="6"/>
  <c r="W105" i="6"/>
  <c r="W295" i="6"/>
  <c r="W16" i="6"/>
  <c r="W38" i="6"/>
  <c r="W198" i="6"/>
  <c r="W260" i="6"/>
  <c r="W72" i="6"/>
  <c r="W257" i="6"/>
  <c r="W457" i="6"/>
  <c r="W97" i="6"/>
  <c r="W86" i="6"/>
  <c r="W70" i="6"/>
  <c r="W47" i="6"/>
  <c r="W325" i="6"/>
  <c r="W440" i="6"/>
  <c r="W448" i="6"/>
  <c r="W300" i="6"/>
  <c r="W334" i="6"/>
  <c r="W394" i="6"/>
  <c r="W453" i="6"/>
  <c r="W131" i="6"/>
  <c r="W339" i="6"/>
  <c r="W65" i="6"/>
  <c r="W156" i="6"/>
  <c r="W335" i="6"/>
  <c r="W84" i="6"/>
  <c r="W68" i="6"/>
  <c r="W94" i="6"/>
  <c r="W279" i="6"/>
  <c r="W294" i="6"/>
  <c r="W14" i="6"/>
  <c r="W212" i="6"/>
  <c r="W190" i="6"/>
  <c r="W54" i="6"/>
  <c r="W225" i="6"/>
  <c r="W203" i="6"/>
  <c r="W161" i="6"/>
  <c r="W160" i="6"/>
  <c r="W159" i="6"/>
  <c r="W158" i="6"/>
  <c r="W31" i="6"/>
  <c r="W241" i="6"/>
  <c r="W317" i="6"/>
  <c r="W405" i="6"/>
  <c r="W443" i="6"/>
  <c r="W248" i="6"/>
  <c r="W327" i="6"/>
  <c r="W330" i="6"/>
  <c r="W438" i="6"/>
  <c r="W308" i="6"/>
  <c r="W44" i="6"/>
  <c r="W140" i="6"/>
  <c r="W341" i="6"/>
  <c r="W62" i="6"/>
  <c r="W61" i="6"/>
  <c r="W60" i="6"/>
  <c r="W263" i="6"/>
  <c r="W278" i="6"/>
  <c r="W431" i="6"/>
  <c r="W238" i="6"/>
  <c r="W204" i="6"/>
  <c r="W32" i="6"/>
  <c r="W180" i="6"/>
  <c r="W401" i="6"/>
  <c r="W145" i="6"/>
  <c r="W144" i="6"/>
  <c r="W143" i="6"/>
  <c r="W142" i="6"/>
  <c r="W15" i="6"/>
  <c r="W424" i="6"/>
  <c r="W310" i="6"/>
  <c r="W414" i="6"/>
  <c r="W411" i="6"/>
  <c r="W303" i="6"/>
  <c r="W382" i="6"/>
  <c r="W430" i="6"/>
  <c r="W445" i="6"/>
  <c r="W296" i="6"/>
  <c r="W336" i="6"/>
  <c r="W389" i="6"/>
  <c r="W450" i="6"/>
  <c r="W172" i="6"/>
  <c r="W23" i="6"/>
  <c r="W124" i="6"/>
  <c r="W314" i="6"/>
  <c r="W42" i="6"/>
  <c r="W41" i="6"/>
  <c r="W40" i="6"/>
  <c r="W214" i="6"/>
  <c r="W262" i="6"/>
  <c r="W452" i="6"/>
  <c r="W197" i="6"/>
  <c r="W234" i="6"/>
  <c r="W463" i="6"/>
  <c r="W218" i="6"/>
  <c r="W385" i="6"/>
  <c r="W129" i="6"/>
  <c r="W128" i="6"/>
  <c r="W127" i="6"/>
  <c r="W126" i="6"/>
  <c r="W45" i="6"/>
  <c r="W168" i="6"/>
  <c r="W230" i="6"/>
  <c r="W274" i="6"/>
  <c r="W340" i="6"/>
  <c r="W400" i="6"/>
  <c r="W446" i="6"/>
  <c r="W96" i="6"/>
  <c r="W345" i="6"/>
  <c r="W365" i="6"/>
  <c r="W318" i="6"/>
  <c r="W115" i="6"/>
  <c r="W363" i="6"/>
  <c r="W108" i="6"/>
  <c r="W298" i="6"/>
  <c r="W21" i="6"/>
  <c r="W19" i="6"/>
  <c r="W17" i="6"/>
  <c r="W229" i="6"/>
  <c r="W206" i="6"/>
  <c r="W439" i="6"/>
  <c r="W76" i="6"/>
  <c r="W189" i="6"/>
  <c r="W449" i="6"/>
  <c r="W249" i="6"/>
  <c r="W368" i="6"/>
  <c r="W113" i="6"/>
  <c r="W112" i="6"/>
  <c r="W111" i="6"/>
  <c r="W110" i="6"/>
  <c r="X458" i="6"/>
  <c r="X455" i="6"/>
  <c r="X74" i="6"/>
  <c r="X75" i="6"/>
  <c r="X14" i="6"/>
  <c r="X30" i="6"/>
  <c r="X46" i="6"/>
  <c r="X99" i="6"/>
  <c r="X115" i="6"/>
  <c r="X131" i="6"/>
  <c r="X97" i="6"/>
  <c r="X176" i="6"/>
  <c r="X192" i="6"/>
  <c r="X208" i="6"/>
  <c r="X224" i="6"/>
  <c r="X244" i="6"/>
  <c r="X299" i="6"/>
  <c r="X328" i="6"/>
  <c r="X316" i="6"/>
  <c r="X271" i="6"/>
  <c r="X418" i="6"/>
  <c r="X434" i="6"/>
  <c r="X15" i="6"/>
  <c r="X31" i="6"/>
  <c r="X47" i="6"/>
  <c r="X79" i="6"/>
  <c r="X100" i="6"/>
  <c r="X116" i="6"/>
  <c r="X132" i="6"/>
  <c r="X148" i="6"/>
  <c r="X162" i="6"/>
  <c r="X177" i="6"/>
  <c r="X193" i="6"/>
  <c r="X243" i="6"/>
  <c r="X307" i="6"/>
  <c r="X344" i="6"/>
  <c r="X325" i="6"/>
  <c r="X279" i="6"/>
  <c r="X311" i="6"/>
  <c r="X379" i="6"/>
  <c r="X435" i="6"/>
  <c r="X452" i="6"/>
  <c r="X281" i="6"/>
  <c r="X378" i="6"/>
  <c r="X353" i="6"/>
  <c r="X376" i="6"/>
  <c r="X35" i="6"/>
  <c r="X51" i="6"/>
  <c r="X67" i="6"/>
  <c r="X83" i="6"/>
  <c r="X104" i="6"/>
  <c r="X120" i="6"/>
  <c r="X136" i="6"/>
  <c r="X152" i="6"/>
  <c r="X169" i="6"/>
  <c r="X197" i="6"/>
  <c r="X213" i="6"/>
  <c r="X235" i="6"/>
  <c r="X237" i="6"/>
  <c r="X274" i="6"/>
  <c r="X322" i="6"/>
  <c r="X314" i="6"/>
  <c r="X395" i="6"/>
  <c r="X423" i="6"/>
  <c r="X439" i="6"/>
  <c r="X457" i="6"/>
  <c r="X352" i="6"/>
  <c r="X394" i="6"/>
  <c r="X368" i="6"/>
  <c r="X372" i="6"/>
  <c r="X37" i="6"/>
  <c r="X53" i="6"/>
  <c r="X69" i="6"/>
  <c r="X85" i="6"/>
  <c r="X106" i="6"/>
  <c r="X122" i="6"/>
  <c r="X138" i="6"/>
  <c r="X154" i="6"/>
  <c r="X167" i="6"/>
  <c r="X183" i="6"/>
  <c r="X199" i="6"/>
  <c r="X215" i="6"/>
  <c r="X249" i="6"/>
  <c r="X164" i="6"/>
  <c r="X345" i="6"/>
  <c r="X290" i="6"/>
  <c r="X315" i="6"/>
  <c r="X333" i="6"/>
  <c r="X409" i="6"/>
  <c r="X425" i="6"/>
  <c r="X441" i="6"/>
  <c r="X460" i="6"/>
  <c r="X392" i="6"/>
  <c r="X273" i="6"/>
  <c r="X377" i="6"/>
  <c r="X401" i="6"/>
  <c r="X24" i="6"/>
  <c r="X40" i="6"/>
  <c r="X56" i="6"/>
  <c r="X72" i="6"/>
  <c r="X109" i="6"/>
  <c r="X125" i="6"/>
  <c r="X141" i="6"/>
  <c r="X157" i="6"/>
  <c r="X163" i="6"/>
  <c r="X186" i="6"/>
  <c r="X202" i="6"/>
  <c r="X218" i="6"/>
  <c r="X246" i="6"/>
  <c r="X236" i="6"/>
  <c r="X264" i="6"/>
  <c r="X301" i="6"/>
  <c r="X324" i="6"/>
  <c r="X260" i="6"/>
  <c r="X351" i="6"/>
  <c r="X428" i="6"/>
  <c r="X445" i="6"/>
  <c r="X463" i="6"/>
  <c r="X350" i="6"/>
  <c r="X347" i="6"/>
  <c r="X389" i="6"/>
  <c r="X9" i="6"/>
  <c r="X34" i="6"/>
  <c r="X58" i="6"/>
  <c r="X81" i="6"/>
  <c r="X110" i="6"/>
  <c r="X133" i="6"/>
  <c r="X156" i="6"/>
  <c r="X175" i="6"/>
  <c r="X200" i="6"/>
  <c r="X222" i="6"/>
  <c r="X241" i="6"/>
  <c r="X288" i="6"/>
  <c r="X266" i="6"/>
  <c r="X276" i="6"/>
  <c r="X387" i="6"/>
  <c r="X429" i="6"/>
  <c r="X451" i="6"/>
  <c r="X367" i="6"/>
  <c r="Y7" i="6"/>
  <c r="Y444" i="6" s="1"/>
  <c r="X356" i="6"/>
  <c r="X12" i="6"/>
  <c r="X36" i="6"/>
  <c r="X59" i="6"/>
  <c r="X82" i="6"/>
  <c r="X111" i="6"/>
  <c r="X134" i="6"/>
  <c r="X158" i="6"/>
  <c r="X178" i="6"/>
  <c r="X201" i="6"/>
  <c r="X223" i="6"/>
  <c r="X228" i="6"/>
  <c r="X296" i="6"/>
  <c r="X282" i="6"/>
  <c r="X284" i="6"/>
  <c r="X391" i="6"/>
  <c r="X430" i="6"/>
  <c r="X453" i="6"/>
  <c r="X254" i="6"/>
  <c r="X334" i="6"/>
  <c r="X388" i="6"/>
  <c r="X13" i="6"/>
  <c r="X38" i="6"/>
  <c r="X60" i="6"/>
  <c r="X84" i="6"/>
  <c r="X112" i="6"/>
  <c r="X135" i="6"/>
  <c r="X159" i="6"/>
  <c r="X179" i="6"/>
  <c r="X203" i="6"/>
  <c r="X250" i="6"/>
  <c r="X232" i="6"/>
  <c r="X304" i="6"/>
  <c r="X298" i="6"/>
  <c r="X292" i="6"/>
  <c r="X408" i="6"/>
  <c r="X431" i="6"/>
  <c r="X454" i="6"/>
  <c r="X332" i="6"/>
  <c r="X265" i="6"/>
  <c r="X270" i="6"/>
  <c r="X16" i="6"/>
  <c r="X39" i="6"/>
  <c r="X61" i="6"/>
  <c r="X96" i="6"/>
  <c r="X113" i="6"/>
  <c r="X137" i="6"/>
  <c r="X160" i="6"/>
  <c r="X180" i="6"/>
  <c r="X204" i="6"/>
  <c r="X227" i="6"/>
  <c r="X259" i="6"/>
  <c r="X327" i="6"/>
  <c r="X306" i="6"/>
  <c r="X300" i="6"/>
  <c r="X410" i="6"/>
  <c r="X432" i="6"/>
  <c r="X456" i="6"/>
  <c r="X354" i="6"/>
  <c r="X286" i="6"/>
  <c r="X305" i="6"/>
  <c r="X18" i="6"/>
  <c r="X42" i="6"/>
  <c r="X65" i="6"/>
  <c r="X88" i="6"/>
  <c r="X117" i="6"/>
  <c r="X140" i="6"/>
  <c r="X90" i="6"/>
  <c r="X184" i="6"/>
  <c r="X206" i="6"/>
  <c r="X20" i="6"/>
  <c r="X43" i="6"/>
  <c r="X66" i="6"/>
  <c r="X94" i="6"/>
  <c r="X118" i="6"/>
  <c r="X142" i="6"/>
  <c r="X170" i="6"/>
  <c r="X185" i="6"/>
  <c r="X207" i="6"/>
  <c r="X248" i="6"/>
  <c r="X283" i="6"/>
  <c r="X269" i="6"/>
  <c r="X339" i="6"/>
  <c r="X252" i="6"/>
  <c r="X414" i="6"/>
  <c r="X437" i="6"/>
  <c r="X462" i="6"/>
  <c r="X365" i="6"/>
  <c r="X360" i="6"/>
  <c r="X402" i="6"/>
  <c r="X22" i="6"/>
  <c r="X44" i="6"/>
  <c r="X68" i="6"/>
  <c r="X87" i="6"/>
  <c r="X119" i="6"/>
  <c r="X143" i="6"/>
  <c r="X86" i="6"/>
  <c r="X187" i="6"/>
  <c r="X210" i="6"/>
  <c r="X247" i="6"/>
  <c r="X291" i="6"/>
  <c r="X285" i="6"/>
  <c r="X255" i="6"/>
  <c r="X335" i="6"/>
  <c r="X415" i="6"/>
  <c r="X438" i="6"/>
  <c r="X464" i="6"/>
  <c r="X364" i="6"/>
  <c r="X257" i="6"/>
  <c r="X23" i="6"/>
  <c r="X45" i="6"/>
  <c r="X70" i="6"/>
  <c r="X121" i="6"/>
  <c r="X144" i="6"/>
  <c r="X161" i="6"/>
  <c r="X188" i="6"/>
  <c r="X211" i="6"/>
  <c r="X226" i="6"/>
  <c r="X313" i="6"/>
  <c r="X293" i="6"/>
  <c r="X263" i="6"/>
  <c r="X310" i="6"/>
  <c r="X416" i="6"/>
  <c r="X440" i="6"/>
  <c r="X465" i="6"/>
  <c r="X374" i="6"/>
  <c r="X373" i="6"/>
  <c r="X278" i="6"/>
  <c r="X25" i="6"/>
  <c r="X48" i="6"/>
  <c r="X71" i="6"/>
  <c r="X98" i="6"/>
  <c r="X123" i="6"/>
  <c r="X145" i="6"/>
  <c r="X168" i="6"/>
  <c r="X189" i="6"/>
  <c r="X212" i="6"/>
  <c r="X230" i="6"/>
  <c r="X330" i="6"/>
  <c r="X309" i="6"/>
  <c r="X287" i="6"/>
  <c r="X348" i="6"/>
  <c r="X417" i="6"/>
  <c r="X442" i="6"/>
  <c r="X10" i="6"/>
  <c r="X382" i="6"/>
  <c r="X381" i="6"/>
  <c r="X331" i="6"/>
  <c r="X26" i="6"/>
  <c r="X49" i="6"/>
  <c r="X73" i="6"/>
  <c r="X101" i="6"/>
  <c r="X124" i="6"/>
  <c r="X146" i="6"/>
  <c r="X166" i="6"/>
  <c r="X190" i="6"/>
  <c r="X214" i="6"/>
  <c r="X234" i="6"/>
  <c r="X346" i="6"/>
  <c r="X326" i="6"/>
  <c r="X295" i="6"/>
  <c r="X355" i="6"/>
  <c r="X420" i="6"/>
  <c r="X443" i="6"/>
  <c r="X262" i="6"/>
  <c r="X386" i="6"/>
  <c r="X385" i="6"/>
  <c r="X359" i="6"/>
  <c r="X27" i="6"/>
  <c r="X50" i="6"/>
  <c r="X102" i="6"/>
  <c r="X126" i="6"/>
  <c r="X149" i="6"/>
  <c r="X165" i="6"/>
  <c r="X191" i="6"/>
  <c r="X216" i="6"/>
  <c r="X238" i="6"/>
  <c r="X329" i="6"/>
  <c r="X342" i="6"/>
  <c r="X303" i="6"/>
  <c r="X358" i="6"/>
  <c r="X421" i="6"/>
  <c r="X446" i="6"/>
  <c r="X407" i="6"/>
  <c r="X390" i="6"/>
  <c r="X393" i="6"/>
  <c r="X363" i="6"/>
  <c r="X28" i="6"/>
  <c r="X52" i="6"/>
  <c r="X103" i="6"/>
  <c r="X127" i="6"/>
  <c r="X150" i="6"/>
  <c r="X171" i="6"/>
  <c r="X194" i="6"/>
  <c r="X217" i="6"/>
  <c r="X245" i="6"/>
  <c r="X251" i="6"/>
  <c r="X240" i="6"/>
  <c r="X338" i="6"/>
  <c r="X362" i="6"/>
  <c r="X422" i="6"/>
  <c r="X447" i="6"/>
  <c r="X297" i="6"/>
  <c r="X405" i="6"/>
  <c r="X397" i="6"/>
  <c r="X384" i="6"/>
  <c r="X32" i="6"/>
  <c r="X55" i="6"/>
  <c r="X77" i="6"/>
  <c r="X107" i="6"/>
  <c r="X129" i="6"/>
  <c r="X153" i="6"/>
  <c r="X173" i="6"/>
  <c r="X33" i="6"/>
  <c r="X57" i="6"/>
  <c r="X80" i="6"/>
  <c r="X108" i="6"/>
  <c r="X130" i="6"/>
  <c r="X155" i="6"/>
  <c r="X174" i="6"/>
  <c r="X198" i="6"/>
  <c r="X221" i="6"/>
  <c r="X233" i="6"/>
  <c r="X280" i="6"/>
  <c r="X258" i="6"/>
  <c r="X268" i="6"/>
  <c r="X383" i="6"/>
  <c r="X427" i="6"/>
  <c r="X450" i="6"/>
  <c r="X406" i="6"/>
  <c r="X404" i="6"/>
  <c r="X8" i="6"/>
  <c r="X400" i="6"/>
  <c r="X17" i="6"/>
  <c r="X196" i="6"/>
  <c r="X340" i="6"/>
  <c r="X459" i="6"/>
  <c r="X29" i="6"/>
  <c r="X205" i="6"/>
  <c r="X323" i="6"/>
  <c r="X461" i="6"/>
  <c r="X41" i="6"/>
  <c r="X219" i="6"/>
  <c r="X321" i="6"/>
  <c r="X302" i="6"/>
  <c r="X54" i="6"/>
  <c r="X220" i="6"/>
  <c r="X337" i="6"/>
  <c r="X399" i="6"/>
  <c r="X64" i="6"/>
  <c r="X231" i="6"/>
  <c r="X320" i="6"/>
  <c r="X357" i="6"/>
  <c r="X76" i="6"/>
  <c r="X239" i="6"/>
  <c r="X336" i="6"/>
  <c r="X361" i="6"/>
  <c r="X89" i="6"/>
  <c r="X242" i="6"/>
  <c r="X366" i="6"/>
  <c r="X294" i="6"/>
  <c r="X105" i="6"/>
  <c r="X229" i="6"/>
  <c r="X398" i="6"/>
  <c r="X114" i="6"/>
  <c r="X267" i="6"/>
  <c r="X411" i="6"/>
  <c r="X319" i="6"/>
  <c r="X128" i="6"/>
  <c r="X275" i="6"/>
  <c r="X413" i="6"/>
  <c r="X139" i="6"/>
  <c r="X256" i="6"/>
  <c r="X424" i="6"/>
  <c r="X403" i="6"/>
  <c r="X151" i="6"/>
  <c r="X272" i="6"/>
  <c r="X426" i="6"/>
  <c r="X11" i="6"/>
  <c r="X343" i="6"/>
  <c r="X433" i="6"/>
  <c r="X380" i="6"/>
  <c r="X172" i="6"/>
  <c r="X253" i="6"/>
  <c r="X436" i="6"/>
  <c r="X349" i="6"/>
  <c r="X182" i="6"/>
  <c r="X312" i="6"/>
  <c r="X448" i="6"/>
  <c r="X318" i="6"/>
  <c r="X195" i="6"/>
  <c r="X341" i="6"/>
  <c r="X449" i="6"/>
  <c r="X289" i="6"/>
  <c r="W5" i="6" l="1"/>
  <c r="X62" i="6"/>
  <c r="X91" i="6"/>
  <c r="X92" i="6"/>
  <c r="X93" i="6"/>
  <c r="Y91" i="6"/>
  <c r="Y92" i="6"/>
  <c r="Y93" i="6"/>
  <c r="X412" i="6"/>
  <c r="X95" i="6"/>
  <c r="X277" i="6"/>
  <c r="X21" i="6"/>
  <c r="X181" i="6"/>
  <c r="X419" i="6"/>
  <c r="X63" i="6"/>
  <c r="X147" i="6"/>
  <c r="X261" i="6"/>
  <c r="X19" i="6"/>
  <c r="X225" i="6"/>
  <c r="X375" i="6"/>
  <c r="X78" i="6"/>
  <c r="X317" i="6"/>
  <c r="X396" i="6"/>
  <c r="X209" i="6"/>
  <c r="X308" i="6"/>
  <c r="Y458" i="6"/>
  <c r="Y455" i="6"/>
  <c r="Y74" i="6"/>
  <c r="Y75" i="6"/>
  <c r="Y24" i="6"/>
  <c r="Y40" i="6"/>
  <c r="Y56" i="6"/>
  <c r="Y67" i="6"/>
  <c r="Y12" i="6"/>
  <c r="Y14" i="6"/>
  <c r="Y17" i="6"/>
  <c r="Y33" i="6"/>
  <c r="Y49" i="6"/>
  <c r="Y82" i="6"/>
  <c r="Y71" i="6"/>
  <c r="Y105" i="6"/>
  <c r="Y13" i="6"/>
  <c r="Y32" i="6"/>
  <c r="Y51" i="6"/>
  <c r="Y63" i="6"/>
  <c r="Y80" i="6"/>
  <c r="Y113" i="6"/>
  <c r="Y129" i="6"/>
  <c r="Y145" i="6"/>
  <c r="Y161" i="6"/>
  <c r="Y176" i="6"/>
  <c r="Y192" i="6"/>
  <c r="Y208" i="6"/>
  <c r="Y224" i="6"/>
  <c r="Y240" i="6"/>
  <c r="Y247" i="6"/>
  <c r="Y307" i="6"/>
  <c r="Y343" i="6"/>
  <c r="Y274" i="6"/>
  <c r="Y322" i="6"/>
  <c r="Y273" i="6"/>
  <c r="Y379" i="6"/>
  <c r="Y419" i="6"/>
  <c r="Y435" i="6"/>
  <c r="Y452" i="6"/>
  <c r="Y406" i="6"/>
  <c r="Y405" i="6"/>
  <c r="Y377" i="6"/>
  <c r="Y384" i="6"/>
  <c r="Y15" i="6"/>
  <c r="Y34" i="6"/>
  <c r="Y52" i="6"/>
  <c r="Y72" i="6"/>
  <c r="Y83" i="6"/>
  <c r="Y114" i="6"/>
  <c r="Y130" i="6"/>
  <c r="Y146" i="6"/>
  <c r="Y162" i="6"/>
  <c r="Y177" i="6"/>
  <c r="Y193" i="6"/>
  <c r="Y209" i="6"/>
  <c r="Y225" i="6"/>
  <c r="Y73" i="6"/>
  <c r="Y246" i="6"/>
  <c r="Y313" i="6"/>
  <c r="Y253" i="6"/>
  <c r="Y282" i="6"/>
  <c r="Y338" i="6"/>
  <c r="Y281" i="6"/>
  <c r="Y383" i="6"/>
  <c r="Y420" i="6"/>
  <c r="Y436" i="6"/>
  <c r="Y453" i="6"/>
  <c r="Y252" i="6"/>
  <c r="Y9" i="6"/>
  <c r="Y381" i="6"/>
  <c r="Y388" i="6"/>
  <c r="Y16" i="6"/>
  <c r="Y35" i="6"/>
  <c r="Y53" i="6"/>
  <c r="Y89" i="6"/>
  <c r="Y98" i="6"/>
  <c r="Y115" i="6"/>
  <c r="Y131" i="6"/>
  <c r="Y147" i="6"/>
  <c r="Y163" i="6"/>
  <c r="Y178" i="6"/>
  <c r="Y194" i="6"/>
  <c r="Y210" i="6"/>
  <c r="Y226" i="6"/>
  <c r="Y97" i="6"/>
  <c r="Y245" i="6"/>
  <c r="Y330" i="6"/>
  <c r="Y261" i="6"/>
  <c r="Y290" i="6"/>
  <c r="Y321" i="6"/>
  <c r="Y289" i="6"/>
  <c r="Y387" i="6"/>
  <c r="Y421" i="6"/>
  <c r="Y437" i="6"/>
  <c r="Y454" i="6"/>
  <c r="Y254" i="6"/>
  <c r="Y333" i="6"/>
  <c r="Y385" i="6"/>
  <c r="Y392" i="6"/>
  <c r="Y18" i="6"/>
  <c r="Y36" i="6"/>
  <c r="Y54" i="6"/>
  <c r="Y95" i="6"/>
  <c r="Y99" i="6"/>
  <c r="Y116" i="6"/>
  <c r="Y132" i="6"/>
  <c r="Y148" i="6"/>
  <c r="Y164" i="6"/>
  <c r="Y179" i="6"/>
  <c r="Y195" i="6"/>
  <c r="Y211" i="6"/>
  <c r="Y227" i="6"/>
  <c r="Y86" i="6"/>
  <c r="Y244" i="6"/>
  <c r="Y346" i="6"/>
  <c r="Y21" i="6"/>
  <c r="Y39" i="6"/>
  <c r="Y58" i="6"/>
  <c r="Y88" i="6"/>
  <c r="Y102" i="6"/>
  <c r="Y119" i="6"/>
  <c r="Y135" i="6"/>
  <c r="Y151" i="6"/>
  <c r="Y167" i="6"/>
  <c r="Y182" i="6"/>
  <c r="Y198" i="6"/>
  <c r="Y214" i="6"/>
  <c r="Y230" i="6"/>
  <c r="Y64" i="6"/>
  <c r="Y241" i="6"/>
  <c r="Y256" i="6"/>
  <c r="Y22" i="6"/>
  <c r="Y41" i="6"/>
  <c r="Y59" i="6"/>
  <c r="Y65" i="6"/>
  <c r="Y103" i="6"/>
  <c r="Y120" i="6"/>
  <c r="Y136" i="6"/>
  <c r="Y152" i="6"/>
  <c r="Y168" i="6"/>
  <c r="Y183" i="6"/>
  <c r="Y199" i="6"/>
  <c r="Y215" i="6"/>
  <c r="Y231" i="6"/>
  <c r="Y251" i="6"/>
  <c r="Y310" i="6"/>
  <c r="Y264" i="6"/>
  <c r="Y301" i="6"/>
  <c r="Y323" i="6"/>
  <c r="Y284" i="6"/>
  <c r="Y400" i="6"/>
  <c r="Y410" i="6"/>
  <c r="Y426" i="6"/>
  <c r="Y442" i="6"/>
  <c r="Y461" i="6"/>
  <c r="Y361" i="6"/>
  <c r="Y402" i="6"/>
  <c r="Y349" i="6"/>
  <c r="Y314" i="6"/>
  <c r="Y23" i="6"/>
  <c r="Y42" i="6"/>
  <c r="Y60" i="6"/>
  <c r="Y68" i="6"/>
  <c r="Y104" i="6"/>
  <c r="Y121" i="6"/>
  <c r="Y137" i="6"/>
  <c r="Y153" i="6"/>
  <c r="Y169" i="6"/>
  <c r="Y184" i="6"/>
  <c r="Y200" i="6"/>
  <c r="Y216" i="6"/>
  <c r="Y232" i="6"/>
  <c r="Y315" i="6"/>
  <c r="Y331" i="6"/>
  <c r="Y272" i="6"/>
  <c r="Y25" i="6"/>
  <c r="Y43" i="6"/>
  <c r="Y61" i="6"/>
  <c r="Y84" i="6"/>
  <c r="Y106" i="6"/>
  <c r="Y122" i="6"/>
  <c r="Y138" i="6"/>
  <c r="Y154" i="6"/>
  <c r="Y170" i="6"/>
  <c r="Y185" i="6"/>
  <c r="Y201" i="6"/>
  <c r="Y217" i="6"/>
  <c r="Y233" i="6"/>
  <c r="Y316" i="6"/>
  <c r="Y347" i="6"/>
  <c r="Y280" i="6"/>
  <c r="Y326" i="6"/>
  <c r="Y255" i="6"/>
  <c r="Y300" i="6"/>
  <c r="Y351" i="6"/>
  <c r="Y412" i="6"/>
  <c r="Y428" i="6"/>
  <c r="Y445" i="6"/>
  <c r="Y463" i="6"/>
  <c r="Y286" i="6"/>
  <c r="Y356" i="6"/>
  <c r="Y270" i="6"/>
  <c r="Y26" i="6"/>
  <c r="Y44" i="6"/>
  <c r="Y79" i="6"/>
  <c r="Y94" i="6"/>
  <c r="Y107" i="6"/>
  <c r="Y123" i="6"/>
  <c r="Y139" i="6"/>
  <c r="Y155" i="6"/>
  <c r="Y76" i="6"/>
  <c r="Y186" i="6"/>
  <c r="Y202" i="6"/>
  <c r="Y218" i="6"/>
  <c r="Y234" i="6"/>
  <c r="Y317" i="6"/>
  <c r="Y259" i="6"/>
  <c r="Y288" i="6"/>
  <c r="Y27" i="6"/>
  <c r="Y45" i="6"/>
  <c r="Y90" i="6"/>
  <c r="Y62" i="6"/>
  <c r="Y108" i="6"/>
  <c r="Y124" i="6"/>
  <c r="Y140" i="6"/>
  <c r="Y156" i="6"/>
  <c r="Y171" i="6"/>
  <c r="Y187" i="6"/>
  <c r="Y203" i="6"/>
  <c r="Y219" i="6"/>
  <c r="Y235" i="6"/>
  <c r="Y318" i="6"/>
  <c r="Y267" i="6"/>
  <c r="Y296" i="6"/>
  <c r="Y312" i="6"/>
  <c r="Y271" i="6"/>
  <c r="Y311" i="6"/>
  <c r="Y358" i="6"/>
  <c r="Y414" i="6"/>
  <c r="Y430" i="6"/>
  <c r="Y447" i="6"/>
  <c r="Y465" i="6"/>
  <c r="Y378" i="6"/>
  <c r="Y363" i="6"/>
  <c r="Y28" i="6"/>
  <c r="Y46" i="6"/>
  <c r="Y66" i="6"/>
  <c r="Y109" i="6"/>
  <c r="Y125" i="6"/>
  <c r="Y141" i="6"/>
  <c r="Y157" i="6"/>
  <c r="Y172" i="6"/>
  <c r="Y188" i="6"/>
  <c r="Y204" i="6"/>
  <c r="Y220" i="6"/>
  <c r="Y236" i="6"/>
  <c r="Y319" i="6"/>
  <c r="Y275" i="6"/>
  <c r="Y304" i="6"/>
  <c r="Y325" i="6"/>
  <c r="Y279" i="6"/>
  <c r="Y320" i="6"/>
  <c r="Y362" i="6"/>
  <c r="Y415" i="6"/>
  <c r="Y431" i="6"/>
  <c r="Y448" i="6"/>
  <c r="Y262" i="6"/>
  <c r="Y382" i="6"/>
  <c r="Y360" i="6"/>
  <c r="Y367" i="6"/>
  <c r="Y31" i="6"/>
  <c r="Y50" i="6"/>
  <c r="Y85" i="6"/>
  <c r="Y112" i="6"/>
  <c r="Y128" i="6"/>
  <c r="Y144" i="6"/>
  <c r="Y160" i="6"/>
  <c r="Y175" i="6"/>
  <c r="Y191" i="6"/>
  <c r="Y207" i="6"/>
  <c r="Y223" i="6"/>
  <c r="Y239" i="6"/>
  <c r="Y248" i="6"/>
  <c r="Y299" i="6"/>
  <c r="Y327" i="6"/>
  <c r="Y266" i="6"/>
  <c r="Y303" i="6"/>
  <c r="Y265" i="6"/>
  <c r="Y375" i="6"/>
  <c r="Y418" i="6"/>
  <c r="Y434" i="6"/>
  <c r="Y451" i="6"/>
  <c r="Y399" i="6"/>
  <c r="Y394" i="6"/>
  <c r="Y373" i="6"/>
  <c r="Y380" i="6"/>
  <c r="Y19" i="6"/>
  <c r="Y100" i="6"/>
  <c r="Y165" i="6"/>
  <c r="Y228" i="6"/>
  <c r="Y269" i="6"/>
  <c r="Y337" i="6"/>
  <c r="Y391" i="6"/>
  <c r="Y438" i="6"/>
  <c r="Y332" i="6"/>
  <c r="Y389" i="6"/>
  <c r="Y20" i="6"/>
  <c r="Y101" i="6"/>
  <c r="Y166" i="6"/>
  <c r="Y229" i="6"/>
  <c r="Y277" i="6"/>
  <c r="Y260" i="6"/>
  <c r="Y395" i="6"/>
  <c r="Y439" i="6"/>
  <c r="Y350" i="6"/>
  <c r="Y393" i="6"/>
  <c r="Y29" i="6"/>
  <c r="Y110" i="6"/>
  <c r="Y173" i="6"/>
  <c r="Y237" i="6"/>
  <c r="Y285" i="6"/>
  <c r="Y268" i="6"/>
  <c r="Y408" i="6"/>
  <c r="Y440" i="6"/>
  <c r="Y354" i="6"/>
  <c r="Y397" i="6"/>
  <c r="Y30" i="6"/>
  <c r="Y111" i="6"/>
  <c r="Y174" i="6"/>
  <c r="Y238" i="6"/>
  <c r="Y293" i="6"/>
  <c r="Y276" i="6"/>
  <c r="Y409" i="6"/>
  <c r="Y441" i="6"/>
  <c r="Y357" i="6"/>
  <c r="Y403" i="6"/>
  <c r="Y37" i="6"/>
  <c r="Y117" i="6"/>
  <c r="Y180" i="6"/>
  <c r="Y70" i="6"/>
  <c r="Y309" i="6"/>
  <c r="Y292" i="6"/>
  <c r="Y411" i="6"/>
  <c r="Y38" i="6"/>
  <c r="Y118" i="6"/>
  <c r="Y181" i="6"/>
  <c r="Y47" i="6"/>
  <c r="Y126" i="6"/>
  <c r="Y189" i="6"/>
  <c r="Y250" i="6"/>
  <c r="Y341" i="6"/>
  <c r="Y336" i="6"/>
  <c r="Y416" i="6"/>
  <c r="Y449" i="6"/>
  <c r="Y386" i="6"/>
  <c r="Y372" i="6"/>
  <c r="Y48" i="6"/>
  <c r="Y127" i="6"/>
  <c r="Y190" i="6"/>
  <c r="Y249" i="6"/>
  <c r="Y258" i="6"/>
  <c r="Y257" i="6"/>
  <c r="Y417" i="6"/>
  <c r="Y450" i="6"/>
  <c r="Y390" i="6"/>
  <c r="Y376" i="6"/>
  <c r="Y55" i="6"/>
  <c r="Y133" i="6"/>
  <c r="Y196" i="6"/>
  <c r="Y243" i="6"/>
  <c r="Y298" i="6"/>
  <c r="Y297" i="6"/>
  <c r="Y422" i="6"/>
  <c r="Y456" i="6"/>
  <c r="Y294" i="6"/>
  <c r="Y396" i="6"/>
  <c r="Y57" i="6"/>
  <c r="Y134" i="6"/>
  <c r="Y197" i="6"/>
  <c r="Y242" i="6"/>
  <c r="Y306" i="6"/>
  <c r="Y305" i="6"/>
  <c r="Y423" i="6"/>
  <c r="Y457" i="6"/>
  <c r="Y398" i="6"/>
  <c r="Y401" i="6"/>
  <c r="Y96" i="6"/>
  <c r="Y142" i="6"/>
  <c r="Y205" i="6"/>
  <c r="Y283" i="6"/>
  <c r="Y324" i="6"/>
  <c r="Y334" i="6"/>
  <c r="Y424" i="6"/>
  <c r="Y459" i="6"/>
  <c r="Y404" i="6"/>
  <c r="Z7" i="6"/>
  <c r="Z444" i="6" s="1"/>
  <c r="Y69" i="6"/>
  <c r="Y143" i="6"/>
  <c r="Y206" i="6"/>
  <c r="Y291" i="6"/>
  <c r="Y340" i="6"/>
  <c r="Y335" i="6"/>
  <c r="Y425" i="6"/>
  <c r="Y460" i="6"/>
  <c r="Y11" i="6"/>
  <c r="Y10" i="6"/>
  <c r="Y78" i="6"/>
  <c r="Y149" i="6"/>
  <c r="Y212" i="6"/>
  <c r="Y329" i="6"/>
  <c r="Y339" i="6"/>
  <c r="Y348" i="6"/>
  <c r="Y427" i="6"/>
  <c r="Y462" i="6"/>
  <c r="Y278" i="6"/>
  <c r="Y8" i="6"/>
  <c r="Y81" i="6"/>
  <c r="Y150" i="6"/>
  <c r="Y213" i="6"/>
  <c r="Y345" i="6"/>
  <c r="Y263" i="6"/>
  <c r="Y355" i="6"/>
  <c r="Y77" i="6"/>
  <c r="Y158" i="6"/>
  <c r="Y221" i="6"/>
  <c r="Y87" i="6"/>
  <c r="Y159" i="6"/>
  <c r="Y222" i="6"/>
  <c r="Y344" i="6"/>
  <c r="Y295" i="6"/>
  <c r="Y433" i="6"/>
  <c r="Y302" i="6"/>
  <c r="Y368" i="6"/>
  <c r="Y287" i="6"/>
  <c r="Y308" i="6"/>
  <c r="Y366" i="6"/>
  <c r="Y413" i="6"/>
  <c r="Y429" i="6"/>
  <c r="Y443" i="6"/>
  <c r="Y446" i="6"/>
  <c r="Y464" i="6"/>
  <c r="Y364" i="6"/>
  <c r="Y407" i="6"/>
  <c r="Y365" i="6"/>
  <c r="Y374" i="6"/>
  <c r="Y352" i="6"/>
  <c r="Y353" i="6"/>
  <c r="Y328" i="6"/>
  <c r="Y342" i="6"/>
  <c r="Y359" i="6"/>
  <c r="Y432" i="6"/>
  <c r="X5" i="6"/>
  <c r="Z91" i="6" l="1"/>
  <c r="Z92" i="6"/>
  <c r="Z93" i="6"/>
  <c r="Z458" i="6"/>
  <c r="Z455" i="6"/>
  <c r="Z74" i="6"/>
  <c r="Z75" i="6"/>
  <c r="Z18" i="6"/>
  <c r="Z34" i="6"/>
  <c r="Z50" i="6"/>
  <c r="Z66" i="6"/>
  <c r="Z82" i="6"/>
  <c r="Z118" i="6"/>
  <c r="Z139" i="6"/>
  <c r="Z117" i="6"/>
  <c r="Z98" i="6"/>
  <c r="Z148" i="6"/>
  <c r="Z231" i="6"/>
  <c r="Z202" i="6"/>
  <c r="Z223" i="6"/>
  <c r="Z185" i="6"/>
  <c r="Z254" i="6"/>
  <c r="Z291" i="6"/>
  <c r="Z304" i="6"/>
  <c r="Z316" i="6"/>
  <c r="Z340" i="6"/>
  <c r="Z337" i="6"/>
  <c r="Z366" i="6"/>
  <c r="Z416" i="6"/>
  <c r="Z432" i="6"/>
  <c r="Z449" i="6"/>
  <c r="Z281" i="6"/>
  <c r="Z305" i="6"/>
  <c r="Z276" i="6"/>
  <c r="Z19" i="6"/>
  <c r="Z35" i="6"/>
  <c r="Z51" i="6"/>
  <c r="Z67" i="6"/>
  <c r="Z83" i="6"/>
  <c r="Z126" i="6"/>
  <c r="Z147" i="6"/>
  <c r="Z125" i="6"/>
  <c r="Z114" i="6"/>
  <c r="Z156" i="6"/>
  <c r="Z235" i="6"/>
  <c r="Z210" i="6"/>
  <c r="Z245" i="6"/>
  <c r="Z193" i="6"/>
  <c r="Z262" i="6"/>
  <c r="Z20" i="6"/>
  <c r="Z36" i="6"/>
  <c r="Z52" i="6"/>
  <c r="Z68" i="6"/>
  <c r="Z84" i="6"/>
  <c r="Z134" i="6"/>
  <c r="Z155" i="6"/>
  <c r="Z133" i="6"/>
  <c r="Z107" i="6"/>
  <c r="Z165" i="6"/>
  <c r="Z239" i="6"/>
  <c r="Z218" i="6"/>
  <c r="Z153" i="6"/>
  <c r="Z201" i="6"/>
  <c r="Z270" i="6"/>
  <c r="Z307" i="6"/>
  <c r="Z344" i="6"/>
  <c r="Z342" i="6"/>
  <c r="Z323" i="6"/>
  <c r="Z319" i="6"/>
  <c r="Z375" i="6"/>
  <c r="Z418" i="6"/>
  <c r="Z434" i="6"/>
  <c r="Z451" i="6"/>
  <c r="Z407" i="6"/>
  <c r="Z378" i="6"/>
  <c r="Z25" i="6"/>
  <c r="Z41" i="6"/>
  <c r="Z57" i="6"/>
  <c r="Z73" i="6"/>
  <c r="Z89" i="6"/>
  <c r="Z106" i="6"/>
  <c r="Z120" i="6"/>
  <c r="Z168" i="6"/>
  <c r="Z151" i="6"/>
  <c r="Z184" i="6"/>
  <c r="Z197" i="6"/>
  <c r="Z238" i="6"/>
  <c r="Z204" i="6"/>
  <c r="Z121" i="6"/>
  <c r="Z332" i="6"/>
  <c r="Z329" i="6"/>
  <c r="Z240" i="6"/>
  <c r="Z228" i="6"/>
  <c r="Z271" i="6"/>
  <c r="Z320" i="6"/>
  <c r="Z395" i="6"/>
  <c r="Z423" i="6"/>
  <c r="Z439" i="6"/>
  <c r="Z457" i="6"/>
  <c r="Z203" i="6"/>
  <c r="Z405" i="6"/>
  <c r="Z27" i="6"/>
  <c r="Z43" i="6"/>
  <c r="Z59" i="6"/>
  <c r="Z172" i="6"/>
  <c r="Z136" i="6"/>
  <c r="Z105" i="6"/>
  <c r="Z166" i="6"/>
  <c r="Z200" i="6"/>
  <c r="Z213" i="6"/>
  <c r="Z129" i="6"/>
  <c r="Z220" i="6"/>
  <c r="Z145" i="6"/>
  <c r="Z310" i="6"/>
  <c r="Z195" i="6"/>
  <c r="Z261" i="6"/>
  <c r="Z266" i="6"/>
  <c r="Z287" i="6"/>
  <c r="Z9" i="6"/>
  <c r="Z409" i="6"/>
  <c r="Z425" i="6"/>
  <c r="Z441" i="6"/>
  <c r="Z460" i="6"/>
  <c r="Z273" i="6"/>
  <c r="Z311" i="6"/>
  <c r="Z385" i="6"/>
  <c r="Z352" i="6"/>
  <c r="Z13" i="6"/>
  <c r="Z29" i="6"/>
  <c r="Z45" i="6"/>
  <c r="Z61" i="6"/>
  <c r="Z77" i="6"/>
  <c r="Z94" i="6"/>
  <c r="Z174" i="6"/>
  <c r="Z152" i="6"/>
  <c r="Z130" i="6"/>
  <c r="Z109" i="6"/>
  <c r="Z216" i="6"/>
  <c r="Z249" i="6"/>
  <c r="Z14" i="6"/>
  <c r="Z30" i="6"/>
  <c r="Z17" i="6"/>
  <c r="Z33" i="6"/>
  <c r="Z49" i="6"/>
  <c r="Z65" i="6"/>
  <c r="Z81" i="6"/>
  <c r="Z113" i="6"/>
  <c r="Z131" i="6"/>
  <c r="Z103" i="6"/>
  <c r="Z167" i="6"/>
  <c r="Z140" i="6"/>
  <c r="Z227" i="6"/>
  <c r="Z194" i="6"/>
  <c r="Z21" i="6"/>
  <c r="Z48" i="6"/>
  <c r="Z78" i="6"/>
  <c r="Z171" i="6"/>
  <c r="Z157" i="6"/>
  <c r="Z104" i="6"/>
  <c r="Z178" i="6"/>
  <c r="Z196" i="6"/>
  <c r="Z206" i="6"/>
  <c r="Z317" i="6"/>
  <c r="Z269" i="6"/>
  <c r="Z306" i="6"/>
  <c r="Z289" i="6"/>
  <c r="Z410" i="6"/>
  <c r="Z430" i="6"/>
  <c r="Z453" i="6"/>
  <c r="Z292" i="6"/>
  <c r="Z265" i="6"/>
  <c r="Z297" i="6"/>
  <c r="Z22" i="6"/>
  <c r="Z53" i="6"/>
  <c r="Z79" i="6"/>
  <c r="Z173" i="6"/>
  <c r="Z160" i="6"/>
  <c r="Z252" i="6"/>
  <c r="Z186" i="6"/>
  <c r="Z212" i="6"/>
  <c r="Z214" i="6"/>
  <c r="Z330" i="6"/>
  <c r="Z277" i="6"/>
  <c r="Z324" i="6"/>
  <c r="Z308" i="6"/>
  <c r="Z411" i="6"/>
  <c r="Z431" i="6"/>
  <c r="Z454" i="6"/>
  <c r="Z350" i="6"/>
  <c r="Z284" i="6"/>
  <c r="Z356" i="6"/>
  <c r="Z23" i="6"/>
  <c r="Z54" i="6"/>
  <c r="Z80" i="6"/>
  <c r="Z99" i="6"/>
  <c r="Z112" i="6"/>
  <c r="Z102" i="6"/>
  <c r="Z247" i="6"/>
  <c r="Z243" i="6"/>
  <c r="Z222" i="6"/>
  <c r="Z346" i="6"/>
  <c r="Z285" i="6"/>
  <c r="Z187" i="6"/>
  <c r="Z318" i="6"/>
  <c r="Z412" i="6"/>
  <c r="Z433" i="6"/>
  <c r="Z456" i="6"/>
  <c r="Z354" i="6"/>
  <c r="Z353" i="6"/>
  <c r="Z384" i="6"/>
  <c r="Z24" i="6"/>
  <c r="Z55" i="6"/>
  <c r="Z85" i="6"/>
  <c r="Z115" i="6"/>
  <c r="Z122" i="6"/>
  <c r="Z176" i="6"/>
  <c r="Z226" i="6"/>
  <c r="Z229" i="6"/>
  <c r="Z278" i="6"/>
  <c r="Z345" i="6"/>
  <c r="Z293" i="6"/>
  <c r="Z339" i="6"/>
  <c r="Z400" i="6"/>
  <c r="Z413" i="6"/>
  <c r="Z435" i="6"/>
  <c r="Z459" i="6"/>
  <c r="Z357" i="6"/>
  <c r="Z333" i="6"/>
  <c r="Z31" i="6"/>
  <c r="Z60" i="6"/>
  <c r="Z88" i="6"/>
  <c r="Z170" i="6"/>
  <c r="Z154" i="6"/>
  <c r="Z224" i="6"/>
  <c r="Z246" i="6"/>
  <c r="Z242" i="6"/>
  <c r="Z302" i="6"/>
  <c r="Z272" i="6"/>
  <c r="Z326" i="6"/>
  <c r="Z263" i="6"/>
  <c r="Z351" i="6"/>
  <c r="Z417" i="6"/>
  <c r="Z438" i="6"/>
  <c r="Z463" i="6"/>
  <c r="Z374" i="6"/>
  <c r="Z368" i="6"/>
  <c r="Z380" i="6"/>
  <c r="Z32" i="6"/>
  <c r="Z62" i="6"/>
  <c r="Z90" i="6"/>
  <c r="Z108" i="6"/>
  <c r="Z119" i="6"/>
  <c r="Z251" i="6"/>
  <c r="Z175" i="6"/>
  <c r="Z177" i="6"/>
  <c r="Z348" i="6"/>
  <c r="Z280" i="6"/>
  <c r="Z232" i="6"/>
  <c r="Z279" i="6"/>
  <c r="Z355" i="6"/>
  <c r="Z419" i="6"/>
  <c r="Z440" i="6"/>
  <c r="Z464" i="6"/>
  <c r="Z382" i="6"/>
  <c r="Z373" i="6"/>
  <c r="Z367" i="6"/>
  <c r="Z331" i="6"/>
  <c r="Z363" i="6"/>
  <c r="Z37" i="6"/>
  <c r="Z63" i="6"/>
  <c r="Z101" i="6"/>
  <c r="Z127" i="6"/>
  <c r="Z137" i="6"/>
  <c r="Z183" i="6"/>
  <c r="Z209" i="6"/>
  <c r="Z288" i="6"/>
  <c r="Z312" i="6"/>
  <c r="Z295" i="6"/>
  <c r="Z358" i="6"/>
  <c r="Z420" i="6"/>
  <c r="Z442" i="6"/>
  <c r="Z465" i="6"/>
  <c r="Z386" i="6"/>
  <c r="Z377" i="6"/>
  <c r="Z38" i="6"/>
  <c r="Z64" i="6"/>
  <c r="Z95" i="6"/>
  <c r="Z128" i="6"/>
  <c r="Z135" i="6"/>
  <c r="Z250" i="6"/>
  <c r="Z191" i="6"/>
  <c r="Z217" i="6"/>
  <c r="Z347" i="6"/>
  <c r="Z296" i="6"/>
  <c r="Z325" i="6"/>
  <c r="Z303" i="6"/>
  <c r="Z362" i="6"/>
  <c r="Z421" i="6"/>
  <c r="Z443" i="6"/>
  <c r="Z10" i="6"/>
  <c r="Z390" i="6"/>
  <c r="Z381" i="6"/>
  <c r="Z372" i="6"/>
  <c r="Z39" i="6"/>
  <c r="Z69" i="6"/>
  <c r="Z96" i="6"/>
  <c r="Z144" i="6"/>
  <c r="Z143" i="6"/>
  <c r="Z111" i="6"/>
  <c r="Z199" i="6"/>
  <c r="Z225" i="6"/>
  <c r="Z259" i="6"/>
  <c r="Z328" i="6"/>
  <c r="Z341" i="6"/>
  <c r="Z315" i="6"/>
  <c r="Z422" i="6"/>
  <c r="Z445" i="6"/>
  <c r="Z300" i="6"/>
  <c r="Z394" i="6"/>
  <c r="Z389" i="6"/>
  <c r="Z376" i="6"/>
  <c r="Z40" i="6"/>
  <c r="Z70" i="6"/>
  <c r="Z97" i="6"/>
  <c r="Z161" i="6"/>
  <c r="Z159" i="6"/>
  <c r="Z181" i="6"/>
  <c r="Z207" i="6"/>
  <c r="Z241" i="6"/>
  <c r="Z267" i="6"/>
  <c r="Z219" i="6"/>
  <c r="Z258" i="6"/>
  <c r="Z322" i="6"/>
  <c r="Z379" i="6"/>
  <c r="Z424" i="6"/>
  <c r="Z446" i="6"/>
  <c r="Z399" i="6"/>
  <c r="Z398" i="6"/>
  <c r="Z393" i="6"/>
  <c r="Z388" i="6"/>
  <c r="Z42" i="6"/>
  <c r="Z71" i="6"/>
  <c r="Z142" i="6"/>
  <c r="Z169" i="6"/>
  <c r="Z100" i="6"/>
  <c r="Z189" i="6"/>
  <c r="Z215" i="6"/>
  <c r="Z164" i="6"/>
  <c r="Z275" i="6"/>
  <c r="Z327" i="6"/>
  <c r="Z274" i="6"/>
  <c r="Z338" i="6"/>
  <c r="Z383" i="6"/>
  <c r="Z426" i="6"/>
  <c r="Z447" i="6"/>
  <c r="Z406" i="6"/>
  <c r="Z334" i="6"/>
  <c r="Z397" i="6"/>
  <c r="Z392" i="6"/>
  <c r="Z16" i="6"/>
  <c r="Z47" i="6"/>
  <c r="Z76" i="6"/>
  <c r="Z163" i="6"/>
  <c r="Z149" i="6"/>
  <c r="Z132" i="6"/>
  <c r="Z248" i="6"/>
  <c r="Z188" i="6"/>
  <c r="Z198" i="6"/>
  <c r="Z313" i="6"/>
  <c r="Z253" i="6"/>
  <c r="Z298" i="6"/>
  <c r="Z335" i="6"/>
  <c r="Z408" i="6"/>
  <c r="Z429" i="6"/>
  <c r="Z452" i="6"/>
  <c r="Z402" i="6"/>
  <c r="Z349" i="6"/>
  <c r="Z257" i="6"/>
  <c r="Z12" i="6"/>
  <c r="Z110" i="6"/>
  <c r="Z182" i="6"/>
  <c r="Z321" i="6"/>
  <c r="Z11" i="6"/>
  <c r="Z116" i="6"/>
  <c r="Z336" i="6"/>
  <c r="Z124" i="6"/>
  <c r="Z15" i="6"/>
  <c r="Z141" i="6"/>
  <c r="Z190" i="6"/>
  <c r="Z314" i="6"/>
  <c r="AA7" i="6"/>
  <c r="AA444" i="6" s="1"/>
  <c r="Z299" i="6"/>
  <c r="Z26" i="6"/>
  <c r="Z138" i="6"/>
  <c r="Z286" i="6"/>
  <c r="Z8" i="6"/>
  <c r="Z361" i="6"/>
  <c r="Z44" i="6"/>
  <c r="Z387" i="6"/>
  <c r="Z28" i="6"/>
  <c r="Z146" i="6"/>
  <c r="Z294" i="6"/>
  <c r="Z260" i="6"/>
  <c r="Z365" i="6"/>
  <c r="Z46" i="6"/>
  <c r="Z283" i="6"/>
  <c r="Z391" i="6"/>
  <c r="Z56" i="6"/>
  <c r="Z192" i="6"/>
  <c r="Z256" i="6"/>
  <c r="Z414" i="6"/>
  <c r="Z360" i="6"/>
  <c r="Z58" i="6"/>
  <c r="Z208" i="6"/>
  <c r="Z264" i="6"/>
  <c r="Z415" i="6"/>
  <c r="Z364" i="6"/>
  <c r="Z290" i="6"/>
  <c r="Z123" i="6"/>
  <c r="Z72" i="6"/>
  <c r="Z205" i="6"/>
  <c r="Z343" i="6"/>
  <c r="Z427" i="6"/>
  <c r="Z403" i="6"/>
  <c r="Z221" i="6"/>
  <c r="Z236" i="6"/>
  <c r="Z428" i="6"/>
  <c r="Z179" i="6"/>
  <c r="Z268" i="6"/>
  <c r="Z233" i="6"/>
  <c r="Z86" i="6"/>
  <c r="Z230" i="6"/>
  <c r="Z301" i="6"/>
  <c r="Z436" i="6"/>
  <c r="Z359" i="6"/>
  <c r="Z461" i="6"/>
  <c r="Z87" i="6"/>
  <c r="Z234" i="6"/>
  <c r="Z309" i="6"/>
  <c r="Z437" i="6"/>
  <c r="Z401" i="6"/>
  <c r="Z450" i="6"/>
  <c r="Z150" i="6"/>
  <c r="Z244" i="6"/>
  <c r="Z282" i="6"/>
  <c r="Z448" i="6"/>
  <c r="Z396" i="6"/>
  <c r="Z180" i="6"/>
  <c r="Z211" i="6"/>
  <c r="Z158" i="6"/>
  <c r="Z162" i="6"/>
  <c r="Z237" i="6"/>
  <c r="Z255" i="6"/>
  <c r="Z462" i="6"/>
  <c r="Z404" i="6"/>
  <c r="Y5" i="6"/>
  <c r="AA91" i="6" l="1"/>
  <c r="AA92" i="6"/>
  <c r="AA93" i="6"/>
  <c r="AA458" i="6"/>
  <c r="AA455" i="6"/>
  <c r="AA74" i="6"/>
  <c r="AA75" i="6"/>
  <c r="Z5" i="6"/>
  <c r="AA13" i="6"/>
  <c r="AA29" i="6"/>
  <c r="AA45" i="6"/>
  <c r="AA61" i="6"/>
  <c r="AA77" i="6"/>
  <c r="AA94" i="6"/>
  <c r="AA173" i="6"/>
  <c r="AA189" i="6"/>
  <c r="AA205" i="6"/>
  <c r="AA221" i="6"/>
  <c r="AA237" i="6"/>
  <c r="AA99" i="6"/>
  <c r="AA161" i="6"/>
  <c r="AA138" i="6"/>
  <c r="AA121" i="6"/>
  <c r="AA263" i="6"/>
  <c r="AA279" i="6"/>
  <c r="AA295" i="6"/>
  <c r="AA311" i="6"/>
  <c r="AA325" i="6"/>
  <c r="AA341" i="6"/>
  <c r="AA373" i="6"/>
  <c r="AA429" i="6"/>
  <c r="AA454" i="6"/>
  <c r="AA383" i="6"/>
  <c r="AA442" i="6"/>
  <c r="AA374" i="6"/>
  <c r="AA385" i="6"/>
  <c r="AA380" i="6"/>
  <c r="AA14" i="6"/>
  <c r="AA30" i="6"/>
  <c r="AA46" i="6"/>
  <c r="AA62" i="6"/>
  <c r="AA78" i="6"/>
  <c r="AA95" i="6"/>
  <c r="AA174" i="6"/>
  <c r="AA190" i="6"/>
  <c r="AA206" i="6"/>
  <c r="AA222" i="6"/>
  <c r="AA238" i="6"/>
  <c r="AA115" i="6"/>
  <c r="AA169" i="6"/>
  <c r="AA146" i="6"/>
  <c r="AA129" i="6"/>
  <c r="AA264" i="6"/>
  <c r="AA280" i="6"/>
  <c r="AA296" i="6"/>
  <c r="AA312" i="6"/>
  <c r="AA326" i="6"/>
  <c r="AA342" i="6"/>
  <c r="AA377" i="6"/>
  <c r="AA431" i="6"/>
  <c r="AA457" i="6"/>
  <c r="AA387" i="6"/>
  <c r="AA446" i="6"/>
  <c r="AA378" i="6"/>
  <c r="AA389" i="6"/>
  <c r="AA384" i="6"/>
  <c r="AA15" i="6"/>
  <c r="AA31" i="6"/>
  <c r="AA47" i="6"/>
  <c r="AA63" i="6"/>
  <c r="AA79" i="6"/>
  <c r="AA96" i="6"/>
  <c r="AA175" i="6"/>
  <c r="AA191" i="6"/>
  <c r="AA207" i="6"/>
  <c r="AA223" i="6"/>
  <c r="AA239" i="6"/>
  <c r="AA123" i="6"/>
  <c r="AA110" i="6"/>
  <c r="AA154" i="6"/>
  <c r="AA137" i="6"/>
  <c r="AA265" i="6"/>
  <c r="AA281" i="6"/>
  <c r="AA297" i="6"/>
  <c r="AA313" i="6"/>
  <c r="AA327" i="6"/>
  <c r="AA343" i="6"/>
  <c r="AA400" i="6"/>
  <c r="AA432" i="6"/>
  <c r="AA459" i="6"/>
  <c r="AA391" i="6"/>
  <c r="AA449" i="6"/>
  <c r="AA382" i="6"/>
  <c r="AA8" i="6"/>
  <c r="AA388" i="6"/>
  <c r="AA16" i="6"/>
  <c r="AA32" i="6"/>
  <c r="AA48" i="6"/>
  <c r="AA64" i="6"/>
  <c r="AA80" i="6"/>
  <c r="AA97" i="6"/>
  <c r="AA176" i="6"/>
  <c r="AA192" i="6"/>
  <c r="AA208" i="6"/>
  <c r="AA224" i="6"/>
  <c r="AA240" i="6"/>
  <c r="AA131" i="6"/>
  <c r="AA103" i="6"/>
  <c r="AA167" i="6"/>
  <c r="AA145" i="6"/>
  <c r="AA266" i="6"/>
  <c r="AA282" i="6"/>
  <c r="AA298" i="6"/>
  <c r="AA314" i="6"/>
  <c r="AA328" i="6"/>
  <c r="AA344" i="6"/>
  <c r="AA409" i="6"/>
  <c r="AA434" i="6"/>
  <c r="AA461" i="6"/>
  <c r="AA395" i="6"/>
  <c r="AA452" i="6"/>
  <c r="AA386" i="6"/>
  <c r="AA353" i="6"/>
  <c r="AA392" i="6"/>
  <c r="AA19" i="6"/>
  <c r="AA35" i="6"/>
  <c r="AA51" i="6"/>
  <c r="AA67" i="6"/>
  <c r="AA83" i="6"/>
  <c r="AA118" i="6"/>
  <c r="AA179" i="6"/>
  <c r="AA195" i="6"/>
  <c r="AA211" i="6"/>
  <c r="AA227" i="6"/>
  <c r="AA243" i="6"/>
  <c r="AA155" i="6"/>
  <c r="AA133" i="6"/>
  <c r="AA107" i="6"/>
  <c r="AA253" i="6"/>
  <c r="AA269" i="6"/>
  <c r="AA285" i="6"/>
  <c r="AA301" i="6"/>
  <c r="AA315" i="6"/>
  <c r="AA331" i="6"/>
  <c r="AA347" i="6"/>
  <c r="AA415" i="6"/>
  <c r="AA20" i="6"/>
  <c r="AA36" i="6"/>
  <c r="AA52" i="6"/>
  <c r="AA68" i="6"/>
  <c r="AA84" i="6"/>
  <c r="AA126" i="6"/>
  <c r="AA180" i="6"/>
  <c r="AA196" i="6"/>
  <c r="AA212" i="6"/>
  <c r="AA228" i="6"/>
  <c r="AA244" i="6"/>
  <c r="AA162" i="6"/>
  <c r="AA141" i="6"/>
  <c r="AA119" i="6"/>
  <c r="AA254" i="6"/>
  <c r="AA270" i="6"/>
  <c r="AA286" i="6"/>
  <c r="AA302" i="6"/>
  <c r="AA316" i="6"/>
  <c r="AA332" i="6"/>
  <c r="AA348" i="6"/>
  <c r="AA416" i="6"/>
  <c r="AA440" i="6"/>
  <c r="AA11" i="6"/>
  <c r="AA414" i="6"/>
  <c r="AA407" i="6"/>
  <c r="AA398" i="6"/>
  <c r="AA402" i="6"/>
  <c r="AA37" i="6"/>
  <c r="AA69" i="6"/>
  <c r="AA134" i="6"/>
  <c r="AA181" i="6"/>
  <c r="AA213" i="6"/>
  <c r="AA229" i="6"/>
  <c r="AA245" i="6"/>
  <c r="AA149" i="6"/>
  <c r="AA127" i="6"/>
  <c r="AA255" i="6"/>
  <c r="AA287" i="6"/>
  <c r="AA303" i="6"/>
  <c r="AA317" i="6"/>
  <c r="AA333" i="6"/>
  <c r="AA418" i="6"/>
  <c r="AA441" i="6"/>
  <c r="AA351" i="6"/>
  <c r="AA417" i="6"/>
  <c r="AA10" i="6"/>
  <c r="AA21" i="6"/>
  <c r="AA53" i="6"/>
  <c r="AA85" i="6"/>
  <c r="AA197" i="6"/>
  <c r="AA170" i="6"/>
  <c r="AA271" i="6"/>
  <c r="AA349" i="6"/>
  <c r="AA22" i="6"/>
  <c r="AA38" i="6"/>
  <c r="AA54" i="6"/>
  <c r="AA70" i="6"/>
  <c r="AA86" i="6"/>
  <c r="AA142" i="6"/>
  <c r="AA182" i="6"/>
  <c r="AA198" i="6"/>
  <c r="AA214" i="6"/>
  <c r="AA230" i="6"/>
  <c r="AA246" i="6"/>
  <c r="AA108" i="6"/>
  <c r="AA157" i="6"/>
  <c r="AA135" i="6"/>
  <c r="AA256" i="6"/>
  <c r="AA272" i="6"/>
  <c r="AA288" i="6"/>
  <c r="AA304" i="6"/>
  <c r="AA318" i="6"/>
  <c r="AA334" i="6"/>
  <c r="AA148" i="6"/>
  <c r="AA419" i="6"/>
  <c r="AA443" i="6"/>
  <c r="AA355" i="6"/>
  <c r="AA420" i="6"/>
  <c r="AA406" i="6"/>
  <c r="AA364" i="6"/>
  <c r="AA352" i="6"/>
  <c r="AA23" i="6"/>
  <c r="AA39" i="6"/>
  <c r="AA55" i="6"/>
  <c r="AA71" i="6"/>
  <c r="AA87" i="6"/>
  <c r="AA150" i="6"/>
  <c r="AA183" i="6"/>
  <c r="AA199" i="6"/>
  <c r="AA215" i="6"/>
  <c r="AA231" i="6"/>
  <c r="AA247" i="6"/>
  <c r="AA101" i="6"/>
  <c r="AA160" i="6"/>
  <c r="AA143" i="6"/>
  <c r="AA257" i="6"/>
  <c r="AA273" i="6"/>
  <c r="AA289" i="6"/>
  <c r="AA305" i="6"/>
  <c r="AA319" i="6"/>
  <c r="AA335" i="6"/>
  <c r="AA109" i="6"/>
  <c r="AA421" i="6"/>
  <c r="AA445" i="6"/>
  <c r="AA358" i="6"/>
  <c r="AA424" i="6"/>
  <c r="AA350" i="6"/>
  <c r="AA381" i="6"/>
  <c r="AA356" i="6"/>
  <c r="AA427" i="6"/>
  <c r="AA393" i="6"/>
  <c r="AA24" i="6"/>
  <c r="AA40" i="6"/>
  <c r="AA56" i="6"/>
  <c r="AA72" i="6"/>
  <c r="AA88" i="6"/>
  <c r="AA158" i="6"/>
  <c r="AA184" i="6"/>
  <c r="AA200" i="6"/>
  <c r="AA216" i="6"/>
  <c r="AA232" i="6"/>
  <c r="AA248" i="6"/>
  <c r="AA120" i="6"/>
  <c r="AA168" i="6"/>
  <c r="AA151" i="6"/>
  <c r="AA258" i="6"/>
  <c r="AA274" i="6"/>
  <c r="AA290" i="6"/>
  <c r="AA306" i="6"/>
  <c r="AA320" i="6"/>
  <c r="AA336" i="6"/>
  <c r="AA165" i="6"/>
  <c r="AA422" i="6"/>
  <c r="AA447" i="6"/>
  <c r="AA362" i="6"/>
  <c r="AA354" i="6"/>
  <c r="AA359" i="6"/>
  <c r="AA25" i="6"/>
  <c r="AA41" i="6"/>
  <c r="AA57" i="6"/>
  <c r="AA73" i="6"/>
  <c r="AA89" i="6"/>
  <c r="AA163" i="6"/>
  <c r="AA185" i="6"/>
  <c r="AA201" i="6"/>
  <c r="AA217" i="6"/>
  <c r="AA233" i="6"/>
  <c r="AA249" i="6"/>
  <c r="AA128" i="6"/>
  <c r="AA112" i="6"/>
  <c r="AA159" i="6"/>
  <c r="AA259" i="6"/>
  <c r="AA275" i="6"/>
  <c r="AA291" i="6"/>
  <c r="AA307" i="6"/>
  <c r="AA321" i="6"/>
  <c r="AA337" i="6"/>
  <c r="AA116" i="6"/>
  <c r="AA423" i="6"/>
  <c r="AA448" i="6"/>
  <c r="AA366" i="6"/>
  <c r="AA430" i="6"/>
  <c r="AA357" i="6"/>
  <c r="AA397" i="6"/>
  <c r="AA12" i="6"/>
  <c r="AA28" i="6"/>
  <c r="AA44" i="6"/>
  <c r="AA60" i="6"/>
  <c r="AA76" i="6"/>
  <c r="AA172" i="6"/>
  <c r="AA188" i="6"/>
  <c r="AA204" i="6"/>
  <c r="AA220" i="6"/>
  <c r="AA236" i="6"/>
  <c r="AA252" i="6"/>
  <c r="AA152" i="6"/>
  <c r="AA130" i="6"/>
  <c r="AA111" i="6"/>
  <c r="AA262" i="6"/>
  <c r="AA278" i="6"/>
  <c r="AA294" i="6"/>
  <c r="AA310" i="6"/>
  <c r="AA324" i="6"/>
  <c r="AA340" i="6"/>
  <c r="AA156" i="6"/>
  <c r="AA428" i="6"/>
  <c r="AA453" i="6"/>
  <c r="AA379" i="6"/>
  <c r="AA439" i="6"/>
  <c r="AA368" i="6"/>
  <c r="AA26" i="6"/>
  <c r="AA90" i="6"/>
  <c r="AA218" i="6"/>
  <c r="AA105" i="6"/>
  <c r="AA292" i="6"/>
  <c r="AA140" i="6"/>
  <c r="AA408" i="6"/>
  <c r="AA360" i="6"/>
  <c r="AA412" i="6"/>
  <c r="AA234" i="6"/>
  <c r="AA308" i="6"/>
  <c r="AA436" i="6"/>
  <c r="AA171" i="6"/>
  <c r="AA426" i="6"/>
  <c r="AA27" i="6"/>
  <c r="AA219" i="6"/>
  <c r="AA122" i="6"/>
  <c r="AA293" i="6"/>
  <c r="AA132" i="6"/>
  <c r="AA410" i="6"/>
  <c r="AA403" i="6"/>
  <c r="AA42" i="6"/>
  <c r="AA309" i="6"/>
  <c r="AA33" i="6"/>
  <c r="AA104" i="6"/>
  <c r="AA225" i="6"/>
  <c r="AA98" i="6"/>
  <c r="AA299" i="6"/>
  <c r="AA411" i="6"/>
  <c r="AA106" i="6"/>
  <c r="AA166" i="6"/>
  <c r="AA425" i="6"/>
  <c r="AA34" i="6"/>
  <c r="AA113" i="6"/>
  <c r="AA226" i="6"/>
  <c r="AA114" i="6"/>
  <c r="AA300" i="6"/>
  <c r="AA413" i="6"/>
  <c r="AA433" i="6"/>
  <c r="AA401" i="6"/>
  <c r="AA43" i="6"/>
  <c r="AA100" i="6"/>
  <c r="AA456" i="6"/>
  <c r="AA49" i="6"/>
  <c r="AA177" i="6"/>
  <c r="AA241" i="6"/>
  <c r="AA153" i="6"/>
  <c r="AA102" i="6"/>
  <c r="AA435" i="6"/>
  <c r="AA460" i="6"/>
  <c r="AA372" i="6"/>
  <c r="AA50" i="6"/>
  <c r="AA178" i="6"/>
  <c r="AA242" i="6"/>
  <c r="AA164" i="6"/>
  <c r="AA124" i="6"/>
  <c r="AA437" i="6"/>
  <c r="AA463" i="6"/>
  <c r="AA376" i="6"/>
  <c r="AA186" i="6"/>
  <c r="AA322" i="6"/>
  <c r="AA399" i="6"/>
  <c r="AA203" i="6"/>
  <c r="AA465" i="6"/>
  <c r="AA81" i="6"/>
  <c r="AA58" i="6"/>
  <c r="AA250" i="6"/>
  <c r="AA260" i="6"/>
  <c r="AA438" i="6"/>
  <c r="AA396" i="6"/>
  <c r="AA209" i="6"/>
  <c r="AA59" i="6"/>
  <c r="AA187" i="6"/>
  <c r="AA251" i="6"/>
  <c r="AA261" i="6"/>
  <c r="AA323" i="6"/>
  <c r="AA450" i="6"/>
  <c r="AA361" i="6"/>
  <c r="AA405" i="6"/>
  <c r="AA117" i="6"/>
  <c r="AA404" i="6"/>
  <c r="AA65" i="6"/>
  <c r="AA193" i="6"/>
  <c r="AA139" i="6"/>
  <c r="AA267" i="6"/>
  <c r="AA329" i="6"/>
  <c r="AA451" i="6"/>
  <c r="AA365" i="6"/>
  <c r="AA144" i="6"/>
  <c r="AA66" i="6"/>
  <c r="AA194" i="6"/>
  <c r="AA147" i="6"/>
  <c r="AA268" i="6"/>
  <c r="AA330" i="6"/>
  <c r="AA462" i="6"/>
  <c r="AA390" i="6"/>
  <c r="AA394" i="6"/>
  <c r="AA339" i="6"/>
  <c r="AA17" i="6"/>
  <c r="AA345" i="6"/>
  <c r="AA202" i="6"/>
  <c r="AA136" i="6"/>
  <c r="AA276" i="6"/>
  <c r="AA338" i="6"/>
  <c r="AA464" i="6"/>
  <c r="AA277" i="6"/>
  <c r="AA283" i="6"/>
  <c r="AA18" i="6"/>
  <c r="AA82" i="6"/>
  <c r="AA210" i="6"/>
  <c r="AA125" i="6"/>
  <c r="AA284" i="6"/>
  <c r="AA346" i="6"/>
  <c r="AA375" i="6"/>
  <c r="AA9" i="6"/>
  <c r="AA363" i="6"/>
  <c r="AA235" i="6"/>
  <c r="AA367" i="6"/>
  <c r="AA5" i="6" l="1"/>
</calcChain>
</file>

<file path=xl/sharedStrings.xml><?xml version="1.0" encoding="utf-8"?>
<sst xmlns="http://schemas.openxmlformats.org/spreadsheetml/2006/main" count="4394" uniqueCount="1896">
  <si>
    <t>Recensore</t>
  </si>
  <si>
    <t>Fatto</t>
  </si>
  <si>
    <t>Editori</t>
  </si>
  <si>
    <t>Recensori</t>
  </si>
  <si>
    <t>fatti editori</t>
  </si>
  <si>
    <t>fatti recensori</t>
  </si>
  <si>
    <t>totale editori</t>
  </si>
  <si>
    <t>totali recensori</t>
  </si>
  <si>
    <t>Riepilogo</t>
  </si>
  <si>
    <t>Legenda</t>
  </si>
  <si>
    <t>fatto</t>
  </si>
  <si>
    <t>Telefono</t>
  </si>
  <si>
    <t>TOTALE</t>
  </si>
  <si>
    <t>Nome</t>
  </si>
  <si>
    <t>Indirizzo</t>
  </si>
  <si>
    <t>percorso</t>
  </si>
  <si>
    <t>per editori</t>
  </si>
  <si>
    <t>Rimborso</t>
  </si>
  <si>
    <t>Zona</t>
  </si>
  <si>
    <t>da finire</t>
  </si>
  <si>
    <t>Da Fare</t>
  </si>
  <si>
    <t>fatti editori, pol inc</t>
  </si>
  <si>
    <t>fatti recensori, pol inc</t>
  </si>
  <si>
    <t>Tipologia</t>
  </si>
  <si>
    <t>Totale, esclusi plurimi</t>
  </si>
  <si>
    <t>Fatti, plurimi compresi</t>
  </si>
  <si>
    <t>Fatti, plurimi esclusi</t>
  </si>
  <si>
    <t>bistrot</t>
  </si>
  <si>
    <t>gelateria</t>
  </si>
  <si>
    <t>pizzeria</t>
  </si>
  <si>
    <t>n.d.</t>
  </si>
  <si>
    <t>cocktail bar</t>
  </si>
  <si>
    <t>pasticceria / caffetteria</t>
  </si>
  <si>
    <t>pastificio con cucina</t>
  </si>
  <si>
    <t>caffetteria</t>
  </si>
  <si>
    <t>enoteca</t>
  </si>
  <si>
    <t>bar / pasticceria</t>
  </si>
  <si>
    <t>ristorante / cocktail bar</t>
  </si>
  <si>
    <t>sala da tè</t>
  </si>
  <si>
    <t/>
  </si>
  <si>
    <t>Berberè</t>
  </si>
  <si>
    <t>non recensibile</t>
  </si>
  <si>
    <t>Città</t>
  </si>
  <si>
    <t>Trapizzino</t>
  </si>
  <si>
    <t>panineria</t>
  </si>
  <si>
    <t>Mordi &amp; Vai</t>
  </si>
  <si>
    <t>Elettroforno Frontoni</t>
  </si>
  <si>
    <t>Pasticceria Barberini</t>
  </si>
  <si>
    <t>Cristalli di Zucchero</t>
  </si>
  <si>
    <t>Casa Manfredi</t>
  </si>
  <si>
    <t>Latteria</t>
  </si>
  <si>
    <t>Gori Gelato</t>
  </si>
  <si>
    <t>Nero Vaniglia</t>
  </si>
  <si>
    <t>Jerry Thomas Speakeasy</t>
  </si>
  <si>
    <t>Roscioli Caffè</t>
  </si>
  <si>
    <t>Claudio Torcè</t>
  </si>
  <si>
    <t>Fabrica</t>
  </si>
  <si>
    <t>D'Antoni dal 1974</t>
  </si>
  <si>
    <t>200 gradi</t>
  </si>
  <si>
    <t>Pane e Tempesta</t>
  </si>
  <si>
    <t>Prelibato</t>
  </si>
  <si>
    <t>Santi Sebastiano e Valentino</t>
  </si>
  <si>
    <t>Cus Cus</t>
  </si>
  <si>
    <t>Zia Rosetta</t>
  </si>
  <si>
    <t>Ciao Checca</t>
  </si>
  <si>
    <t>Aromaticus</t>
  </si>
  <si>
    <t>Neve di Latte</t>
  </si>
  <si>
    <t>Fatamorgana</t>
  </si>
  <si>
    <t>Come il Latte</t>
  </si>
  <si>
    <t>Cremeria Alpi</t>
  </si>
  <si>
    <t>Al Settimo Gelo</t>
  </si>
  <si>
    <t>Cremeria Aurelia</t>
  </si>
  <si>
    <t>Retrò</t>
  </si>
  <si>
    <t>Gelateria dei Gracchi</t>
  </si>
  <si>
    <t>Otaleg!</t>
  </si>
  <si>
    <t>Pizzarium</t>
  </si>
  <si>
    <t>Il Goccetto</t>
  </si>
  <si>
    <t>La Gourmandise</t>
  </si>
  <si>
    <t>Baccano</t>
  </si>
  <si>
    <t>Mangiafuoco</t>
  </si>
  <si>
    <t>Open Baladin</t>
  </si>
  <si>
    <t>Metropolita</t>
  </si>
  <si>
    <t>Pinsere</t>
  </si>
  <si>
    <t>La Casa del Cremolato</t>
  </si>
  <si>
    <t>La Differenza</t>
  </si>
  <si>
    <t>Mostò</t>
  </si>
  <si>
    <t>Gelateria I Mannari</t>
  </si>
  <si>
    <t>180g pizzeria romana</t>
  </si>
  <si>
    <t>Da Enzo al 29</t>
  </si>
  <si>
    <t>Farinè la pizza</t>
  </si>
  <si>
    <t>Fermentum</t>
  </si>
  <si>
    <t>Galbi</t>
  </si>
  <si>
    <t>Green T.</t>
  </si>
  <si>
    <t>Hasekura</t>
  </si>
  <si>
    <t>La Gatta Mangiona</t>
  </si>
  <si>
    <t>La Punta Expendio de Agave</t>
  </si>
  <si>
    <t>Lin</t>
  </si>
  <si>
    <t>Magnifica</t>
  </si>
  <si>
    <t>Piccolo Buco</t>
  </si>
  <si>
    <t>Sakana Sushi</t>
  </si>
  <si>
    <t>Seu Pizza Illuminati</t>
  </si>
  <si>
    <t>Waraku</t>
  </si>
  <si>
    <t>La Trota</t>
  </si>
  <si>
    <t>Trattoria del Pesce</t>
  </si>
  <si>
    <t>Per Me</t>
  </si>
  <si>
    <t>Da Fausto</t>
  </si>
  <si>
    <t>Lo Stuzzichino</t>
  </si>
  <si>
    <t>Iotto</t>
  </si>
  <si>
    <t>Il Pacchero Solitario</t>
  </si>
  <si>
    <t>Il Giardino</t>
  </si>
  <si>
    <t>Osteria del Velodromo Vecchio</t>
  </si>
  <si>
    <t>Il Pagliaccio</t>
  </si>
  <si>
    <t>Osteria del Vicolo Fatato</t>
  </si>
  <si>
    <t>Pascucci al Porticciolo</t>
  </si>
  <si>
    <t>Bistrot 64</t>
  </si>
  <si>
    <t>Pipero</t>
  </si>
  <si>
    <t>Chinappi</t>
  </si>
  <si>
    <t>Il Convivio Troiani</t>
  </si>
  <si>
    <t>Enoteca La Torre</t>
  </si>
  <si>
    <t>Materia Prima</t>
  </si>
  <si>
    <t>Chalet del Lago</t>
  </si>
  <si>
    <t>Il Tino</t>
  </si>
  <si>
    <t>La Pergola del Rome Cavalieri</t>
  </si>
  <si>
    <t>Hand Made</t>
  </si>
  <si>
    <t>Osteria La Briciola</t>
  </si>
  <si>
    <t>Acqua Pazza</t>
  </si>
  <si>
    <t>Acquolina</t>
  </si>
  <si>
    <t>Da Cesare</t>
  </si>
  <si>
    <t>Felice</t>
  </si>
  <si>
    <t>Il Torchio</t>
  </si>
  <si>
    <t>La Baia</t>
  </si>
  <si>
    <t>Mamma Angelina</t>
  </si>
  <si>
    <t>Osteria Bonelli</t>
  </si>
  <si>
    <t>Prato di Sopra</t>
  </si>
  <si>
    <t>Riso Amaro</t>
  </si>
  <si>
    <t>Roscioli</t>
  </si>
  <si>
    <t>Trattoria Monti</t>
  </si>
  <si>
    <t>Armando al Pantheon</t>
  </si>
  <si>
    <t>Flavio al Velavevodetto</t>
  </si>
  <si>
    <t>Moma</t>
  </si>
  <si>
    <t>Cuoco e Camicia</t>
  </si>
  <si>
    <t>Glass Hostaria</t>
  </si>
  <si>
    <t>Il Calice e la Stella</t>
  </si>
  <si>
    <t>Ristorante degli Angeli</t>
  </si>
  <si>
    <t>Al Ceppo</t>
  </si>
  <si>
    <t>Satricvm</t>
  </si>
  <si>
    <t>Osteria “Il Bersagliere”</t>
  </si>
  <si>
    <t>La Locanda del Bere</t>
  </si>
  <si>
    <t>Acciuga</t>
  </si>
  <si>
    <t>Santo Palato</t>
  </si>
  <si>
    <t>La Parolina</t>
  </si>
  <si>
    <t>Sora Maria e Arcangelo</t>
  </si>
  <si>
    <t>All'Oro</t>
  </si>
  <si>
    <t>La Tavernaccia</t>
  </si>
  <si>
    <t>Zia Restaurant</t>
  </si>
  <si>
    <t>Osteria del Borgo</t>
  </si>
  <si>
    <t>Retrobottega</t>
  </si>
  <si>
    <t>vineria con cucina</t>
  </si>
  <si>
    <t>pizzeria al taglio</t>
  </si>
  <si>
    <t>gastronomia</t>
  </si>
  <si>
    <t>street food venezuelano</t>
  </si>
  <si>
    <t>birreria con cucina</t>
  </si>
  <si>
    <t>caffetteria / pasticceria</t>
  </si>
  <si>
    <t>bistrot / sala da tè</t>
  </si>
  <si>
    <t>bar / pasticceria / gelateria</t>
  </si>
  <si>
    <t>pizzeria al taglio / panificio</t>
  </si>
  <si>
    <t>negozio / bistrot</t>
  </si>
  <si>
    <t>cinese</t>
  </si>
  <si>
    <t>romana</t>
  </si>
  <si>
    <t>giapponese</t>
  </si>
  <si>
    <t>coreana</t>
  </si>
  <si>
    <t>messicana</t>
  </si>
  <si>
    <t>pesce</t>
  </si>
  <si>
    <t>ricercata</t>
  </si>
  <si>
    <t>tradizionale</t>
  </si>
  <si>
    <t>legata al territorio</t>
  </si>
  <si>
    <t>creativa</t>
  </si>
  <si>
    <t>tradizionale con spunti creativi</t>
  </si>
  <si>
    <t>principalmente pesce</t>
  </si>
  <si>
    <t>gastronomia con cucina</t>
  </si>
  <si>
    <t>Piazza del Popolo</t>
  </si>
  <si>
    <t>San Paolo</t>
  </si>
  <si>
    <t>Testaccio</t>
  </si>
  <si>
    <t>Piazza Istria</t>
  </si>
  <si>
    <t>Largo Somalia</t>
  </si>
  <si>
    <t>Via Ostiense, 387</t>
  </si>
  <si>
    <t>Batteria Nomentana</t>
  </si>
  <si>
    <t>Montesacro</t>
  </si>
  <si>
    <t>Piazza Navona</t>
  </si>
  <si>
    <t>Via Marmorata, 41</t>
  </si>
  <si>
    <t>Largo Benedetto Bompiani, 8/10</t>
  </si>
  <si>
    <t>Via di Val Tellina, 114</t>
  </si>
  <si>
    <t>Monteverde</t>
  </si>
  <si>
    <t>Viale Aventino, 91/93</t>
  </si>
  <si>
    <t>FAO</t>
  </si>
  <si>
    <t>Vicolo della Scala, 1</t>
  </si>
  <si>
    <t>Trastevere</t>
  </si>
  <si>
    <t>Via Tolemaide, 16</t>
  </si>
  <si>
    <t>Trionfale</t>
  </si>
  <si>
    <t>Porta Portese</t>
  </si>
  <si>
    <t>Via Carlo Caneva, 15</t>
  </si>
  <si>
    <t>Portonaccio</t>
  </si>
  <si>
    <t>Monti</t>
  </si>
  <si>
    <t>Laurentino</t>
  </si>
  <si>
    <t>Piramide</t>
  </si>
  <si>
    <t>Talenti</t>
  </si>
  <si>
    <t>Salario</t>
  </si>
  <si>
    <t>Viale Parioli, 200</t>
  </si>
  <si>
    <t>Circonvallazione Ostiense, 201</t>
  </si>
  <si>
    <t>Garbatella</t>
  </si>
  <si>
    <t>Pigneto</t>
  </si>
  <si>
    <t>San Giovanni</t>
  </si>
  <si>
    <t>Vicolo Cellini, 30</t>
  </si>
  <si>
    <t>Corso Vittorio Emanuele</t>
  </si>
  <si>
    <t>Piazza Benedetto Cairoli, 16</t>
  </si>
  <si>
    <t>Campo de' Fiori</t>
  </si>
  <si>
    <t>Aventino</t>
  </si>
  <si>
    <t>Viale Aventino, 59</t>
  </si>
  <si>
    <t>Viale Marconi, 445</t>
  </si>
  <si>
    <t>Viale dell'Aeronautica, 105</t>
  </si>
  <si>
    <t>EUR</t>
  </si>
  <si>
    <t>Via Girolamo Savonarola, 8</t>
  </si>
  <si>
    <t>Prati</t>
  </si>
  <si>
    <t>Collatino</t>
  </si>
  <si>
    <t>Furio Camillo</t>
  </si>
  <si>
    <t>Musei Vaticani</t>
  </si>
  <si>
    <t>Flaminio</t>
  </si>
  <si>
    <t>Via Giovanni de Calvi, 23/25</t>
  </si>
  <si>
    <t>Colli Portuensi</t>
  </si>
  <si>
    <t>Viale di Villa Pamphili, 214</t>
  </si>
  <si>
    <t>Pietralata</t>
  </si>
  <si>
    <t>Via Piave, 55</t>
  </si>
  <si>
    <t>Piazza Fiume</t>
  </si>
  <si>
    <t>Arco di Travertino</t>
  </si>
  <si>
    <t>Centocelle</t>
  </si>
  <si>
    <t>Via Tirso, 107</t>
  </si>
  <si>
    <t>Via Arezzo, 39</t>
  </si>
  <si>
    <t>Piazza Bologna</t>
  </si>
  <si>
    <t>Via Urbana, 54</t>
  </si>
  <si>
    <t>Piazza di Spagna, 23</t>
  </si>
  <si>
    <t>San Lorenzo</t>
  </si>
  <si>
    <t>Via di Ripetta, 40</t>
  </si>
  <si>
    <t>Pantheon</t>
  </si>
  <si>
    <t>Piazza di Firenze, 25/26</t>
  </si>
  <si>
    <t>Campo Marzio</t>
  </si>
  <si>
    <t>Via Urbana, 134</t>
  </si>
  <si>
    <t>Viale Europa, 339</t>
  </si>
  <si>
    <t>Via Luigi Poletti, 6</t>
  </si>
  <si>
    <t>Via Federico Cesi, 1</t>
  </si>
  <si>
    <t>Via dei Chiavari, 37</t>
  </si>
  <si>
    <t>Via Lago di Lesina, 9/11</t>
  </si>
  <si>
    <t>Trieste</t>
  </si>
  <si>
    <t>Piazza degli Zingari, 5</t>
  </si>
  <si>
    <t>Piazza Re di Roma</t>
  </si>
  <si>
    <t>Via Roma Libera, 11</t>
  </si>
  <si>
    <t>Via Silvio Spaventa 24/26</t>
  </si>
  <si>
    <t>Piazza Sallustio</t>
  </si>
  <si>
    <t>Via Padre Reginaldo Giuliani, 16</t>
  </si>
  <si>
    <t>Acilia</t>
  </si>
  <si>
    <t>Esquilino</t>
  </si>
  <si>
    <t>Piazza Mazzini</t>
  </si>
  <si>
    <t>Via Baldo degli Ubaldi, 118</t>
  </si>
  <si>
    <t>Piazza Irnerio</t>
  </si>
  <si>
    <t>Via di Ripetta, 261</t>
  </si>
  <si>
    <t>Via dei Gracchi, 272</t>
  </si>
  <si>
    <t>Appio Latino</t>
  </si>
  <si>
    <t>Fontana di Trevi</t>
  </si>
  <si>
    <t>Via di San Cosimato, 14/A</t>
  </si>
  <si>
    <t>Piazzale degli Eroi</t>
  </si>
  <si>
    <t>Via dei Banchi Vecchi, 14</t>
  </si>
  <si>
    <t>Via delle Muratte, 23</t>
  </si>
  <si>
    <t>Via degli Specchi, 6</t>
  </si>
  <si>
    <t>Piazza Cavour</t>
  </si>
  <si>
    <t>Piazza Gentile da Fabriano, 2</t>
  </si>
  <si>
    <t>Via Giovanni Branca, 88</t>
  </si>
  <si>
    <t>Piazzale di Ponte Milvio, 13</t>
  </si>
  <si>
    <t>Via Flavia, 98</t>
  </si>
  <si>
    <t>Via di Priscilla, 18</t>
  </si>
  <si>
    <t>Piazza Crati</t>
  </si>
  <si>
    <t>Piazza Trilussa, 46</t>
  </si>
  <si>
    <t>Viale Pinturicchio, 32</t>
  </si>
  <si>
    <t>Via di Grotta Perfetta, 125</t>
  </si>
  <si>
    <t>Montagnola</t>
  </si>
  <si>
    <t>Via Mantova, 5</t>
  </si>
  <si>
    <t>Via degli Aurunci, 6/8</t>
  </si>
  <si>
    <t>Via Lemonia, 214</t>
  </si>
  <si>
    <t>Cinecittà</t>
  </si>
  <si>
    <t>Via Cremera, 21</t>
  </si>
  <si>
    <t>Ostiense</t>
  </si>
  <si>
    <t>Via dei Serpenti, 27</t>
  </si>
  <si>
    <t>Portuense</t>
  </si>
  <si>
    <t>Via Federico Ozanam, 30/32</t>
  </si>
  <si>
    <t>Via di Santa Cecilia, 8</t>
  </si>
  <si>
    <t>Via Basento, 70/76</t>
  </si>
  <si>
    <t>Via Po</t>
  </si>
  <si>
    <t>Via Ugo de Carolis, 72/D</t>
  </si>
  <si>
    <t>Balduina</t>
  </si>
  <si>
    <t>Via della Torre Clementina, 114</t>
  </si>
  <si>
    <t>Via del Lavatore, 91</t>
  </si>
  <si>
    <t>Via del Gazometro, 54</t>
  </si>
  <si>
    <t>Via Angelo Bargoni, 10/18</t>
  </si>
  <si>
    <t>Via Santa Susanna, 33</t>
  </si>
  <si>
    <t>Via Folco Portinari, 27</t>
  </si>
  <si>
    <t>Monteverde Nuovo</t>
  </si>
  <si>
    <t>Vicolo del Malpasso, 9</t>
  </si>
  <si>
    <t>Via Giulia</t>
  </si>
  <si>
    <t>Piazza Cesare Beccaria, 6</t>
  </si>
  <si>
    <t>Corso Vittorio Emanuele, 96</t>
  </si>
  <si>
    <t>Via Giuseppe Verdi, 29</t>
  </si>
  <si>
    <t>Via degli Ulivi, 43</t>
  </si>
  <si>
    <t>Via Genzano, 139</t>
  </si>
  <si>
    <t>Via Cicerone, 40</t>
  </si>
  <si>
    <t>Via dei Banchi Vecchi, 129/A</t>
  </si>
  <si>
    <t>Vicolo Forno Fatato, 11</t>
  </si>
  <si>
    <t>Viale Traiano, 85</t>
  </si>
  <si>
    <t>MAXXI</t>
  </si>
  <si>
    <t>Corso Vittorio Emanuele II, 250</t>
  </si>
  <si>
    <t>Chiesa Nuova</t>
  </si>
  <si>
    <t>Vicolo dei Soldati, 31</t>
  </si>
  <si>
    <t>Lungotevere delle Armi, 22/23</t>
  </si>
  <si>
    <t>Piazza Monte Grappa</t>
  </si>
  <si>
    <t>Via Sardegna, 8</t>
  </si>
  <si>
    <t>Via G.G. Belli, 59/61</t>
  </si>
  <si>
    <t>Via Reginaldo Belloni, 28/29</t>
  </si>
  <si>
    <t>Tuscolano</t>
  </si>
  <si>
    <t>Via Cadlolo, 101</t>
  </si>
  <si>
    <t>Monte Mario</t>
  </si>
  <si>
    <t>Via Scuole Rurali, 1</t>
  </si>
  <si>
    <t>Via del Vantaggio, 14</t>
  </si>
  <si>
    <t>Via Augusto Valenziani, 19</t>
  </si>
  <si>
    <t>Via del Casaletto, 45</t>
  </si>
  <si>
    <t>Via Mastro Giorgio, 29</t>
  </si>
  <si>
    <t>Via Goffredo Mameli, 3</t>
  </si>
  <si>
    <t>Via Silvi Marina, 1</t>
  </si>
  <si>
    <t>Viale Arrigo Boito, 65</t>
  </si>
  <si>
    <t>Viale dell'Acquedotto Alessandrino, 172/174</t>
  </si>
  <si>
    <t>Torpignattara</t>
  </si>
  <si>
    <t>Via Principe Amedeo, 7</t>
  </si>
  <si>
    <t>Viale Regina Margherita, 22</t>
  </si>
  <si>
    <t>Via dei Giubbonari, 21/22</t>
  </si>
  <si>
    <t>Salita dei Crescenzi, 31</t>
  </si>
  <si>
    <t>Via di Monte Testaccio, 97/99</t>
  </si>
  <si>
    <t>Ex Mattatoio</t>
  </si>
  <si>
    <t>Via di San Basilio, 42/43</t>
  </si>
  <si>
    <t>Vicolo del Cinque, 58</t>
  </si>
  <si>
    <t>Piazza Trilussa</t>
  </si>
  <si>
    <t>Piazza Garibaldi, 9</t>
  </si>
  <si>
    <t>Località Madonna degli Angeli</t>
  </si>
  <si>
    <t>Via Panama, 2</t>
  </si>
  <si>
    <t>Piazza Ungheria</t>
  </si>
  <si>
    <t>Strada Nettuno-Cisterna, 1227 - Loc. Le Ferriere</t>
  </si>
  <si>
    <t>Via Casilina, km 25,000</t>
  </si>
  <si>
    <t>Via Foro Appio, 64 - Loc. Borgo Faiti</t>
  </si>
  <si>
    <t>Via Giacomo Leopardi, 1</t>
  </si>
  <si>
    <t>Via Roma, 45</t>
  </si>
  <si>
    <t>Via Giuseppe Pisanelli, 23/25</t>
  </si>
  <si>
    <t>Via Goffredo Mameli, 45</t>
  </si>
  <si>
    <t>Via Borgo di Sopra, 21/23</t>
  </si>
  <si>
    <t>Roma</t>
  </si>
  <si>
    <t>Fiumicino</t>
  </si>
  <si>
    <t>Rivodutri</t>
  </si>
  <si>
    <t>Fondi</t>
  </si>
  <si>
    <t>Campodimele</t>
  </si>
  <si>
    <t>Campagnano di Roma</t>
  </si>
  <si>
    <t>Aprilia</t>
  </si>
  <si>
    <t>Ventotene</t>
  </si>
  <si>
    <t>Grottaferrata</t>
  </si>
  <si>
    <t>Tivoli</t>
  </si>
  <si>
    <t>Piglio</t>
  </si>
  <si>
    <t>Terracina</t>
  </si>
  <si>
    <t>Formia</t>
  </si>
  <si>
    <t>Latina</t>
  </si>
  <si>
    <t>Pontinia</t>
  </si>
  <si>
    <t>Genazzano</t>
  </si>
  <si>
    <t>Anguillara Sabazia</t>
  </si>
  <si>
    <t>Fregene</t>
  </si>
  <si>
    <t>Viterbo</t>
  </si>
  <si>
    <t>Ponza</t>
  </si>
  <si>
    <t>Anzio</t>
  </si>
  <si>
    <t>Frascati</t>
  </si>
  <si>
    <t>Canepina</t>
  </si>
  <si>
    <t>Magliano Sabina</t>
  </si>
  <si>
    <t>Colonna</t>
  </si>
  <si>
    <t>Trevinano</t>
  </si>
  <si>
    <t>Olevano Romano</t>
  </si>
  <si>
    <t>393/8123386</t>
  </si>
  <si>
    <t>06/45619534</t>
  </si>
  <si>
    <t>06/57250431</t>
  </si>
  <si>
    <t>06/5124103</t>
  </si>
  <si>
    <t>06/58230323</t>
  </si>
  <si>
    <t>06/97605892</t>
  </si>
  <si>
    <t>06/58332008</t>
  </si>
  <si>
    <t>06/45551271</t>
  </si>
  <si>
    <t>06/80662455</t>
  </si>
  <si>
    <t>06/8272092</t>
  </si>
  <si>
    <t>06/5780306</t>
  </si>
  <si>
    <t>06/96845937</t>
  </si>
  <si>
    <t>06/89165330</t>
  </si>
  <si>
    <t>06/5746876</t>
  </si>
  <si>
    <t>06/97882939</t>
  </si>
  <si>
    <t>06/2593441</t>
  </si>
  <si>
    <t>06/39754239</t>
  </si>
  <si>
    <t>06/87725015</t>
  </si>
  <si>
    <t>06/93577165</t>
  </si>
  <si>
    <t>06/42815714</t>
  </si>
  <si>
    <t>06/87568048</t>
  </si>
  <si>
    <t>06/31052516</t>
  </si>
  <si>
    <t>06/6786027</t>
  </si>
  <si>
    <t>06/32652670</t>
  </si>
  <si>
    <t>06/68803029</t>
  </si>
  <si>
    <t>06/68300368</t>
  </si>
  <si>
    <t>06/4881355</t>
  </si>
  <si>
    <t>06/69363592</t>
  </si>
  <si>
    <t>06/3208485</t>
  </si>
  <si>
    <t>06/3225744</t>
  </si>
  <si>
    <t>06/86391589</t>
  </si>
  <si>
    <t>06/48906955</t>
  </si>
  <si>
    <t>06/5803615</t>
  </si>
  <si>
    <t>06/42903882</t>
  </si>
  <si>
    <t>06/88921386</t>
  </si>
  <si>
    <t>06/5211942</t>
  </si>
  <si>
    <t>06/3725567</t>
  </si>
  <si>
    <t>06/6632499</t>
  </si>
  <si>
    <t>06/6636288</t>
  </si>
  <si>
    <t>06/3224727</t>
  </si>
  <si>
    <t>06/3216668</t>
  </si>
  <si>
    <t>338/6515450</t>
  </si>
  <si>
    <t>06/39745416</t>
  </si>
  <si>
    <t>377/4116621</t>
  </si>
  <si>
    <t>06/69941166</t>
  </si>
  <si>
    <t>06/6838989</t>
  </si>
  <si>
    <t>06/43419624</t>
  </si>
  <si>
    <t>06/33221964</t>
  </si>
  <si>
    <t>06/42020924</t>
  </si>
  <si>
    <t>06/86200724</t>
  </si>
  <si>
    <t>06/64012423</t>
  </si>
  <si>
    <t>06/5817312</t>
  </si>
  <si>
    <t>06/70496477</t>
  </si>
  <si>
    <t>392/2579616</t>
  </si>
  <si>
    <t>06/5410448</t>
  </si>
  <si>
    <t>06/45654390</t>
  </si>
  <si>
    <t>06/5812260</t>
  </si>
  <si>
    <t>06/4451162</t>
  </si>
  <si>
    <t>06/8842132</t>
  </si>
  <si>
    <t>06/6798628</t>
  </si>
  <si>
    <t>06/483648</t>
  </si>
  <si>
    <t>06/5346702</t>
  </si>
  <si>
    <t>06/5816665</t>
  </si>
  <si>
    <t>06/8546270</t>
  </si>
  <si>
    <t>06/6505251</t>
  </si>
  <si>
    <t>06/69380163</t>
  </si>
  <si>
    <t>06/5883384</t>
  </si>
  <si>
    <t>06/21702358</t>
  </si>
  <si>
    <t>0746/685078</t>
  </si>
  <si>
    <t>06/95945393</t>
  </si>
  <si>
    <t>06/6877365</t>
  </si>
  <si>
    <t>0771/531268</t>
  </si>
  <si>
    <t>0771/598099</t>
  </si>
  <si>
    <t>06/9041746</t>
  </si>
  <si>
    <t>06/92062042</t>
  </si>
  <si>
    <t>0771/85020</t>
  </si>
  <si>
    <t>06/7886793</t>
  </si>
  <si>
    <t>06/9411904</t>
  </si>
  <si>
    <t>06/68809595</t>
  </si>
  <si>
    <t>0775/503035</t>
  </si>
  <si>
    <t>06/65029204</t>
  </si>
  <si>
    <t>06/3235531</t>
  </si>
  <si>
    <t>06/68139022</t>
  </si>
  <si>
    <t>06/6869432</t>
  </si>
  <si>
    <t>06/45668304</t>
  </si>
  <si>
    <t>0773/86391</t>
  </si>
  <si>
    <t>06/3210992</t>
  </si>
  <si>
    <t>06/9968229</t>
  </si>
  <si>
    <t>06/35092152</t>
  </si>
  <si>
    <t>06/66562063</t>
  </si>
  <si>
    <t>0774/418421</t>
  </si>
  <si>
    <t>0771/80643</t>
  </si>
  <si>
    <t>06/3201590</t>
  </si>
  <si>
    <t>06/35072243</t>
  </si>
  <si>
    <t>06/4819005</t>
  </si>
  <si>
    <t>06/536015</t>
  </si>
  <si>
    <t>06/5746800</t>
  </si>
  <si>
    <t>06/9425520</t>
  </si>
  <si>
    <t>06/66561647</t>
  </si>
  <si>
    <t>06/8608928</t>
  </si>
  <si>
    <t>329/8633077</t>
  </si>
  <si>
    <t>06/94315464</t>
  </si>
  <si>
    <t>0771/523655</t>
  </si>
  <si>
    <t>06/6875287</t>
  </si>
  <si>
    <t>06/68803034</t>
  </si>
  <si>
    <t>06/5744194</t>
  </si>
  <si>
    <t>06/42011798</t>
  </si>
  <si>
    <t>06/88922987</t>
  </si>
  <si>
    <t>06/58335903</t>
  </si>
  <si>
    <t>328/9024761</t>
  </si>
  <si>
    <t>0744/91377</t>
  </si>
  <si>
    <t>06/8419696</t>
  </si>
  <si>
    <t>349/1923153</t>
  </si>
  <si>
    <t>0773/258620</t>
  </si>
  <si>
    <t>06/3723395</t>
  </si>
  <si>
    <t>06/77207354</t>
  </si>
  <si>
    <t>0763/717130</t>
  </si>
  <si>
    <t>06/9564043</t>
  </si>
  <si>
    <t>06/97996907</t>
  </si>
  <si>
    <t>06/5812792</t>
  </si>
  <si>
    <t>06/23488093</t>
  </si>
  <si>
    <t>06/30430023</t>
  </si>
  <si>
    <t>06/68136310</t>
  </si>
  <si>
    <t>Trecca - cucina di mercato</t>
  </si>
  <si>
    <t>Via Alessandro Severo, 222</t>
  </si>
  <si>
    <t>Ex Fiera</t>
  </si>
  <si>
    <t>06/88650867</t>
  </si>
  <si>
    <t>Molo 29</t>
  </si>
  <si>
    <t>Via Mario Musco, 29/31</t>
  </si>
  <si>
    <t>06/59600651</t>
  </si>
  <si>
    <t>Agostino</t>
  </si>
  <si>
    <t>Corso Trieste, 66</t>
  </si>
  <si>
    <t>Via Tuscolana, 1677</t>
  </si>
  <si>
    <t>Caffè Conti</t>
  </si>
  <si>
    <t>La Briciola di Adriana</t>
  </si>
  <si>
    <t>Pizza Chef</t>
  </si>
  <si>
    <t>Faro - Caffè Specialty</t>
  </si>
  <si>
    <t>Da Michele</t>
  </si>
  <si>
    <t>Via Tiberio Imperatore, 95/97</t>
  </si>
  <si>
    <t>06/5404352</t>
  </si>
  <si>
    <t>Drink Kong</t>
  </si>
  <si>
    <t>06/23488666</t>
  </si>
  <si>
    <t>Mikachan</t>
  </si>
  <si>
    <t>Via Torcegno, 39</t>
  </si>
  <si>
    <t>Infernetto</t>
  </si>
  <si>
    <t>338/1737246</t>
  </si>
  <si>
    <t>Osteria Fratelli Mori</t>
  </si>
  <si>
    <t>romana / pizzeria</t>
  </si>
  <si>
    <t>Via dei Conciatori, 10</t>
  </si>
  <si>
    <t>331/3234399</t>
  </si>
  <si>
    <t>Mudejar Spiriti e Cucina</t>
  </si>
  <si>
    <t>Sperlonga</t>
  </si>
  <si>
    <t>338/6839418</t>
  </si>
  <si>
    <t>Mater</t>
  </si>
  <si>
    <t>Fiano Romano</t>
  </si>
  <si>
    <t>Idylio by Apreda</t>
  </si>
  <si>
    <t>Parioli</t>
  </si>
  <si>
    <t>Artigiano del Caffè</t>
  </si>
  <si>
    <t>Via Famagosta, 14</t>
  </si>
  <si>
    <t>329/7467044</t>
  </si>
  <si>
    <t>Piazza di Spagna</t>
  </si>
  <si>
    <t>06/36000009</t>
  </si>
  <si>
    <t>street food romano</t>
  </si>
  <si>
    <t>El maiz</t>
  </si>
  <si>
    <t>panificio con cucina</t>
  </si>
  <si>
    <t>forno / bistrot</t>
  </si>
  <si>
    <t>tradizionale / romana</t>
  </si>
  <si>
    <t>Vermicino</t>
  </si>
  <si>
    <t>Via Natale del Grande, 6/7</t>
  </si>
  <si>
    <t>Piazza dei Quiriti, 4/5</t>
  </si>
  <si>
    <t>Via Domenichino, 14</t>
  </si>
  <si>
    <t>06/66006878</t>
  </si>
  <si>
    <t>06/3972 5514</t>
  </si>
  <si>
    <t>06/88798381</t>
  </si>
  <si>
    <t>Gelato d'Essai</t>
  </si>
  <si>
    <t>Prenestino</t>
  </si>
  <si>
    <t>06/89232228</t>
  </si>
  <si>
    <t>Colli Aniene</t>
  </si>
  <si>
    <t>06/64264692</t>
  </si>
  <si>
    <t>Via Cesare Baronio, 179</t>
  </si>
  <si>
    <t>06/69306952</t>
  </si>
  <si>
    <t>Fax Factory</t>
  </si>
  <si>
    <t>caffetteria specialty</t>
  </si>
  <si>
    <t>Via Antonio Raimondi, 87</t>
  </si>
  <si>
    <t>06/69301043</t>
  </si>
  <si>
    <t>Sushisen</t>
  </si>
  <si>
    <t>indirizzo
plurimo</t>
  </si>
  <si>
    <t>riservato
per</t>
  </si>
  <si>
    <t>Duke's - Fine Casual Bar &amp; Restaurant</t>
  </si>
  <si>
    <t>Babingtons</t>
  </si>
  <si>
    <t>Misticanza - Osteria della Terra</t>
  </si>
  <si>
    <t>Via Cristoforo Colombo, 1897</t>
  </si>
  <si>
    <t>Casal Palocco</t>
  </si>
  <si>
    <t>Via Bisagno, 19</t>
  </si>
  <si>
    <t>Ghetto</t>
  </si>
  <si>
    <t>Via Clelia, 63/A</t>
  </si>
  <si>
    <t>Piazzale delle Province, 9</t>
  </si>
  <si>
    <t>Via Dietro la Chiesa, 3/4</t>
  </si>
  <si>
    <t>Via dei Vascellari, 29</t>
  </si>
  <si>
    <t>pasticceria</t>
  </si>
  <si>
    <t>vegetariana</t>
  </si>
  <si>
    <t>06/53095459</t>
  </si>
  <si>
    <t>06/87566046</t>
  </si>
  <si>
    <t>06/90239685</t>
  </si>
  <si>
    <t>06/5756945</t>
  </si>
  <si>
    <t>Sintesi</t>
  </si>
  <si>
    <t>Via Adige, 19/21</t>
  </si>
  <si>
    <t>Viale dei Castani, 17</t>
  </si>
  <si>
    <t>Ariccia</t>
  </si>
  <si>
    <t>06/45557597</t>
  </si>
  <si>
    <t>Salmoneria</t>
  </si>
  <si>
    <t>bottega con cucina</t>
  </si>
  <si>
    <t>Angelo Pezzella</t>
  </si>
  <si>
    <t>Via Appia Nuova, 1095</t>
  </si>
  <si>
    <t>06/7188560</t>
  </si>
  <si>
    <t>06/45495604</t>
  </si>
  <si>
    <t>Largo Argentina</t>
  </si>
  <si>
    <t>Barred</t>
  </si>
  <si>
    <t>Via Cesena, 30</t>
  </si>
  <si>
    <t>06/97273382</t>
  </si>
  <si>
    <t>Bottega Tredici</t>
  </si>
  <si>
    <t>Via dei Falegnami, 14</t>
  </si>
  <si>
    <t>06/92118504</t>
  </si>
  <si>
    <t>Via dell'Arco della Ciambella, 20</t>
  </si>
  <si>
    <t>Sinosteria</t>
  </si>
  <si>
    <t>324/6399916</t>
  </si>
  <si>
    <t>Viale Guglielmo Marconi, 586</t>
  </si>
  <si>
    <t>Radici - pizzicheria salentina</t>
  </si>
  <si>
    <t>street food pugliese</t>
  </si>
  <si>
    <t>Via Emanuele Filiberto, 38</t>
  </si>
  <si>
    <t>06/89021483</t>
  </si>
  <si>
    <t>tradizionale / carne</t>
  </si>
  <si>
    <t>Subiaco</t>
  </si>
  <si>
    <t>06/86937299</t>
  </si>
  <si>
    <t>La Villetta</t>
  </si>
  <si>
    <t>Via del Porticciolo Romano, snc</t>
  </si>
  <si>
    <t>0771/723113</t>
  </si>
  <si>
    <t>Dumpling Bar</t>
  </si>
  <si>
    <t>Piazza Antonio Meucci, 1</t>
  </si>
  <si>
    <t>344/0658913</t>
  </si>
  <si>
    <t>Gastromario</t>
  </si>
  <si>
    <t>pasticceria / bistrot</t>
  </si>
  <si>
    <t>Via Voghera, 10</t>
  </si>
  <si>
    <t>Piazza Lodi</t>
  </si>
  <si>
    <t>06/79782584</t>
  </si>
  <si>
    <t>Vicolo del Bologna, 19</t>
  </si>
  <si>
    <t>342/3006808</t>
  </si>
  <si>
    <t>Via di Tor Pignattara, 190</t>
  </si>
  <si>
    <t>345/5479532</t>
  </si>
  <si>
    <t>Collina Fleming</t>
  </si>
  <si>
    <t>Mine</t>
  </si>
  <si>
    <t>06/3337879</t>
  </si>
  <si>
    <t>347/9998983</t>
  </si>
  <si>
    <t>Porto Quadro</t>
  </si>
  <si>
    <t>Piazza Ippolito Nievo, 13/14</t>
  </si>
  <si>
    <t>340/8640569</t>
  </si>
  <si>
    <t>Tram Tram</t>
  </si>
  <si>
    <t>06/490416</t>
  </si>
  <si>
    <t>Via dei Reti, 44/46</t>
  </si>
  <si>
    <t>Centro</t>
  </si>
  <si>
    <t>N.O.D.O.</t>
  </si>
  <si>
    <t>Piazza delle Coppelle, 52</t>
  </si>
  <si>
    <t>06/94376334</t>
  </si>
  <si>
    <t>Carter Oblio</t>
  </si>
  <si>
    <t>Via Giuseppe Gioachino Belli, 21</t>
  </si>
  <si>
    <t>Piazza Euclide, 25</t>
  </si>
  <si>
    <t>Via Val di Sangro, 35</t>
  </si>
  <si>
    <t>348/0081620</t>
  </si>
  <si>
    <t>La Ciambella bar à vin</t>
  </si>
  <si>
    <t>Menabó Vino e Cucina</t>
  </si>
  <si>
    <t>Mangiadischi la moderna trattoria</t>
  </si>
  <si>
    <t>a Rota - pizzeria romanesca</t>
  </si>
  <si>
    <t>Il tuo fornaio</t>
  </si>
  <si>
    <t>Pasticceria Walter Musco</t>
  </si>
  <si>
    <t>Enoteca L'Antidoto</t>
  </si>
  <si>
    <t>amARanto</t>
  </si>
  <si>
    <t>Via Vodice, 25/A-B</t>
  </si>
  <si>
    <t>Viale della Pineta di Fregene, 52/C</t>
  </si>
  <si>
    <t>San Pietro</t>
  </si>
  <si>
    <t>Via delle Palme, 44/D-E</t>
  </si>
  <si>
    <t>Corso San Leone, 3/A</t>
  </si>
  <si>
    <t>Via San Vito, 13/A</t>
  </si>
  <si>
    <t>Via Ostiense, 166/A</t>
  </si>
  <si>
    <t>Via Giuseppe Giulietti, 21/A</t>
  </si>
  <si>
    <t>Via Prenestina, 321/A</t>
  </si>
  <si>
    <t>Via Genazzano, 32</t>
  </si>
  <si>
    <t>Villa Gordiani</t>
  </si>
  <si>
    <t>Via Pier Paolo Pasolini, snc</t>
  </si>
  <si>
    <t>Via Dino Penazzato, 83/H</t>
  </si>
  <si>
    <t>Via Francesco Sapori, 35</t>
  </si>
  <si>
    <t>Tor Marancia</t>
  </si>
  <si>
    <t>Via Beniamino Franklin, 12/E</t>
  </si>
  <si>
    <t>Via Flaminia, 732/B</t>
  </si>
  <si>
    <t>Piazza del Risorgimento, 3</t>
  </si>
  <si>
    <t>Piazza di San Martino ai Monti, 8</t>
  </si>
  <si>
    <t>Via Vodice, 21/A</t>
  </si>
  <si>
    <t>Piazza Menenio Agrippa, 8/B-C</t>
  </si>
  <si>
    <t>Via della Meloria, 43</t>
  </si>
  <si>
    <t>Via della Dogana Vecchia, 12/13</t>
  </si>
  <si>
    <t>06/6832930</t>
  </si>
  <si>
    <t>06/84381895</t>
  </si>
  <si>
    <t>06/93374742</t>
  </si>
  <si>
    <t>06/89831448</t>
  </si>
  <si>
    <t>creativa / pesce</t>
  </si>
  <si>
    <t>tradizionale / rivisitata</t>
  </si>
  <si>
    <t>vegetariana / vegana</t>
  </si>
  <si>
    <t>principalmente romana</t>
  </si>
  <si>
    <t>bottega / bistrot</t>
  </si>
  <si>
    <t>ravioleria cinese</t>
  </si>
  <si>
    <t>45</t>
  </si>
  <si>
    <t>40+20</t>
  </si>
  <si>
    <t>menù Acciuga</t>
  </si>
  <si>
    <t>40</t>
  </si>
  <si>
    <t xml:space="preserve">	primo, secondo e dolce (o antipasto)</t>
  </si>
  <si>
    <t>primo, secondo e dolce (o antipasto)</t>
  </si>
  <si>
    <t>25+20</t>
  </si>
  <si>
    <t>35</t>
  </si>
  <si>
    <t>30</t>
  </si>
  <si>
    <t>50+20</t>
  </si>
  <si>
    <t>25</t>
  </si>
  <si>
    <t>30+20</t>
  </si>
  <si>
    <t>antipasto, primo e secondo</t>
  </si>
  <si>
    <t>La Galleria di Sopra</t>
  </si>
  <si>
    <t>Via Leonardo Murialdo, 9</t>
  </si>
  <si>
    <t>Albano Laziale</t>
  </si>
  <si>
    <t>7½</t>
  </si>
  <si>
    <t>novità</t>
  </si>
  <si>
    <t>20</t>
  </si>
  <si>
    <t>1 tipo di sushi (roll o nigiri), un piatto caldo, 1 frittura, 1 dolce</t>
  </si>
  <si>
    <t>1 tacos, 2 piatti forti</t>
  </si>
  <si>
    <t>1 ramen + altri due piatti salati</t>
  </si>
  <si>
    <t>un antipasto e due pizze</t>
  </si>
  <si>
    <t>Tonda</t>
  </si>
  <si>
    <t>Via Valle Corteno, 31</t>
  </si>
  <si>
    <t>06/8180960</t>
  </si>
  <si>
    <t>4,5</t>
  </si>
  <si>
    <t>4</t>
  </si>
  <si>
    <t>1 caffè, 1 cappuccino, 1 lievito</t>
  </si>
  <si>
    <t>2 piatti salati e una centrifuga o succo</t>
  </si>
  <si>
    <t>15</t>
  </si>
  <si>
    <t>2 piatti di pasta diversi</t>
  </si>
  <si>
    <t>2 ciotole cuscus diverse e un antipasto</t>
  </si>
  <si>
    <t>1 panino + 1 piatto freddo</t>
  </si>
  <si>
    <t>12</t>
  </si>
  <si>
    <t>due panini diversi e un fritto</t>
  </si>
  <si>
    <t>7</t>
  </si>
  <si>
    <t>tè + fetta di torta o dolce monoporzione</t>
  </si>
  <si>
    <t>17</t>
  </si>
  <si>
    <t>tea menù</t>
  </si>
  <si>
    <t>1 calice di vino + 2 piatti</t>
  </si>
  <si>
    <t>1 burger + 1 un'alra preparazione salata</t>
  </si>
  <si>
    <t>2 cocktail diversi</t>
  </si>
  <si>
    <t>10</t>
  </si>
  <si>
    <t>1 panino + 1 tagliere</t>
  </si>
  <si>
    <t>1 cono o 1 coppetta con tre gusti+panna</t>
  </si>
  <si>
    <t>2 tranci di pizza piccoli (obbligatorio la margherita) + 1 fritto caratteristico</t>
  </si>
  <si>
    <t>9</t>
  </si>
  <si>
    <t>2 pinse diverse</t>
  </si>
  <si>
    <t>3 mini panini diversi</t>
  </si>
  <si>
    <t>Buccia</t>
  </si>
  <si>
    <t>Sabaudia</t>
  </si>
  <si>
    <t>366/4990849</t>
  </si>
  <si>
    <t>Osteria del Tempo Perso</t>
  </si>
  <si>
    <t>Piazza San Rocco, 13</t>
  </si>
  <si>
    <t>Casalvieri</t>
  </si>
  <si>
    <t>0776/638039</t>
  </si>
  <si>
    <t>Osteria Santa Lucia</t>
  </si>
  <si>
    <t>Corso della Repubblica, 26</t>
  </si>
  <si>
    <t>Frosinone</t>
  </si>
  <si>
    <t>0775/211863</t>
  </si>
  <si>
    <t>Santuccio ai Colli</t>
  </si>
  <si>
    <t>Via Santi Sebastiano e Rocco, 95</t>
  </si>
  <si>
    <t>Sezze</t>
  </si>
  <si>
    <t>0773/888573</t>
  </si>
  <si>
    <t>Da Antonio</t>
  </si>
  <si>
    <t>Via Mario Lizzani, 21</t>
  </si>
  <si>
    <t>Torre Spaccata</t>
  </si>
  <si>
    <t>391/7475549</t>
  </si>
  <si>
    <t>Pupillo Pura Pizza</t>
  </si>
  <si>
    <t>Via Giacomo Matteotti, 29</t>
  </si>
  <si>
    <t>Priverno</t>
  </si>
  <si>
    <t>339/4143148</t>
  </si>
  <si>
    <t>Viale Giuseppe Mazzini, 220</t>
  </si>
  <si>
    <t>331/9610793</t>
  </si>
  <si>
    <t>Madeleine</t>
  </si>
  <si>
    <t>Via Monte Santo, 64</t>
  </si>
  <si>
    <t>06/3728537</t>
  </si>
  <si>
    <t>19.2 Winebar Enoteca</t>
  </si>
  <si>
    <t>winebar / caffetteria</t>
  </si>
  <si>
    <t>Largo Benito Jacovitti, 16</t>
  </si>
  <si>
    <t>Torrino</t>
  </si>
  <si>
    <t>347/4387426</t>
  </si>
  <si>
    <t>1 tagliere + 1 sfizio</t>
  </si>
  <si>
    <t>06/52831571</t>
  </si>
  <si>
    <t>Nettuno</t>
  </si>
  <si>
    <t>enoteca con cucina</t>
  </si>
  <si>
    <t>Via Pontina Km 74,000</t>
  </si>
  <si>
    <t>1 primo, 1 secondo+ 1 antipasto o 1 dolce</t>
  </si>
  <si>
    <t>Enoteca La Mescita</t>
  </si>
  <si>
    <t>333/3015847</t>
  </si>
  <si>
    <t>Via Luigi Fincati, 44</t>
  </si>
  <si>
    <t>Gelateria I Gemelli</t>
  </si>
  <si>
    <t>Via Fonte Buono, 114</t>
  </si>
  <si>
    <t>349/8360994</t>
  </si>
  <si>
    <t>0773/241940</t>
  </si>
  <si>
    <t>Via Antonio Pacinotti, 83</t>
  </si>
  <si>
    <t>Via Nino Bixio, 1</t>
  </si>
  <si>
    <t>06/630640</t>
  </si>
  <si>
    <t>street food cinese</t>
  </si>
  <si>
    <t>Via Bergamo, 15</t>
  </si>
  <si>
    <t>Drogherie del Mare</t>
  </si>
  <si>
    <t>388/8348616</t>
  </si>
  <si>
    <t>Via Giusti, 18</t>
  </si>
  <si>
    <t>Aventina</t>
  </si>
  <si>
    <t>06/66594151</t>
  </si>
  <si>
    <t>Viale della Piramide Cestia, 9</t>
  </si>
  <si>
    <t>Charlotte</t>
  </si>
  <si>
    <t>Via Vercelli, 12/14</t>
  </si>
  <si>
    <t>06/25399727</t>
  </si>
  <si>
    <t>Magazzino Scipioni</t>
  </si>
  <si>
    <t>06/39745233</t>
  </si>
  <si>
    <t>Bosco - Officine del Tartufo</t>
  </si>
  <si>
    <t>Mogano</t>
  </si>
  <si>
    <t>Formello</t>
  </si>
  <si>
    <t>Via del Praticello Alto, 5</t>
  </si>
  <si>
    <t>327/2312156</t>
  </si>
  <si>
    <t>Spiazzo</t>
  </si>
  <si>
    <t>Ponte di Ferro</t>
  </si>
  <si>
    <t>Via Giovan Battista Marzi, 1</t>
  </si>
  <si>
    <t>Tarquinia</t>
  </si>
  <si>
    <t>0766/731637</t>
  </si>
  <si>
    <t>Via Filippo Nicolai, 44</t>
  </si>
  <si>
    <t>Caprarola</t>
  </si>
  <si>
    <t>0761/646173</t>
  </si>
  <si>
    <t>Forma</t>
  </si>
  <si>
    <t>Via Trieste, 9</t>
  </si>
  <si>
    <t>Civitavecchia</t>
  </si>
  <si>
    <t>0766/672647</t>
  </si>
  <si>
    <t>Rimessa Roscioli</t>
  </si>
  <si>
    <t>06/68803914</t>
  </si>
  <si>
    <t>Il Casaletto</t>
  </si>
  <si>
    <t>Strada Grottana, 9</t>
  </si>
  <si>
    <t>Grotte Santo Stefano</t>
  </si>
  <si>
    <t>0761/367077</t>
  </si>
  <si>
    <t>Contrasto</t>
  </si>
  <si>
    <t>0761/973117</t>
  </si>
  <si>
    <t>Spaccio Grosso</t>
  </si>
  <si>
    <t>Via Ancona, 40</t>
  </si>
  <si>
    <t>06/9419004</t>
  </si>
  <si>
    <t>Ristorante Belvedere dal 1933</t>
  </si>
  <si>
    <t>Via Regina Margherita, 29</t>
  </si>
  <si>
    <t>Dazio Roma</t>
  </si>
  <si>
    <t>Via Nomentana, 1206</t>
  </si>
  <si>
    <t>06/83525515</t>
  </si>
  <si>
    <t>tapas bar</t>
  </si>
  <si>
    <t>53 Untitled</t>
  </si>
  <si>
    <t>375/7150155</t>
  </si>
  <si>
    <t>Pastorie</t>
  </si>
  <si>
    <t>Via Pesaro, 40</t>
  </si>
  <si>
    <t>393/9558235</t>
  </si>
  <si>
    <t>Vinificio</t>
  </si>
  <si>
    <t>Dogma</t>
  </si>
  <si>
    <t>06/86679819</t>
  </si>
  <si>
    <t>Piazza Zama, 34</t>
  </si>
  <si>
    <t>Velo Pasticceria</t>
  </si>
  <si>
    <t>06/45427861</t>
  </si>
  <si>
    <t>Via del Corso, 63</t>
  </si>
  <si>
    <t>Via Faleria, 12</t>
  </si>
  <si>
    <t>06/97278919</t>
  </si>
  <si>
    <t>I Quintili</t>
  </si>
  <si>
    <t>Via Eurialo, 7/C</t>
  </si>
  <si>
    <t>06/80077157</t>
  </si>
  <si>
    <t>06/2016003</t>
  </si>
  <si>
    <t>Caffè Doria</t>
  </si>
  <si>
    <t>06/6793805</t>
  </si>
  <si>
    <t>Il Maritozzo Rosso</t>
  </si>
  <si>
    <t>06/5817363</t>
  </si>
  <si>
    <t>Via Pietro Cavallini, 25</t>
  </si>
  <si>
    <t>06/90543525</t>
  </si>
  <si>
    <t>Pulejo</t>
  </si>
  <si>
    <t>Via dei Gracchi, 31</t>
  </si>
  <si>
    <t>06/85956532</t>
  </si>
  <si>
    <t>Baccio e i Gradini</t>
  </si>
  <si>
    <t>Viale della Piramide Cestia, 25</t>
  </si>
  <si>
    <t>351/8823737</t>
  </si>
  <si>
    <t>Tulipane</t>
  </si>
  <si>
    <t>Via del Pavone, 28</t>
  </si>
  <si>
    <t>06/01903840</t>
  </si>
  <si>
    <t>Piazza della Cancelleria, 80</t>
  </si>
  <si>
    <t>06/6897080</t>
  </si>
  <si>
    <t>Molo 21</t>
  </si>
  <si>
    <t>Lungomare Guglielmo Marconi, 21</t>
  </si>
  <si>
    <t>Santa Marinella</t>
  </si>
  <si>
    <t>L'Elementare</t>
  </si>
  <si>
    <t>Via Benedetta, 23</t>
  </si>
  <si>
    <t>06/5894016</t>
  </si>
  <si>
    <t>Michele Chinappi</t>
  </si>
  <si>
    <t>pesce / pizzeria</t>
  </si>
  <si>
    <t>Via Abate Tosti, 101</t>
  </si>
  <si>
    <t>0771/279917</t>
  </si>
  <si>
    <t>Via Guido de Ruggiero, 64</t>
  </si>
  <si>
    <t>06/95938970</t>
  </si>
  <si>
    <t>oWine</t>
  </si>
  <si>
    <t>Contatto</t>
  </si>
  <si>
    <t>Via Gioberti, 11</t>
  </si>
  <si>
    <t>06/21700957</t>
  </si>
  <si>
    <t>0773/703921</t>
  </si>
  <si>
    <t>Santo Bevitore</t>
  </si>
  <si>
    <t>Via Guglielmo Marconi, 8</t>
  </si>
  <si>
    <t>Cassino</t>
  </si>
  <si>
    <t>Il Vecchio Mulino</t>
  </si>
  <si>
    <t>territoriale</t>
  </si>
  <si>
    <t>Lubriano</t>
  </si>
  <si>
    <t>0761/780505</t>
  </si>
  <si>
    <t>0774/282499</t>
  </si>
  <si>
    <t>NU' Trattoria Italiana dal 1960</t>
  </si>
  <si>
    <t>tipica</t>
  </si>
  <si>
    <t>Acuto</t>
  </si>
  <si>
    <t>0775/56372</t>
  </si>
  <si>
    <t>L'Osteria dell'Orologio</t>
  </si>
  <si>
    <t>Umami - trattoria giapponese</t>
  </si>
  <si>
    <t>Clementina</t>
  </si>
  <si>
    <t>Via della Torre Clementina, 158</t>
  </si>
  <si>
    <t>328/8181651</t>
  </si>
  <si>
    <t>Extremis</t>
  </si>
  <si>
    <t>Via del Casale Rocchi, 20/22</t>
  </si>
  <si>
    <t>06/87809051</t>
  </si>
  <si>
    <t>Osteria di Maccarese</t>
  </si>
  <si>
    <t>06/30328324</t>
  </si>
  <si>
    <t>Maccarese</t>
  </si>
  <si>
    <t>ricercata / principalmente pesce</t>
  </si>
  <si>
    <t>street food al tartufo</t>
  </si>
  <si>
    <t>panini di mare</t>
  </si>
  <si>
    <t>enoteca naturale</t>
  </si>
  <si>
    <t>hamburgheria / ristorante di carne</t>
  </si>
  <si>
    <t>cocktail bar / bistrot</t>
  </si>
  <si>
    <t>caffetteria / sala da tè</t>
  </si>
  <si>
    <t>abruzzese</t>
  </si>
  <si>
    <t>Dopo Lavoro Ricreativo</t>
  </si>
  <si>
    <t>Er Macellaio</t>
  </si>
  <si>
    <t>Forno Conti &amp; Co.</t>
  </si>
  <si>
    <t>Jiamo Lab</t>
  </si>
  <si>
    <t>LATTA - Fermenti e miscele</t>
  </si>
  <si>
    <t>Li Somari</t>
  </si>
  <si>
    <t>Mamma Orso</t>
  </si>
  <si>
    <t>Piano C - Circolo del vino</t>
  </si>
  <si>
    <t>Vineria Cesare dal 1963</t>
  </si>
  <si>
    <t>Via del Monte della Farina, 53</t>
  </si>
  <si>
    <t>Via Macerata, 8/C</t>
  </si>
  <si>
    <t>Galleria Doria Pamphilj, Via della Gatta, 1</t>
  </si>
  <si>
    <t>Via Cardinal Pietro La Fontaine, 21</t>
  </si>
  <si>
    <t>GRA</t>
  </si>
  <si>
    <t>Viale Aurelio Galleppini, 60/66</t>
  </si>
  <si>
    <t>Via Francesco Cangiullo, 16</t>
  </si>
  <si>
    <t>Contrada Taverna</t>
  </si>
  <si>
    <t>Via degli Scipioni, 30-30/A</t>
  </si>
  <si>
    <t>Via Arezzo, 17</t>
  </si>
  <si>
    <t>Via Prenestina, 27</t>
  </si>
  <si>
    <t>Via D’Ascanio, 26/A</t>
  </si>
  <si>
    <t>Via del Conservatorio, 58</t>
  </si>
  <si>
    <t>Porta Pia</t>
  </si>
  <si>
    <t>Via Mario Menghini, 99</t>
  </si>
  <si>
    <t>Parco della Caffarella</t>
  </si>
  <si>
    <t>Via San Francesco Nuovo, 1</t>
  </si>
  <si>
    <t>Piazza dell’Emporio, 1</t>
  </si>
  <si>
    <t>06/84382178</t>
  </si>
  <si>
    <t>06/88939709</t>
  </si>
  <si>
    <t>06/2757595</t>
  </si>
  <si>
    <t>06/99448583</t>
  </si>
  <si>
    <t>06/88923791</t>
  </si>
  <si>
    <t>06/97277922</t>
  </si>
  <si>
    <t>0766/1894210</t>
  </si>
  <si>
    <t>347/6632731</t>
  </si>
  <si>
    <t>329/2911575</t>
  </si>
  <si>
    <t>331/4428878</t>
  </si>
  <si>
    <t>065562738</t>
  </si>
  <si>
    <t>06/89138094</t>
  </si>
  <si>
    <t>5</t>
  </si>
  <si>
    <t>3,5</t>
  </si>
  <si>
    <t>7+</t>
  </si>
  <si>
    <t>8-</t>
  </si>
  <si>
    <t>7-</t>
  </si>
  <si>
    <t>2,5</t>
  </si>
  <si>
    <t>8½</t>
  </si>
  <si>
    <t>3</t>
  </si>
  <si>
    <t>8</t>
  </si>
  <si>
    <t>6½</t>
  </si>
  <si>
    <t>8+</t>
  </si>
  <si>
    <t>9½</t>
  </si>
  <si>
    <t>9-</t>
  </si>
  <si>
    <t>9+</t>
  </si>
  <si>
    <t>2 cremolati diversi + panna</t>
  </si>
  <si>
    <t>due piatti salati + 1 dolce</t>
  </si>
  <si>
    <t>antipasto, primo, secondo, dolce</t>
  </si>
  <si>
    <t>antipasto, primo, secondo e dolce</t>
  </si>
  <si>
    <t>uno dei due menù degustazione</t>
  </si>
  <si>
    <t>due pizze diverse + 1 fritto</t>
  </si>
  <si>
    <t>Via Nomentana, 335/F</t>
  </si>
  <si>
    <t>Namo Ristobottega</t>
  </si>
  <si>
    <t>Via Firenze, 30</t>
  </si>
  <si>
    <t>06/87759632</t>
  </si>
  <si>
    <t>Mifang</t>
  </si>
  <si>
    <t>Scottadito</t>
  </si>
  <si>
    <t>Via Veglia, 14</t>
  </si>
  <si>
    <t>06/97162153</t>
  </si>
  <si>
    <t>06/52372056</t>
  </si>
  <si>
    <t>Al Setaccio</t>
  </si>
  <si>
    <t>Via di Mezzocammino, 193</t>
  </si>
  <si>
    <t>Tor de Cenci</t>
  </si>
  <si>
    <t>Via Francesco D'Ovidio, 27</t>
  </si>
  <si>
    <t>06/87609540</t>
  </si>
  <si>
    <t>Montelanico</t>
  </si>
  <si>
    <t>353/4196130</t>
  </si>
  <si>
    <t>Trattoria della Fortuna</t>
  </si>
  <si>
    <t>06/9004098</t>
  </si>
  <si>
    <t>Monterotondo</t>
  </si>
  <si>
    <t>Via Salaria, 57</t>
  </si>
  <si>
    <t>Iodio</t>
  </si>
  <si>
    <t>06/89619556</t>
  </si>
  <si>
    <t>La Barrique</t>
  </si>
  <si>
    <t>06/47825953</t>
  </si>
  <si>
    <t>Piazza di Sant'Eustachio, 47</t>
  </si>
  <si>
    <t>Via dei Pettinari, 43</t>
  </si>
  <si>
    <t>La Locanda della Chiocciola</t>
  </si>
  <si>
    <t>Orte</t>
  </si>
  <si>
    <t>Piazza delle Coppelle, 8</t>
  </si>
  <si>
    <t>06/89024862</t>
  </si>
  <si>
    <t>Via degli Stradivari, 1</t>
  </si>
  <si>
    <t>06/5017873</t>
  </si>
  <si>
    <t>Via Fratelli Bonnet, 5</t>
  </si>
  <si>
    <t>349/6134850</t>
  </si>
  <si>
    <t>Lievito Francesco Arnesano</t>
  </si>
  <si>
    <t>Via Simone Martini, 6/8</t>
  </si>
  <si>
    <t>Ai Due Otri</t>
  </si>
  <si>
    <t>Via Antonio de Viti de Marco, 36/38</t>
  </si>
  <si>
    <t>Corso Francia</t>
  </si>
  <si>
    <t>06/3292209</t>
  </si>
  <si>
    <t>Kohaku</t>
  </si>
  <si>
    <t>Via Marche, 66</t>
  </si>
  <si>
    <t>06/45665202</t>
  </si>
  <si>
    <t>Arte Bianca di Gabriele</t>
  </si>
  <si>
    <t>06/2757763</t>
  </si>
  <si>
    <t>Garibaldi dal 1970</t>
  </si>
  <si>
    <t>Via Tiberina, 62</t>
  </si>
  <si>
    <t>Prima Porta</t>
  </si>
  <si>
    <t>06/33611962</t>
  </si>
  <si>
    <t>Fior di Luna</t>
  </si>
  <si>
    <t>Via della Lungaretta, 96</t>
  </si>
  <si>
    <t>06/64561314</t>
  </si>
  <si>
    <t>Proloco Trastevere</t>
  </si>
  <si>
    <t>Via Goffredo Mameli, 23</t>
  </si>
  <si>
    <t>06/45596137</t>
  </si>
  <si>
    <t>Locanda Altobelli</t>
  </si>
  <si>
    <t>346/8256622</t>
  </si>
  <si>
    <t>Via Annunziata, 121</t>
  </si>
  <si>
    <t>Dieci</t>
  </si>
  <si>
    <t>Nepi</t>
  </si>
  <si>
    <t>Via Vittorio Veneto, 112</t>
  </si>
  <si>
    <t>06/87756896</t>
  </si>
  <si>
    <t>Via dei Banchi Vecchi, 140</t>
  </si>
  <si>
    <t>06/69276422</t>
  </si>
  <si>
    <t>Ludovisi</t>
  </si>
  <si>
    <t>Via della Croce, 46/47</t>
  </si>
  <si>
    <t>Avanvera</t>
  </si>
  <si>
    <t>Via Luigi Tosti, 33</t>
  </si>
  <si>
    <t>06/45596021</t>
  </si>
  <si>
    <t>Piazza della Quercia, 23</t>
  </si>
  <si>
    <t>06/68300932</t>
  </si>
  <si>
    <t>Caffè Fleming</t>
  </si>
  <si>
    <t>06/3333960</t>
  </si>
  <si>
    <t>Via della Giuliana, 33</t>
  </si>
  <si>
    <t>06/98874558</t>
  </si>
  <si>
    <t>panificio / pizzeria al taglio</t>
  </si>
  <si>
    <t>Ristorante Moi</t>
  </si>
  <si>
    <t>Via Antonio Serra, 15</t>
  </si>
  <si>
    <t>06/87600399</t>
  </si>
  <si>
    <t>Viale dei Quattro Venti, 70</t>
  </si>
  <si>
    <t>Orma</t>
  </si>
  <si>
    <t>06/8543182</t>
  </si>
  <si>
    <t>Federico Prodon Pâtisserie</t>
  </si>
  <si>
    <t>Il Marchese</t>
  </si>
  <si>
    <t>Via di Ripetta, 162</t>
  </si>
  <si>
    <t>Ara Pacis</t>
  </si>
  <si>
    <t>06/90218872</t>
  </si>
  <si>
    <t>Tinello Bistrot</t>
  </si>
  <si>
    <t>Castel Gandolfo</t>
  </si>
  <si>
    <t>Via dei Dalmati, 3</t>
  </si>
  <si>
    <t>06/65498083</t>
  </si>
  <si>
    <t>Criollo - Il Bistrot Del Gelato</t>
  </si>
  <si>
    <t>Via Giuseppe Bagnera, 59</t>
  </si>
  <si>
    <t>Viale Marconi</t>
  </si>
  <si>
    <t>328/2511673</t>
  </si>
  <si>
    <t>Piazza di Santa Maria Ausiliatrice, 17/18</t>
  </si>
  <si>
    <t>327/9470778</t>
  </si>
  <si>
    <t>Via Licinio Stolone, 92</t>
  </si>
  <si>
    <t>327/4128238</t>
  </si>
  <si>
    <t>Antico Forno Roscioli</t>
  </si>
  <si>
    <t>Via dei Chiavari, 34</t>
  </si>
  <si>
    <t>06/6864045</t>
  </si>
  <si>
    <t>Capannelle</t>
  </si>
  <si>
    <t>Casa Manfredi Teatro</t>
  </si>
  <si>
    <t>Panificio Marè Prati</t>
  </si>
  <si>
    <t>Viale Angelico, 88</t>
  </si>
  <si>
    <t>06/37511594</t>
  </si>
  <si>
    <t>La Quercia</t>
  </si>
  <si>
    <t>Forno Ottavi 1921</t>
  </si>
  <si>
    <t>Grani, farine e caffè</t>
  </si>
  <si>
    <t>Günther Gelato</t>
  </si>
  <si>
    <t>Lento - Vineria con Cucina</t>
  </si>
  <si>
    <t>Pork’n’Roll</t>
  </si>
  <si>
    <t>Crunch!</t>
  </si>
  <si>
    <t>Mama-ya Ramen</t>
  </si>
  <si>
    <t>couscouseria siciliana</t>
  </si>
  <si>
    <t>tradizionale / pizzeria</t>
  </si>
  <si>
    <t>Largo Sangemini, 7/B-C</t>
  </si>
  <si>
    <t>Via dei Conciatori, 5/A</t>
  </si>
  <si>
    <t>Via Tortolini, 3/A</t>
  </si>
  <si>
    <t>Via Monte Cadria, 125</t>
  </si>
  <si>
    <t>Via G. Marconi, 25/A</t>
  </si>
  <si>
    <t>Via Tor de' Schiavi, 55/d</t>
  </si>
  <si>
    <t>Via del Boschetto, 41</t>
  </si>
  <si>
    <t>Via Boncompagni, 31/33</t>
  </si>
  <si>
    <t>Via dei Pastori, 26-A/28</t>
  </si>
  <si>
    <t>Via Vigna di Corte, 6</t>
  </si>
  <si>
    <t>Camilluccia</t>
  </si>
  <si>
    <t>Lungotevere dei Vallati</t>
  </si>
  <si>
    <t>Serafico</t>
  </si>
  <si>
    <t>Viale XXI Aprile</t>
  </si>
  <si>
    <t>Ponte Testaccio</t>
  </si>
  <si>
    <t>Via Boncompagni</t>
  </si>
  <si>
    <t>Piazza Farnese</t>
  </si>
  <si>
    <t>Repubblica</t>
  </si>
  <si>
    <t>06/68808292</t>
  </si>
  <si>
    <t>06/68395030</t>
  </si>
  <si>
    <t>06/69346839</t>
  </si>
  <si>
    <t>389/1798451</t>
  </si>
  <si>
    <t>06/83082083</t>
  </si>
  <si>
    <t>06/39728547</t>
  </si>
  <si>
    <t>0761/770885</t>
  </si>
  <si>
    <t>06/5522778</t>
  </si>
  <si>
    <t>06/9459338</t>
  </si>
  <si>
    <t>06/9322791</t>
  </si>
  <si>
    <t>0761/402734</t>
  </si>
  <si>
    <t>06/35452285</t>
  </si>
  <si>
    <t>06/5744958</t>
  </si>
  <si>
    <t xml:space="preserve">1 antipasto, 1 primo, 1 secondo, 1 dolce </t>
  </si>
  <si>
    <t>un antipasto e due pizze diverse</t>
  </si>
  <si>
    <t>Via Piave, 8</t>
  </si>
  <si>
    <t>376/2067672</t>
  </si>
  <si>
    <t>Le Levain Café</t>
  </si>
  <si>
    <t>0746/249202</t>
  </si>
  <si>
    <t>Contigliano</t>
  </si>
  <si>
    <t>Via Umberto I, 2</t>
  </si>
  <si>
    <t>La Palazzina</t>
  </si>
  <si>
    <t>351/7164206</t>
  </si>
  <si>
    <t>San Cesareo</t>
  </si>
  <si>
    <t>Love</t>
  </si>
  <si>
    <t>06/96525119</t>
  </si>
  <si>
    <t>OGGI - Officina Gelato Gusto Italiano</t>
  </si>
  <si>
    <t>Via Tacito, 66</t>
  </si>
  <si>
    <t>06/53099944</t>
  </si>
  <si>
    <t>Nite Kong</t>
  </si>
  <si>
    <t>366/8171293</t>
  </si>
  <si>
    <t>Portale 21 - Opificio di cucina</t>
  </si>
  <si>
    <t>Marino</t>
  </si>
  <si>
    <t>06/94837668</t>
  </si>
  <si>
    <t>Via Rodolfo Morandi, 32</t>
  </si>
  <si>
    <t>Metà - sorsi e assaggi</t>
  </si>
  <si>
    <t>Viale Gottardo, 18/20</t>
  </si>
  <si>
    <t>45+20</t>
  </si>
  <si>
    <t>0774/282912</t>
  </si>
  <si>
    <t>Viale Aventino, 46</t>
  </si>
  <si>
    <t>Santa Romana</t>
  </si>
  <si>
    <t>Piazza Certaldo, 12</t>
  </si>
  <si>
    <t>06/69317674</t>
  </si>
  <si>
    <t>Magliana</t>
  </si>
  <si>
    <t>Via Reggio Emilia, 24</t>
  </si>
  <si>
    <t>06/88936084</t>
  </si>
  <si>
    <t>06/2590699</t>
  </si>
  <si>
    <t>Via del Gazometro, 5/A</t>
  </si>
  <si>
    <t>06/45479738</t>
  </si>
  <si>
    <t>Don Choc</t>
  </si>
  <si>
    <t>gelateria / cioccolateria</t>
  </si>
  <si>
    <t>06/33221585</t>
  </si>
  <si>
    <t>06/64760483</t>
  </si>
  <si>
    <t>Via del Pellegrino, 87</t>
  </si>
  <si>
    <t>Piazza Rivarola, 21</t>
  </si>
  <si>
    <t>266 La Barraca</t>
  </si>
  <si>
    <t>Lungomare delle Meduse, 266</t>
  </si>
  <si>
    <t>06/85386554</t>
  </si>
  <si>
    <t>06/24597135</t>
  </si>
  <si>
    <t>Song</t>
  </si>
  <si>
    <t>06/3215804</t>
  </si>
  <si>
    <t>Via Valadier, 14</t>
  </si>
  <si>
    <t>Lido di Ostia</t>
  </si>
  <si>
    <t>Piazza Barberini</t>
  </si>
  <si>
    <t>320/9563284</t>
  </si>
  <si>
    <t>06/3231436</t>
  </si>
  <si>
    <t>street food</t>
  </si>
  <si>
    <t>Osteria La Massaia</t>
  </si>
  <si>
    <t>06/52205140</t>
  </si>
  <si>
    <t>Via della Seta, 1</t>
  </si>
  <si>
    <t>Hotel Vilòn</t>
  </si>
  <si>
    <t>Via dell'Arancio, 68/69</t>
  </si>
  <si>
    <t>06/878187</t>
  </si>
  <si>
    <t>Hotel De' Ricci</t>
  </si>
  <si>
    <t>Via della Barchetta, 14</t>
  </si>
  <si>
    <t>06/6874775</t>
  </si>
  <si>
    <t>Da Tullio</t>
  </si>
  <si>
    <t>Via della Balduina, 211</t>
  </si>
  <si>
    <t>06/35347252</t>
  </si>
  <si>
    <t>Conca d'Oro</t>
  </si>
  <si>
    <t>Bar Sota</t>
  </si>
  <si>
    <t>hamburgheria / caffetteria</t>
  </si>
  <si>
    <t>06/69221898</t>
  </si>
  <si>
    <t>Gelato Romano</t>
  </si>
  <si>
    <t>Casaloca</t>
  </si>
  <si>
    <t>Corso di Francia, 207</t>
  </si>
  <si>
    <t>06/40069361</t>
  </si>
  <si>
    <t>spagnola</t>
  </si>
  <si>
    <t>La Perla</t>
  </si>
  <si>
    <t>Via Collebianco, 11</t>
  </si>
  <si>
    <t>339/8876306</t>
  </si>
  <si>
    <t>Arpino</t>
  </si>
  <si>
    <t>Porta Maggiore</t>
  </si>
  <si>
    <t>06/69350147</t>
  </si>
  <si>
    <t>Oolong</t>
  </si>
  <si>
    <t>06/21707385</t>
  </si>
  <si>
    <t>Nena Mercato&amp;Cucina</t>
  </si>
  <si>
    <t>Via dei Sabelli, 193</t>
  </si>
  <si>
    <t>06/83434951</t>
  </si>
  <si>
    <t>La Tana dei Carbonari</t>
  </si>
  <si>
    <t>Via XX Settembre, 35</t>
  </si>
  <si>
    <t>Roccagorga</t>
  </si>
  <si>
    <t>351/7434838</t>
  </si>
  <si>
    <t>Becco</t>
  </si>
  <si>
    <t>Piazzale degli Eroi, 7</t>
  </si>
  <si>
    <t>Contrada Rapello</t>
  </si>
  <si>
    <t>0774/034382</t>
  </si>
  <si>
    <t>Popina Trattoria</t>
  </si>
  <si>
    <t>06/72499997</t>
  </si>
  <si>
    <t>Via Giovanni Verga, 42</t>
  </si>
  <si>
    <t>Trattoria A Casa Di Rita</t>
  </si>
  <si>
    <t>Via delle Ciliegie, 145</t>
  </si>
  <si>
    <t>Alessandrino</t>
  </si>
  <si>
    <t>338/9860960</t>
  </si>
  <si>
    <t>Il Maratoneta</t>
  </si>
  <si>
    <t>Via dei Volsci, 99</t>
  </si>
  <si>
    <t>Viale Europa, 15</t>
  </si>
  <si>
    <t>Via Santa Margherita, 1</t>
  </si>
  <si>
    <t>Cori</t>
  </si>
  <si>
    <t>06/9678949</t>
  </si>
  <si>
    <t>wine bar / bistrot</t>
  </si>
  <si>
    <t>Sottobanco</t>
  </si>
  <si>
    <t>Via Paolo Frisi, 1</t>
  </si>
  <si>
    <t>06/85857447</t>
  </si>
  <si>
    <t>Frumentario</t>
  </si>
  <si>
    <t>Via Tuscolana, 26</t>
  </si>
  <si>
    <t>324/0578982</t>
  </si>
  <si>
    <t>Mi Cucina Cinese Contemporanea</t>
  </si>
  <si>
    <t>Via Giovanni Botero, 31/33</t>
  </si>
  <si>
    <t>06/89346223</t>
  </si>
  <si>
    <t>Colli Albani</t>
  </si>
  <si>
    <t>InFucina</t>
  </si>
  <si>
    <t>Via dei Salentini, 6/12</t>
  </si>
  <si>
    <t>06/88791819</t>
  </si>
  <si>
    <t>Via Enrico Fermi, 102/104</t>
  </si>
  <si>
    <t>Marconi</t>
  </si>
  <si>
    <t>06/55296621</t>
  </si>
  <si>
    <t>06/45683049</t>
  </si>
  <si>
    <t>Stefano Ferrara - Gelateria</t>
  </si>
  <si>
    <t>Via Francesco Cilea, 244/246</t>
  </si>
  <si>
    <t>06/5578634</t>
  </si>
  <si>
    <t>Stefano Ferrara - Formaessenza</t>
  </si>
  <si>
    <t>Maksymovych</t>
  </si>
  <si>
    <t>06/5576474</t>
  </si>
  <si>
    <t>tradizionale con spunti creativi / pizzeria</t>
  </si>
  <si>
    <t>Via della Portella, 31</t>
  </si>
  <si>
    <t>Sancho</t>
  </si>
  <si>
    <t>06/6580690</t>
  </si>
  <si>
    <t>Via Giuseppe Gioachino Belli, 3/A</t>
  </si>
  <si>
    <t>Viale Trastevere, 255</t>
  </si>
  <si>
    <t>Via Pietro Blaserna, 11</t>
  </si>
  <si>
    <t>Giuffrè forno &amp; gelato</t>
  </si>
  <si>
    <t>06/77205274</t>
  </si>
  <si>
    <t>06/5899616</t>
  </si>
  <si>
    <t>Locanda Nocera</t>
  </si>
  <si>
    <t>Via Viggiano, 155</t>
  </si>
  <si>
    <t>351/7590202</t>
  </si>
  <si>
    <t>Tor Carbone</t>
  </si>
  <si>
    <t>Zero Miglia</t>
  </si>
  <si>
    <t>06/9803030</t>
  </si>
  <si>
    <t>Miao Miao</t>
  </si>
  <si>
    <t>Gallo Ristorante di Pesce</t>
  </si>
  <si>
    <t>Krapfen Paglia</t>
  </si>
  <si>
    <t>bar/ pasticceria</t>
  </si>
  <si>
    <t>Piazza Anco Marzio, 18/19</t>
  </si>
  <si>
    <t>06/5623344</t>
  </si>
  <si>
    <t>Via Girolamo Benzoni, 34</t>
  </si>
  <si>
    <t>334/3855945</t>
  </si>
  <si>
    <t>Koû Koû</t>
  </si>
  <si>
    <t>pasticceria / cucina giapponese</t>
  </si>
  <si>
    <t>Via Monte Pertica, 41</t>
  </si>
  <si>
    <t>Casa Matti</t>
  </si>
  <si>
    <t>Via Sabotino, 49/51</t>
  </si>
  <si>
    <t>06/93563371</t>
  </si>
  <si>
    <t>Hiromi La Maison</t>
  </si>
  <si>
    <t>Via Giovanni Schiaparelli, 21</t>
  </si>
  <si>
    <t>06/89325263</t>
  </si>
  <si>
    <t>TAC - Thin And Crunchy</t>
  </si>
  <si>
    <t>Via Fiume delle Perle, 136/138</t>
  </si>
  <si>
    <t>Mostacciano</t>
  </si>
  <si>
    <t>06/45652738</t>
  </si>
  <si>
    <t>Via Flaminia, 64</t>
  </si>
  <si>
    <t>Piazzale Flaminio</t>
  </si>
  <si>
    <t>06/64781692</t>
  </si>
  <si>
    <t>Marzapane Café &amp; Bakery</t>
  </si>
  <si>
    <t>Mazzo</t>
  </si>
  <si>
    <t>Via degli Equi, 62</t>
  </si>
  <si>
    <t>06/69420455</t>
  </si>
  <si>
    <t>Bap</t>
  </si>
  <si>
    <t>Via Raffaele Cadorna, 5</t>
  </si>
  <si>
    <t>06/2428174</t>
  </si>
  <si>
    <t>Piazza dei Caprettari, 56/60</t>
  </si>
  <si>
    <t>Libera</t>
  </si>
  <si>
    <t>Via Luigi Tosti, 54</t>
  </si>
  <si>
    <t>due dolci e una bevanda "lavorata" (tè, caffè)</t>
  </si>
  <si>
    <t>Scima</t>
  </si>
  <si>
    <t>Via Annia Regilla, 110</t>
  </si>
  <si>
    <t>Quarto Miglio</t>
  </si>
  <si>
    <t>339/8743355</t>
  </si>
  <si>
    <t>Via Cassia, 1839</t>
  </si>
  <si>
    <t>La Storta</t>
  </si>
  <si>
    <t>06/94379873</t>
  </si>
  <si>
    <t>Pontisso</t>
  </si>
  <si>
    <t>Via Antonio Cantore, 3</t>
  </si>
  <si>
    <t>06/86214524</t>
  </si>
  <si>
    <t>Mile</t>
  </si>
  <si>
    <t>Via Pesaro, 8</t>
  </si>
  <si>
    <t>327/5878046</t>
  </si>
  <si>
    <t>N'Antro</t>
  </si>
  <si>
    <t>Largo Appio Claudio, 350</t>
  </si>
  <si>
    <t>333/3900984</t>
  </si>
  <si>
    <t>TE Caffè</t>
  </si>
  <si>
    <t>caffetteria specialty / pasticceria</t>
  </si>
  <si>
    <t>Via Sforza Pallavicini, 19/25</t>
  </si>
  <si>
    <t>Castel Sant'Angelo</t>
  </si>
  <si>
    <t>375/7051217</t>
  </si>
  <si>
    <t>Sordoni</t>
  </si>
  <si>
    <t>Friccico Mangia&amp;Bevi</t>
  </si>
  <si>
    <t>La Bottega delle tre Sorelle</t>
  </si>
  <si>
    <t>MIA - pizzeria creativa</t>
  </si>
  <si>
    <t>NUH Osteria Contemporanea</t>
  </si>
  <si>
    <t>Ristorante Delicato</t>
  </si>
  <si>
    <t>Svario-Pizza Bar</t>
  </si>
  <si>
    <t>UMA</t>
  </si>
  <si>
    <t>Barnum Café</t>
  </si>
  <si>
    <t>Cafè Merenda</t>
  </si>
  <si>
    <t>Gelateria daRe</t>
  </si>
  <si>
    <t>Ruver - teglia frazionata</t>
  </si>
  <si>
    <t>San Biagio pizza e bolle</t>
  </si>
  <si>
    <t>cucina tradizionale con spunti creativi</t>
  </si>
  <si>
    <t>tramezzineria</t>
  </si>
  <si>
    <t>forno / caffetteria specialty</t>
  </si>
  <si>
    <t>caffetteria specialty / bakery</t>
  </si>
  <si>
    <t>albergo con sala da tè</t>
  </si>
  <si>
    <t>caffetteria specialty / forno</t>
  </si>
  <si>
    <t>sandwicheria</t>
  </si>
  <si>
    <t>bar / pasticceria / bistrot</t>
  </si>
  <si>
    <t>Contrada Rapello, 13</t>
  </si>
  <si>
    <t>Viale dei Colli Portuensi, 169</t>
  </si>
  <si>
    <t>Via di Santa Croce in Gerusalemme, 29</t>
  </si>
  <si>
    <t>Piazza Alessandria</t>
  </si>
  <si>
    <t>Via Giovanni XXIII, snc</t>
  </si>
  <si>
    <t>Via del Carzolese, 1 ang. Via Casilina</t>
  </si>
  <si>
    <t>Via Collatina, 126/D</t>
  </si>
  <si>
    <t>Via della Missione, 56</t>
  </si>
  <si>
    <t>Via Val Senio, 18</t>
  </si>
  <si>
    <t>Via della Frezza, 55</t>
  </si>
  <si>
    <t>Via Aurelia, 388/B</t>
  </si>
  <si>
    <t>Mezzocammino</t>
  </si>
  <si>
    <t>Campo dei Fiori</t>
  </si>
  <si>
    <t>Casalbertone</t>
  </si>
  <si>
    <t>Vicolo del Cedro, 26</t>
  </si>
  <si>
    <t>Via Tunisi, 51</t>
  </si>
  <si>
    <t>Via della Stelletta, 4/A</t>
  </si>
  <si>
    <t>Via Oslavia, 39</t>
  </si>
  <si>
    <t>Via della Torre Clementina 142/A</t>
  </si>
  <si>
    <t>Via Flaminia, 67</t>
  </si>
  <si>
    <t>Torvaianica</t>
  </si>
  <si>
    <t>06/87807070</t>
  </si>
  <si>
    <t>06/42990845</t>
  </si>
  <si>
    <t>320/6851104</t>
  </si>
  <si>
    <t>06/701 8134</t>
  </si>
  <si>
    <t>351/9711876</t>
  </si>
  <si>
    <t>06/97997519 - 349/3603694</t>
  </si>
  <si>
    <t>06/24406688</t>
  </si>
  <si>
    <t>06/23488536</t>
  </si>
  <si>
    <t>380/6914759</t>
  </si>
  <si>
    <t>327/0737999</t>
  </si>
  <si>
    <t>06/86299316</t>
  </si>
  <si>
    <t>pl.</t>
  </si>
  <si>
    <t>m.</t>
  </si>
  <si>
    <t>c.</t>
  </si>
  <si>
    <t>Perc.</t>
  </si>
  <si>
    <t>Piatti da provare</t>
  </si>
  <si>
    <t>menù il "vostro All'Oro"</t>
  </si>
  <si>
    <t>menù degustazione 5 portate</t>
  </si>
  <si>
    <t>menù Idylio Butterfly</t>
  </si>
  <si>
    <t>menù degustazione</t>
  </si>
  <si>
    <t>menù "primi passi"</t>
  </si>
  <si>
    <t>menù "piccolo"</t>
  </si>
  <si>
    <t>menù degustazione 6 portate</t>
  </si>
  <si>
    <t>3 piatti salati e 1 dolce</t>
  </si>
  <si>
    <t>menù 5 portate</t>
  </si>
  <si>
    <t>menù "bar a vin"</t>
  </si>
  <si>
    <t>55+20</t>
  </si>
  <si>
    <t>menù degustazione "La Perla"</t>
  </si>
  <si>
    <t>menù degustazione 6 piatti</t>
  </si>
  <si>
    <t>degustazione da 5 portate</t>
  </si>
  <si>
    <t>antipasto (no taglieri), primo, secondo a base di carne, dolci</t>
  </si>
  <si>
    <t>antipasto,primo,secondo e dolce</t>
  </si>
  <si>
    <t>1 antipasto, 1 primo, 1 secondo, 1 dolce (no semplici verdure)</t>
  </si>
  <si>
    <t>antipasto, primo,secondo e dolce</t>
  </si>
  <si>
    <t>1 antipasto (no taglieri e bruschette, verificare se quello della casa contiene cose cucinate, in caso prenderlo, altrimenti sostituirlo con un altro primo), 1 primo, 1 secondo e 1 dolce</t>
  </si>
  <si>
    <t>antipasto (no salumi e sott'oli, primo, secondo e dolce</t>
  </si>
  <si>
    <t>antipasto, primo,secondo, dolce</t>
  </si>
  <si>
    <t>antipasto,primo, secondo e dolce</t>
  </si>
  <si>
    <t>antipasto, primo, secondo,dolce</t>
  </si>
  <si>
    <t>da provare a cena: antipasto, primo, secondo e dolce</t>
  </si>
  <si>
    <t>menù percorso romano</t>
  </si>
  <si>
    <t>antipasto, riso o noodles, secondo di carne o pesce, dolce</t>
  </si>
  <si>
    <t>1 raviolo (no verdure), 1 dim sum, 1 piatto di riso (no semplice), 1 secondo (carne o verdure ma non piatti semplici)</t>
  </si>
  <si>
    <t>menù dim sum</t>
  </si>
  <si>
    <t>1 ramen, 1 piatto tra gyoza, bun o agemono, 1 tipo di huramaki</t>
  </si>
  <si>
    <t>1 fritto, 1 pizza classica, 1 gourmet, 1 dolce</t>
  </si>
  <si>
    <t>due pizze diverse + 1 fritto + 1 lingotto</t>
  </si>
  <si>
    <t>due pizze diverse+1antipasto o fritto+1 dolce</t>
  </si>
  <si>
    <t>due pizze diverse + 1 antipasto</t>
  </si>
  <si>
    <t>due pizze diverse+1 fritto+ 1 dolce</t>
  </si>
  <si>
    <t>1 fritto, due pizze diverse,1 dolce</t>
  </si>
  <si>
    <t>1 fritto, uno spicchio di pizza al padellino, 2 pizze diverse, 1 cocktail</t>
  </si>
  <si>
    <t>due bun diversi</t>
  </si>
  <si>
    <t>3 maritozzi piccoli, magari due salati e uno dolce</t>
  </si>
  <si>
    <t>1 puccia, 1 primo o secondo</t>
  </si>
  <si>
    <t>formula afternoon tea</t>
  </si>
  <si>
    <t>3 piatti salati + 1 calice di vino</t>
  </si>
  <si>
    <t>1 calice di vino + 1 sfizio+1 crostone</t>
  </si>
  <si>
    <t>3 piatti salati e 1 calice</t>
  </si>
  <si>
    <t>2 piatti dal menù (no dolce e no piatti di sole verdure); per il vino ho calcolato 5€ di rimborso come il costo medio di un calice anche se la bottiglia rimane a chi la compra.</t>
  </si>
  <si>
    <t>un calice e 2 piatti (no cose semplici o di sole verdure)</t>
  </si>
  <si>
    <t>un calice + 1 fermentato e 2 piatti</t>
  </si>
  <si>
    <t>un calice + 2 fermini e 1 piatto</t>
  </si>
  <si>
    <t>2 piatti salati (no ostriche) e 1 calice di vino</t>
  </si>
  <si>
    <t>2 panini diversi</t>
  </si>
  <si>
    <t>short trip</t>
  </si>
  <si>
    <t>tre varietà di dumpling diversi</t>
  </si>
  <si>
    <t>1 calice di vino, 1 snack, 2 piatti diversi</t>
  </si>
  <si>
    <t>2 hamburger diversi + 1 fritto</t>
  </si>
  <si>
    <t>1 crostino, 1 tagliere misto, 1 piatto, 1 calice di vino</t>
  </si>
  <si>
    <t>3 piatti salati e 1 dolce (no salumi e formaggi, una sola tapas)</t>
  </si>
  <si>
    <t>2 cocktail diversi più due tapas</t>
  </si>
  <si>
    <t>2 cocktail + 1 piatto</t>
  </si>
  <si>
    <t>2 cocktail diversi + 1 piatto</t>
  </si>
  <si>
    <t>2 pizze al tegamino (1 "tradizione", 1 "evoluzione")</t>
  </si>
  <si>
    <t>2 tranci di pizza diversi + 1 fritto</t>
  </si>
  <si>
    <t>3 tramezzini diversi</t>
  </si>
  <si>
    <t>1 arepas, 1 empanada, 1 piatto a scelta</t>
  </si>
  <si>
    <t>2 tranci di pizza piccoli + 1 fritto caratteristico</t>
  </si>
  <si>
    <t>due tipi di kebab diversi</t>
  </si>
  <si>
    <t>2 panini diversi con tipologie di pesce diverse</t>
  </si>
  <si>
    <t>2 trapizzini diversi + 1 fritto</t>
  </si>
  <si>
    <t>3 piatti salati + 1 dolce</t>
  </si>
  <si>
    <t>due pizze diverse, 1 fritto o antipasto, 1 dolce</t>
  </si>
  <si>
    <t>menù serale: antipasto (no insalate), primo, secondo (no sandwiches), dolce</t>
  </si>
  <si>
    <t>Via Conca d'Oro, 38</t>
  </si>
  <si>
    <t>06/83797040</t>
  </si>
  <si>
    <t>menù da 6 portate</t>
  </si>
  <si>
    <t>Riccioli d'Oro</t>
  </si>
  <si>
    <t>Mordi Roma</t>
  </si>
  <si>
    <t>334/7301833</t>
  </si>
  <si>
    <t>Aiki Pub</t>
  </si>
  <si>
    <t>Via Gaetano Rappini, 23</t>
  </si>
  <si>
    <t>378/3064424</t>
  </si>
  <si>
    <t>4 piatti salati (no sfizi iniziali e solo verdure)+ 1 dolce</t>
  </si>
  <si>
    <t>GioMà</t>
  </si>
  <si>
    <t>Via Calpurnio Fiamma, 40/44</t>
  </si>
  <si>
    <t>06/7674717</t>
  </si>
  <si>
    <t>1 fritto, 2 pizze diverse, 1 dolce</t>
  </si>
  <si>
    <t>Terra Gelato</t>
  </si>
  <si>
    <t>Piazza Santa Maria Maggiore, 9</t>
  </si>
  <si>
    <t>Via Cavour</t>
  </si>
  <si>
    <t>06/45666656</t>
  </si>
  <si>
    <t>Avus</t>
  </si>
  <si>
    <t>Via Cavour, 117</t>
  </si>
  <si>
    <t>vegetariano ma non solo</t>
  </si>
  <si>
    <t>06/30324564</t>
  </si>
  <si>
    <t>Via Muggia, 14</t>
  </si>
  <si>
    <t>Fase - cucina spontanea</t>
  </si>
  <si>
    <t>Quadraro</t>
  </si>
  <si>
    <t>370/1411858</t>
  </si>
  <si>
    <t xml:space="preserve">2 tapas salate e una dolce+2 birre diverse </t>
  </si>
  <si>
    <t>Giù Upside Down Restaurant</t>
  </si>
  <si>
    <t>Via Paolo Stoppa, 40</t>
  </si>
  <si>
    <t>Giardino di Roma</t>
  </si>
  <si>
    <t>375/5475445</t>
  </si>
  <si>
    <t>06/69401880</t>
  </si>
  <si>
    <t>Via Siria, 3</t>
  </si>
  <si>
    <t>menù 6 portate</t>
  </si>
  <si>
    <t>06/23209132</t>
  </si>
  <si>
    <t>3 piatti salati+1 dolce</t>
  </si>
  <si>
    <t>Nomisan</t>
  </si>
  <si>
    <t xml:space="preserve"> 342/8036080</t>
  </si>
  <si>
    <t>Viale Gianluigi Bonelli, 237</t>
  </si>
  <si>
    <t>Mezzocamino</t>
  </si>
  <si>
    <t>Brucio - La Contemporanea</t>
  </si>
  <si>
    <t>Brucio - La Romana</t>
  </si>
  <si>
    <t>Ciaparat</t>
  </si>
  <si>
    <t>06/86299221</t>
  </si>
  <si>
    <t>Enofficina</t>
  </si>
  <si>
    <t>Via Trionfale, 50</t>
  </si>
  <si>
    <t>06/39742353</t>
  </si>
  <si>
    <t>Via Vibio Mariano, 5</t>
  </si>
  <si>
    <t>Tomba di Nerone</t>
  </si>
  <si>
    <t>06/33251114 - 334/3112437</t>
  </si>
  <si>
    <t>333/4327944</t>
  </si>
  <si>
    <t>Said dal 1923</t>
  </si>
  <si>
    <t>cioccolateria / bistrot</t>
  </si>
  <si>
    <t>Via Tiburtina, 135</t>
  </si>
  <si>
    <t>06/4469204</t>
  </si>
  <si>
    <t>Piatto Romano</t>
  </si>
  <si>
    <t>Via Giovanni Battista Bodoni, 62</t>
  </si>
  <si>
    <t>06/64014447</t>
  </si>
  <si>
    <t>Locanda Ruggieri</t>
  </si>
  <si>
    <t>Via del Rio, 10</t>
  </si>
  <si>
    <t>333/4758507</t>
  </si>
  <si>
    <t>Il Grecale</t>
  </si>
  <si>
    <t>Riviera Zanardelli, 57</t>
  </si>
  <si>
    <t>06/9846822</t>
  </si>
  <si>
    <t>Locanda Dorica</t>
  </si>
  <si>
    <t>06/5590376</t>
  </si>
  <si>
    <t>Vicolo Giorgi, 15</t>
  </si>
  <si>
    <t>Velletri</t>
  </si>
  <si>
    <t>Casa Malgarini</t>
  </si>
  <si>
    <t>06/87772889</t>
  </si>
  <si>
    <t>Parco di Veio</t>
  </si>
  <si>
    <t>Osteria Landi</t>
  </si>
  <si>
    <t>06/56305565</t>
  </si>
  <si>
    <t>Via Claudio, 28</t>
  </si>
  <si>
    <t>Santa Pizza</t>
  </si>
  <si>
    <t>06/85951563</t>
  </si>
  <si>
    <t>La Lampara</t>
  </si>
  <si>
    <t>Passoscuro</t>
  </si>
  <si>
    <t>06/6672038</t>
  </si>
  <si>
    <t>Via Catania, 51</t>
  </si>
  <si>
    <t>kebab</t>
  </si>
  <si>
    <t>Borgo San Giorgio</t>
  </si>
  <si>
    <t>Via dei Pastori, 30</t>
  </si>
  <si>
    <t>06/59603683</t>
  </si>
  <si>
    <t>Tratto</t>
  </si>
  <si>
    <t>Viale Dell’Aeronautica 67/69</t>
  </si>
  <si>
    <t>06/5921244</t>
  </si>
  <si>
    <t>Enoteca Cavour 313</t>
  </si>
  <si>
    <t>Via Cavour, 313</t>
  </si>
  <si>
    <t>06/6785496</t>
  </si>
  <si>
    <t>Ponte Milvio</t>
  </si>
  <si>
    <t>Via Appia Nuova, 37</t>
  </si>
  <si>
    <t>379/1290077</t>
  </si>
  <si>
    <t>Gelasio</t>
  </si>
  <si>
    <t>Lina - La Pizza in Teglia</t>
  </si>
  <si>
    <t>Circonvallazione Trionfale, 53</t>
  </si>
  <si>
    <t>351/7747767</t>
  </si>
  <si>
    <t>Via Ponte Gregoriano, 1</t>
  </si>
  <si>
    <t>0774/011261</t>
  </si>
  <si>
    <t>Da Brando</t>
  </si>
  <si>
    <t>06/33225327</t>
  </si>
  <si>
    <t>Via Flaminia, 532</t>
  </si>
  <si>
    <t>Casale Verdeluna</t>
  </si>
  <si>
    <t>Località Civitella, 3</t>
  </si>
  <si>
    <t>0775/503051</t>
  </si>
  <si>
    <t>Atlas</t>
  </si>
  <si>
    <t>Via Ciro Menotti, 16/18</t>
  </si>
  <si>
    <t>Via Latina, 80</t>
  </si>
  <si>
    <t>06/86675708</t>
  </si>
  <si>
    <t>Shell</t>
  </si>
  <si>
    <t>libreria / bistrot</t>
  </si>
  <si>
    <t>Vicolo della Fontana, 28</t>
  </si>
  <si>
    <t>Villa Paganini</t>
  </si>
  <si>
    <t>06/86726388</t>
  </si>
  <si>
    <t>Divina Giulia</t>
  </si>
  <si>
    <t>340/8244624</t>
  </si>
  <si>
    <t>menù degustazione Albore</t>
  </si>
  <si>
    <t>Zelato</t>
  </si>
  <si>
    <t>Via degli Aurunci, 40</t>
  </si>
  <si>
    <t>342/5470485</t>
  </si>
  <si>
    <t>Luna</t>
  </si>
  <si>
    <t>Via delle Quattro Fontane, 175</t>
  </si>
  <si>
    <t>06/45595900</t>
  </si>
  <si>
    <t>Osteria Anna</t>
  </si>
  <si>
    <t>S.R. 630 Cassino Formia km. 15</t>
  </si>
  <si>
    <t>Castelnuovo Parano</t>
  </si>
  <si>
    <t>0776/952596</t>
  </si>
  <si>
    <t>Via Savoia, 38/42</t>
  </si>
  <si>
    <t>menù degustazione Dim Sum e Ramen</t>
  </si>
  <si>
    <t>Nonnarè</t>
  </si>
  <si>
    <t>Piazza Augusto Albini, 10</t>
  </si>
  <si>
    <t>328/5367252</t>
  </si>
  <si>
    <t>Cheebo</t>
  </si>
  <si>
    <t>hamburgheria</t>
  </si>
  <si>
    <t>351/7598556</t>
  </si>
  <si>
    <t>Via Aretusa, 6</t>
  </si>
  <si>
    <t>La Rustica</t>
  </si>
  <si>
    <t>1 smashburger, 1 burger con pollo o pulled pork</t>
  </si>
  <si>
    <t>Mario L'Ostricaro</t>
  </si>
  <si>
    <t>0773/702461</t>
  </si>
  <si>
    <t>Via Appia, km 102</t>
  </si>
  <si>
    <t>Garage Forno</t>
  </si>
  <si>
    <t>Via Paolo II, 14</t>
  </si>
  <si>
    <t>392/2984896</t>
  </si>
  <si>
    <t>Nomos Ante</t>
  </si>
  <si>
    <t>Via di San Paolo alla Regola, 3</t>
  </si>
  <si>
    <t>06/84102388</t>
  </si>
  <si>
    <t>Al Madrigale</t>
  </si>
  <si>
    <t>Mafè - osteria moderna</t>
  </si>
  <si>
    <t>Via Valsavaranche, 29/31</t>
  </si>
  <si>
    <t>Prati Fiscali</t>
  </si>
  <si>
    <t>Toma 52</t>
  </si>
  <si>
    <t>Via Cremona, 52/B</t>
  </si>
  <si>
    <t>06/5126917</t>
  </si>
  <si>
    <t>Arcangelo Vino &amp; Cucina</t>
  </si>
  <si>
    <t>Via Gallia, 28</t>
  </si>
  <si>
    <t>Trattoria del Cimino dal 1895</t>
  </si>
  <si>
    <t>Viale dello Scalo di San Lorenzo, 10</t>
  </si>
  <si>
    <t>06/85874176</t>
  </si>
  <si>
    <t>Taps</t>
  </si>
  <si>
    <t>1 antipasto, 1 primo, 1 secondo e 1 dolce</t>
  </si>
  <si>
    <t>Tante Care Cose</t>
  </si>
  <si>
    <t>Via Carlo Errera, 46</t>
  </si>
  <si>
    <t>333/6776681</t>
  </si>
  <si>
    <t>3 piatti salati</t>
  </si>
  <si>
    <t>La Renardière</t>
  </si>
  <si>
    <t>francese</t>
  </si>
  <si>
    <t>Viale Aventino, 31</t>
  </si>
  <si>
    <t>06/87785445</t>
  </si>
  <si>
    <t>due primi tipici, un secondo e un dolce</t>
  </si>
  <si>
    <t>Rosina - cucina di casa</t>
  </si>
  <si>
    <t>Vicolo delle Grotte, 27</t>
  </si>
  <si>
    <t>06/69374499</t>
  </si>
  <si>
    <t>Metis</t>
  </si>
  <si>
    <t>Piazza Enrico Martini, 24/25</t>
  </si>
  <si>
    <t>06/40066729</t>
  </si>
  <si>
    <t>Mare Bistrot</t>
  </si>
  <si>
    <t>Via della Torre Clementina, 126</t>
  </si>
  <si>
    <t>334/7978290</t>
  </si>
  <si>
    <t>L'Osteria di Ianus</t>
  </si>
  <si>
    <t>Antrodoco</t>
  </si>
  <si>
    <t>335/6151823</t>
  </si>
  <si>
    <t>Via Amiterno, 70</t>
  </si>
  <si>
    <t>Avenida Calò</t>
  </si>
  <si>
    <t>06/89238209</t>
  </si>
  <si>
    <t>La Taverna dei Corsari</t>
  </si>
  <si>
    <t>Piazza Vittorio Veneto, 10</t>
  </si>
  <si>
    <t>Montopoli di Sabina</t>
  </si>
  <si>
    <t>0765/279279</t>
  </si>
  <si>
    <t>v.26</t>
  </si>
  <si>
    <t>Amerina - la pizzetta</t>
  </si>
  <si>
    <t>EGO</t>
  </si>
  <si>
    <t>GianPà</t>
  </si>
  <si>
    <t>Hosteria Grappolo d'Oro</t>
  </si>
  <si>
    <t>Inverso</t>
  </si>
  <si>
    <t>Isotta - Trattoria Cortese</t>
  </si>
  <si>
    <t>Lievito Pizza Pane</t>
  </si>
  <si>
    <t>NuAN</t>
  </si>
  <si>
    <t>Santí - tradizione contadina</t>
  </si>
  <si>
    <t>Sicché - Roba toscana</t>
  </si>
  <si>
    <t>Trattoria Enoteca Assunta</t>
  </si>
  <si>
    <t>De Novo e D'Antico</t>
  </si>
  <si>
    <t>Aqla</t>
  </si>
  <si>
    <t>Sensorio Coffee Lab</t>
  </si>
  <si>
    <t>Dar Basha</t>
  </si>
  <si>
    <t>italiana / francese</t>
  </si>
  <si>
    <t>creativo</t>
  </si>
  <si>
    <t>pizzeria al taglio / forno</t>
  </si>
  <si>
    <t>tradizionale rivisitata</t>
  </si>
  <si>
    <t>cucina romana</t>
  </si>
  <si>
    <t>osteria contemporanea</t>
  </si>
  <si>
    <t>bar</t>
  </si>
  <si>
    <t>marocchina</t>
  </si>
  <si>
    <t>Largo dei Librari, 82</t>
  </si>
  <si>
    <t>Via Litoranea, Km 20,600</t>
  </si>
  <si>
    <t>Via Flaminia, 677/A</t>
  </si>
  <si>
    <t>Via della Giustiniana, 670/B</t>
  </si>
  <si>
    <t>Via Etruria, 35</t>
  </si>
  <si>
    <t>Via Portuense, 727 F/G</t>
  </si>
  <si>
    <t>Viale dei Quattro Venti, 152/C</t>
  </si>
  <si>
    <t>Campo dei fiori</t>
  </si>
  <si>
    <t>Via Carlo Livi, 10/16</t>
  </si>
  <si>
    <t>Torrevecchia</t>
  </si>
  <si>
    <t>Via Carbonia, 35</t>
  </si>
  <si>
    <t>Piazza Alessandria c/o Mercato Nomentano - box A2</t>
  </si>
  <si>
    <t>Re di Roma</t>
  </si>
  <si>
    <t>Piazza di San Paolo alla Regola, 40</t>
  </si>
  <si>
    <t>Via di Villa Faonte, 94</t>
  </si>
  <si>
    <t>Tufello</t>
  </si>
  <si>
    <t>Porta Metronia</t>
  </si>
  <si>
    <t>Via Beniamino Franklin, 12/C</t>
  </si>
  <si>
    <t xml:space="preserve"> Via Gaio Melisso, 32</t>
  </si>
  <si>
    <t>Piazza Giuseppe Mazzini, 45</t>
  </si>
  <si>
    <t>Via Giovanni Amendola 1/B</t>
  </si>
  <si>
    <t>Via Giacomo Boni, 33/35</t>
  </si>
  <si>
    <t>Piazza Santa Maria Consolatrice, 15/16</t>
  </si>
  <si>
    <t>Via Andrea Busiri Vici, 13</t>
  </si>
  <si>
    <t>Via Felice Cavallotti, 36/B</t>
  </si>
  <si>
    <t>Viale Pinturicchio, 38/42</t>
  </si>
  <si>
    <t>Via Aurora, 10</t>
  </si>
  <si>
    <t>Porta Pinciana</t>
  </si>
  <si>
    <t>06/98183647</t>
  </si>
  <si>
    <t>06/89716513</t>
  </si>
  <si>
    <t>331/1264351</t>
  </si>
  <si>
    <t>06/6858 5315</t>
  </si>
  <si>
    <t>06/90537554</t>
  </si>
  <si>
    <t>0765/ 480785 - 331/1650624</t>
  </si>
  <si>
    <t>06/55280963</t>
  </si>
  <si>
    <t>329/9299705</t>
  </si>
  <si>
    <t>06/4466573</t>
  </si>
  <si>
    <t>333/2256285</t>
  </si>
  <si>
    <t>375/8666287</t>
  </si>
  <si>
    <t>06/94377684 - 375/8207355</t>
  </si>
  <si>
    <t>6+</t>
  </si>
  <si>
    <t>10-</t>
  </si>
  <si>
    <t>50</t>
  </si>
  <si>
    <t>60</t>
  </si>
  <si>
    <t>85</t>
  </si>
  <si>
    <t>115</t>
  </si>
  <si>
    <t>65</t>
  </si>
  <si>
    <t>55</t>
  </si>
  <si>
    <t>150</t>
  </si>
  <si>
    <t>80</t>
  </si>
  <si>
    <t>34</t>
  </si>
  <si>
    <t>130</t>
  </si>
  <si>
    <t>6</t>
  </si>
  <si>
    <t>110</t>
  </si>
  <si>
    <t>18</t>
  </si>
  <si>
    <t>70</t>
  </si>
  <si>
    <t>29</t>
  </si>
  <si>
    <t>120</t>
  </si>
  <si>
    <t>100</t>
  </si>
  <si>
    <t>Dondolo</t>
  </si>
  <si>
    <t>Via di Monte Sacro, 23</t>
  </si>
  <si>
    <t>bakery</t>
  </si>
  <si>
    <t>06/45752197</t>
  </si>
  <si>
    <t>Diego Vitagliano</t>
  </si>
  <si>
    <t>Via Chiana, 80</t>
  </si>
  <si>
    <t>06/72276443</t>
  </si>
  <si>
    <t>351/3100815</t>
  </si>
  <si>
    <t>Stecca</t>
  </si>
  <si>
    <t>Viale Guglielmo Massaia, 28</t>
  </si>
  <si>
    <t>06/01906053</t>
  </si>
  <si>
    <t>Fernanda D'Arienzo</t>
  </si>
  <si>
    <t>1 caffè, 1 cappuccino, 1 krapfen e 1 lievito</t>
  </si>
  <si>
    <t>Da Danilo</t>
  </si>
  <si>
    <t>Via Petrarca, 13</t>
  </si>
  <si>
    <t>Piazza Vittorio</t>
  </si>
  <si>
    <t>06/77200111</t>
  </si>
  <si>
    <t>Simone Cargiani</t>
  </si>
  <si>
    <t>bloccato per Elisa Del Frate</t>
  </si>
  <si>
    <t>bloccato per Fabrizio Sbicca</t>
  </si>
  <si>
    <t>bloccato per Francesca Sebastio</t>
  </si>
  <si>
    <t>bloccato per Giorgio Sorbino</t>
  </si>
  <si>
    <t>bloccato per Giulia Maria Bellucci</t>
  </si>
  <si>
    <t>bloccato per Luca Veglianti</t>
  </si>
  <si>
    <t>bloccato per Marco Silleni</t>
  </si>
  <si>
    <t>bloccato per Valentino Affinita</t>
  </si>
  <si>
    <t>35+20</t>
  </si>
  <si>
    <t>Fabrizio Sbicca</t>
  </si>
  <si>
    <t>MAE - Slow Brunchers</t>
  </si>
  <si>
    <t>1 tipo di pancake, 1 tipo di uova, 1 tipo di bagel, 1 bevanda</t>
  </si>
  <si>
    <t>1 fritto e 3 tranci piccoli di pizze diverse</t>
  </si>
  <si>
    <t>bloccato per Matteo Damiani</t>
  </si>
  <si>
    <t>Luca Veglianti</t>
  </si>
  <si>
    <t>Elisa Del Frate</t>
  </si>
  <si>
    <t>Andrea Angiolino</t>
  </si>
  <si>
    <t>Brado</t>
  </si>
  <si>
    <t>carne / selvaggina</t>
  </si>
  <si>
    <t>Viale Amelia, 42</t>
  </si>
  <si>
    <t>375/5140851</t>
  </si>
  <si>
    <t>Valentino Affinita</t>
  </si>
  <si>
    <t>Giorgio Sorbino</t>
  </si>
  <si>
    <t>Poldo e Gianna</t>
  </si>
  <si>
    <t>Vicolo Rosini, 6</t>
  </si>
  <si>
    <t>Parlamento</t>
  </si>
  <si>
    <t>06/6893499</t>
  </si>
  <si>
    <t>Giulia Maria Bellucci</t>
  </si>
  <si>
    <t>Bless</t>
  </si>
  <si>
    <t>Via dell’Indipendenza, 208</t>
  </si>
  <si>
    <t>Gaeta</t>
  </si>
  <si>
    <t>0771/030188</t>
  </si>
  <si>
    <t>Via Marcantonio Bragadin, 13</t>
  </si>
  <si>
    <t>348/4302368 - 06/69459860</t>
  </si>
  <si>
    <t>Via Emilio Faà di Bruno, 31</t>
  </si>
  <si>
    <t>392/4799773</t>
  </si>
  <si>
    <t>4 piatti scelti dalle varie categorie</t>
  </si>
  <si>
    <t>Forno Ritorno</t>
  </si>
  <si>
    <t>forno / caffetteria</t>
  </si>
  <si>
    <t>Via Amerigo Vespucci, 20</t>
  </si>
  <si>
    <t>392/7768427</t>
  </si>
  <si>
    <t>Pizza Baar</t>
  </si>
  <si>
    <t>pizzeria al taglio / caffetteria specialty</t>
  </si>
  <si>
    <t xml:space="preserve">Via di Donna Olimpia, 71 </t>
  </si>
  <si>
    <t>Vineria Risorgimento</t>
  </si>
  <si>
    <t>Piazza del Risorgimento, 7</t>
  </si>
  <si>
    <t>06/89533745</t>
  </si>
  <si>
    <t>i calice di vino, 1 pane&amp;olio (per verificare lo stato dell'olio), 1 piatto dalla sezione Gastronomia, 1 piatto da Padellotto (no solo verdure), 1 trancio di pizza</t>
  </si>
  <si>
    <t>Slow</t>
  </si>
  <si>
    <t>caffetteria specilty / bakery</t>
  </si>
  <si>
    <t>Corso Vittorio Emanuele II, 73</t>
  </si>
  <si>
    <t>Largo di Torre Argentina</t>
  </si>
  <si>
    <t>Alla Magnatora</t>
  </si>
  <si>
    <t>0775/1626000</t>
  </si>
  <si>
    <t>Via Volubro, 4</t>
  </si>
  <si>
    <t>Marco Silleni</t>
  </si>
  <si>
    <t>Ie Koji Sakaba</t>
  </si>
  <si>
    <t>Ie Koji Japanese Izakaya</t>
  </si>
  <si>
    <t>Mr. Meat Kitchen and Grill</t>
  </si>
  <si>
    <t>carne</t>
  </si>
  <si>
    <t>Via di Salone, 248</t>
  </si>
  <si>
    <t>Settecamini</t>
  </si>
  <si>
    <t>345/1764800</t>
  </si>
  <si>
    <t>Viale delle Orchidee, 100</t>
  </si>
  <si>
    <t>349/2422046</t>
  </si>
  <si>
    <t>100C Vino e Pesce</t>
  </si>
  <si>
    <t>1 montanara, 1 pizza Bruma, 1 pizza Roots, 1 spicchio doppio crunch</t>
  </si>
  <si>
    <t>Francesca Sebastio</t>
  </si>
  <si>
    <t>bloccato per Anca Enache</t>
  </si>
  <si>
    <t>Futura</t>
  </si>
  <si>
    <t>Piazza di Santa Maria Liberatrice, 31</t>
  </si>
  <si>
    <t>375/6342191</t>
  </si>
  <si>
    <t>Crunch Teglia</t>
  </si>
  <si>
    <t>Via della Bufalotta, 284</t>
  </si>
  <si>
    <t>06/99606077</t>
  </si>
  <si>
    <t>bloccato per Vanessa Picena</t>
  </si>
  <si>
    <t xml:space="preserve">Angelino "ai Fori" dal 1947 </t>
  </si>
  <si>
    <t>Largo Corrado Ricci, 40</t>
  </si>
  <si>
    <t>Fori Imperiali</t>
  </si>
  <si>
    <t>06/6791121</t>
  </si>
  <si>
    <t>antipasto (no salumi e formaggi), primo (preferibilmente della tradizione romana), secondo, dolce</t>
  </si>
  <si>
    <t>Controluce</t>
  </si>
  <si>
    <t>Via della Luce, 44</t>
  </si>
  <si>
    <t>06/5814839</t>
  </si>
  <si>
    <t>1 antipasto, 1 primo, 1 secondo, 1 dolce (no piatti semplici)</t>
  </si>
  <si>
    <t>Concreto Cucina e Vino</t>
  </si>
  <si>
    <t>Via Marianna Dionigi, 4</t>
  </si>
  <si>
    <t>06/5415084</t>
  </si>
  <si>
    <t xml:space="preserve">novità </t>
  </si>
  <si>
    <t>3 piatti salati (no giardiniera, no selezione formaggi e salumi, no sfizi iniziali)+ 1 dolce</t>
  </si>
  <si>
    <t>Via Antonio Cantore, 13</t>
  </si>
  <si>
    <t>Anca Enache</t>
  </si>
  <si>
    <t>Piazza delle Erbe, 16</t>
  </si>
  <si>
    <t>348/7277746</t>
  </si>
  <si>
    <t>Bottega Popolare</t>
  </si>
  <si>
    <t>cucina piemontese</t>
  </si>
  <si>
    <t>Via Andrea Doria, 41 Mercato Trionfale Box 113</t>
  </si>
  <si>
    <t>334/3351068</t>
  </si>
  <si>
    <t>farinata, plin, vitello tonnato</t>
  </si>
  <si>
    <t>Forno Bianchi</t>
  </si>
  <si>
    <t>forno / pizzeria</t>
  </si>
  <si>
    <t>Largo delle Sette Chiese, 16</t>
  </si>
  <si>
    <t>2 pezzi di pizza diversi+1 croissant salato</t>
  </si>
  <si>
    <t>Mrgda Ristorante</t>
  </si>
  <si>
    <t>etiope / eritrea</t>
  </si>
  <si>
    <t>Via Prenestina, 182</t>
  </si>
  <si>
    <t>329/933355</t>
  </si>
  <si>
    <t>Schenardino - Cucina Pizza &amp; Vino</t>
  </si>
  <si>
    <t>Specus</t>
  </si>
  <si>
    <t>Via Casilina, 315</t>
  </si>
  <si>
    <t>Valmontone</t>
  </si>
  <si>
    <t>06/89522332</t>
  </si>
  <si>
    <t>SupplicAmy</t>
  </si>
  <si>
    <t>Viale Parioli, 69</t>
  </si>
  <si>
    <t>377/3192153</t>
  </si>
  <si>
    <t>Vanessa Picena</t>
  </si>
  <si>
    <t>Sando Ie Koji</t>
  </si>
  <si>
    <t>street food giapponese</t>
  </si>
  <si>
    <t>Via Andrea Doria, 32</t>
  </si>
  <si>
    <t>392/8208889</t>
  </si>
  <si>
    <t>Brasserie La Neige</t>
  </si>
  <si>
    <t>Piazzale Plan De Valli, 50</t>
  </si>
  <si>
    <t>Terminillo</t>
  </si>
  <si>
    <t>379/1573597</t>
  </si>
  <si>
    <t>POP Pizzeria Popolare</t>
  </si>
  <si>
    <t>Largo Appio Claudio, 384</t>
  </si>
  <si>
    <t>351/7850356</t>
  </si>
  <si>
    <t>347/6145569</t>
  </si>
  <si>
    <t>Laverve fermenteria</t>
  </si>
  <si>
    <t>kombucha bar</t>
  </si>
  <si>
    <t>Via di Portonaccio, 21</t>
  </si>
  <si>
    <t>340/0832288</t>
  </si>
  <si>
    <t>kombucha alla spina, cocktail base kombucha e 2 sfizi (no patatine)</t>
  </si>
  <si>
    <t>Località Seripola, snc</t>
  </si>
  <si>
    <t>Via Guglielmo Calderini, 64</t>
  </si>
  <si>
    <t>Cesano</t>
  </si>
  <si>
    <t>Via di Monte Polacco, 2</t>
  </si>
  <si>
    <t>Via Giovanni da Castel Bolognese, 63</t>
  </si>
  <si>
    <t>Via del Piè di Marmo, 28</t>
  </si>
  <si>
    <t>Largo Magnagrecia, 4</t>
  </si>
  <si>
    <t>Piazza S. Donà di Piave, 14</t>
  </si>
  <si>
    <t>Via dei Basaldella</t>
  </si>
  <si>
    <t>Via Flaminia Vecchia, 732</t>
  </si>
  <si>
    <t>Viale delle Provincie, 30</t>
  </si>
  <si>
    <t>Viale Battista Bardanzellu, 77</t>
  </si>
  <si>
    <t>Via Tor de' Schiavi, 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</si>
</sst>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6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0" fontId="6" fillId="0" borderId="0"/>
    <xf numFmtId="0" fontId="3" fillId="0" borderId="0"/>
    <xf numFmtId="0" fontId="13" fillId="0" borderId="0"/>
    <xf numFmtId="0" fontId="3" fillId="0" borderId="0"/>
    <xf numFmtId="0" fontId="7" fillId="0" borderId="0"/>
    <xf numFmtId="0" fontId="5" fillId="0" borderId="0"/>
    <xf numFmtId="0" fontId="9" fillId="0" borderId="0"/>
    <xf numFmtId="0" fontId="5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8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8" applyFont="1" applyAlignment="1">
      <alignment vertical="center" wrapText="1"/>
    </xf>
    <xf numFmtId="0" fontId="10" fillId="0" borderId="0" xfId="9" applyFont="1" applyAlignment="1">
      <alignment horizontal="center" wrapText="1"/>
    </xf>
    <xf numFmtId="0" fontId="10" fillId="0" borderId="0" xfId="9" applyFont="1" applyAlignment="1">
      <alignment wrapText="1"/>
    </xf>
    <xf numFmtId="0" fontId="10" fillId="0" borderId="0" xfId="9" applyFont="1" applyAlignment="1">
      <alignment horizontal="left" wrapText="1"/>
    </xf>
    <xf numFmtId="0" fontId="8" fillId="3" borderId="4" xfId="7" applyFont="1" applyFill="1" applyBorder="1" applyAlignment="1">
      <alignment horizontal="center"/>
    </xf>
    <xf numFmtId="0" fontId="8" fillId="0" borderId="0" xfId="9" applyFont="1" applyAlignment="1">
      <alignment horizontal="left" wrapText="1"/>
    </xf>
    <xf numFmtId="0" fontId="8" fillId="0" borderId="0" xfId="9" applyFont="1" applyAlignment="1">
      <alignment wrapText="1"/>
    </xf>
    <xf numFmtId="0" fontId="8" fillId="0" borderId="0" xfId="9" applyFont="1" applyAlignment="1">
      <alignment horizontal="center" wrapText="1"/>
    </xf>
    <xf numFmtId="0" fontId="11" fillId="4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 wrapText="1"/>
    </xf>
    <xf numFmtId="0" fontId="11" fillId="8" borderId="0" xfId="8" applyFont="1" applyFill="1" applyAlignment="1">
      <alignment horizontal="center" vertical="center" wrapText="1"/>
    </xf>
    <xf numFmtId="0" fontId="8" fillId="3" borderId="6" xfId="10" applyFont="1" applyFill="1" applyBorder="1" applyAlignment="1">
      <alignment horizontal="center"/>
    </xf>
    <xf numFmtId="0" fontId="8" fillId="3" borderId="4" xfId="9" applyFont="1" applyFill="1" applyBorder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3" borderId="6" xfId="10" applyFont="1" applyFill="1" applyBorder="1" applyAlignment="1">
      <alignment horizontal="left"/>
    </xf>
    <xf numFmtId="0" fontId="11" fillId="9" borderId="5" xfId="0" applyFont="1" applyFill="1" applyBorder="1" applyAlignment="1">
      <alignment horizontal="center" vertical="center"/>
    </xf>
    <xf numFmtId="0" fontId="10" fillId="10" borderId="0" xfId="9" applyFont="1" applyFill="1" applyAlignment="1">
      <alignment horizontal="center" wrapText="1"/>
    </xf>
    <xf numFmtId="0" fontId="10" fillId="10" borderId="0" xfId="9" applyFont="1" applyFill="1" applyAlignment="1">
      <alignment wrapText="1"/>
    </xf>
    <xf numFmtId="0" fontId="3" fillId="10" borderId="0" xfId="8" applyFont="1" applyFill="1" applyAlignment="1">
      <alignment horizontal="center" vertical="center" wrapText="1"/>
    </xf>
    <xf numFmtId="0" fontId="8" fillId="10" borderId="0" xfId="9" applyFont="1" applyFill="1" applyAlignment="1">
      <alignment horizontal="left" wrapText="1"/>
    </xf>
    <xf numFmtId="0" fontId="3" fillId="10" borderId="0" xfId="0" applyFont="1" applyFill="1" applyAlignment="1">
      <alignment horizontal="center" vertical="center"/>
    </xf>
    <xf numFmtId="0" fontId="8" fillId="10" borderId="0" xfId="9" applyFont="1" applyFill="1" applyAlignment="1">
      <alignment wrapText="1"/>
    </xf>
    <xf numFmtId="0" fontId="8" fillId="10" borderId="0" xfId="9" applyFont="1" applyFill="1" applyAlignment="1">
      <alignment horizontal="center" wrapText="1"/>
    </xf>
    <xf numFmtId="0" fontId="10" fillId="9" borderId="0" xfId="9" applyFont="1" applyFill="1" applyAlignment="1">
      <alignment horizontal="center" wrapText="1"/>
    </xf>
    <xf numFmtId="0" fontId="10" fillId="9" borderId="0" xfId="9" applyFont="1" applyFill="1" applyAlignment="1">
      <alignment wrapText="1"/>
    </xf>
    <xf numFmtId="0" fontId="3" fillId="9" borderId="0" xfId="8" applyFont="1" applyFill="1" applyAlignment="1">
      <alignment horizontal="center" vertical="center" wrapText="1"/>
    </xf>
    <xf numFmtId="0" fontId="8" fillId="9" borderId="0" xfId="9" applyFont="1" applyFill="1" applyAlignment="1">
      <alignment horizontal="left" wrapText="1"/>
    </xf>
    <xf numFmtId="0" fontId="10" fillId="9" borderId="0" xfId="9" applyFont="1" applyFill="1" applyAlignment="1">
      <alignment horizontal="left" wrapText="1"/>
    </xf>
    <xf numFmtId="0" fontId="3" fillId="9" borderId="0" xfId="0" applyFont="1" applyFill="1" applyAlignment="1">
      <alignment horizontal="center" vertical="center"/>
    </xf>
    <xf numFmtId="0" fontId="10" fillId="5" borderId="0" xfId="9" applyFont="1" applyFill="1" applyAlignment="1">
      <alignment horizontal="center" wrapText="1"/>
    </xf>
    <xf numFmtId="0" fontId="10" fillId="5" borderId="0" xfId="9" applyFont="1" applyFill="1" applyAlignment="1">
      <alignment wrapText="1"/>
    </xf>
    <xf numFmtId="0" fontId="3" fillId="5" borderId="0" xfId="8" applyFont="1" applyFill="1" applyAlignment="1">
      <alignment horizontal="center" vertical="center" wrapText="1"/>
    </xf>
    <xf numFmtId="0" fontId="8" fillId="5" borderId="0" xfId="9" applyFont="1" applyFill="1" applyAlignment="1">
      <alignment horizontal="left" wrapText="1"/>
    </xf>
    <xf numFmtId="0" fontId="3" fillId="5" borderId="0" xfId="0" applyFont="1" applyFill="1" applyAlignment="1">
      <alignment horizontal="center" vertical="center"/>
    </xf>
    <xf numFmtId="0" fontId="10" fillId="6" borderId="0" xfId="9" applyFont="1" applyFill="1" applyAlignment="1">
      <alignment horizontal="center" wrapText="1"/>
    </xf>
    <xf numFmtId="0" fontId="10" fillId="6" borderId="0" xfId="9" applyFont="1" applyFill="1" applyAlignment="1">
      <alignment wrapText="1"/>
    </xf>
    <xf numFmtId="0" fontId="3" fillId="6" borderId="0" xfId="8" applyFont="1" applyFill="1" applyAlignment="1">
      <alignment horizontal="center" vertical="center" wrapText="1"/>
    </xf>
    <xf numFmtId="0" fontId="8" fillId="6" borderId="0" xfId="9" applyFont="1" applyFill="1" applyAlignment="1">
      <alignment horizontal="left" wrapText="1"/>
    </xf>
    <xf numFmtId="0" fontId="3" fillId="6" borderId="0" xfId="0" applyFont="1" applyFill="1" applyAlignment="1">
      <alignment horizontal="center" vertical="center"/>
    </xf>
    <xf numFmtId="0" fontId="8" fillId="9" borderId="0" xfId="9" applyFont="1" applyFill="1" applyAlignment="1">
      <alignment wrapText="1"/>
    </xf>
    <xf numFmtId="0" fontId="8" fillId="6" borderId="0" xfId="9" applyFont="1" applyFill="1" applyAlignment="1">
      <alignment wrapText="1"/>
    </xf>
    <xf numFmtId="0" fontId="5" fillId="10" borderId="0" xfId="9" applyFont="1" applyFill="1" applyAlignment="1">
      <alignment horizontal="center" wrapText="1"/>
    </xf>
    <xf numFmtId="0" fontId="10" fillId="8" borderId="0" xfId="9" applyFont="1" applyFill="1" applyAlignment="1">
      <alignment horizontal="center" wrapText="1"/>
    </xf>
    <xf numFmtId="0" fontId="10" fillId="8" borderId="0" xfId="9" applyFont="1" applyFill="1" applyAlignment="1">
      <alignment wrapText="1"/>
    </xf>
    <xf numFmtId="0" fontId="3" fillId="8" borderId="0" xfId="8" applyFont="1" applyFill="1" applyAlignment="1">
      <alignment horizontal="center" vertical="center" wrapText="1"/>
    </xf>
    <xf numFmtId="0" fontId="8" fillId="8" borderId="0" xfId="9" applyFont="1" applyFill="1" applyAlignment="1">
      <alignment horizontal="left" wrapText="1"/>
    </xf>
    <xf numFmtId="0" fontId="10" fillId="8" borderId="0" xfId="9" applyFont="1" applyFill="1" applyAlignment="1">
      <alignment horizontal="left" wrapText="1"/>
    </xf>
    <xf numFmtId="0" fontId="3" fillId="8" borderId="0" xfId="0" applyFont="1" applyFill="1" applyAlignment="1">
      <alignment horizontal="center" vertical="center"/>
    </xf>
    <xf numFmtId="0" fontId="8" fillId="6" borderId="0" xfId="9" applyFont="1" applyFill="1" applyAlignment="1">
      <alignment horizontal="center" wrapText="1"/>
    </xf>
    <xf numFmtId="0" fontId="8" fillId="5" borderId="0" xfId="9" applyFont="1" applyFill="1" applyAlignment="1">
      <alignment horizontal="center" wrapText="1"/>
    </xf>
    <xf numFmtId="0" fontId="8" fillId="5" borderId="0" xfId="9" applyFont="1" applyFill="1" applyAlignment="1">
      <alignment wrapText="1"/>
    </xf>
  </cellXfs>
  <cellStyles count="23">
    <cellStyle name="Collegamento ipertestuale 2" xfId="1" xr:uid="{BB94F41A-D5C6-4F8C-A563-8CC3AA6A9845}"/>
    <cellStyle name="Migliaia 2" xfId="2" xr:uid="{4B29E8E3-4E0F-4FC7-892F-A3B6FFAC2F05}"/>
    <cellStyle name="Normale" xfId="0" builtinId="0"/>
    <cellStyle name="Normale 2" xfId="3" xr:uid="{096CBD50-F433-46C8-80F5-B79FAE02FD52}"/>
    <cellStyle name="Normale 2 2" xfId="4" xr:uid="{CB6DAD72-1EB8-4FDC-9CB6-B9E82A86A6B9}"/>
    <cellStyle name="Normale 3" xfId="5" xr:uid="{85935AF1-2163-4E90-B3E1-017E40D5A6F4}"/>
    <cellStyle name="Normale 4" xfId="6" xr:uid="{A400F8A0-6216-4910-8DA0-197CB13D271B}"/>
    <cellStyle name="Normale_Locali da provare_4" xfId="7" xr:uid="{39E0E402-CF6C-4005-AE64-5DEF6D6DA7D1}"/>
    <cellStyle name="Normale_Ristoranti" xfId="8" xr:uid="{255E40EE-50BA-4C07-A4A9-E348E5495724}"/>
    <cellStyle name="Normale_Tavole e pause golose" xfId="9" xr:uid="{F9E92C35-1D2E-4658-BB67-EA93AF7462FE}"/>
    <cellStyle name="Normale_Tavole e pause golose_1" xfId="10" xr:uid="{85702457-6C8D-4DA2-90E2-E0D71DF14F11}"/>
    <cellStyle name="Percentuale 2" xfId="11" xr:uid="{DC49FEE1-D34F-4833-AB65-8127900D4206}"/>
    <cellStyle name="Percentuale 2 2" xfId="12" xr:uid="{71FAADCA-3C99-44E4-B744-C2F4B56061F1}"/>
    <cellStyle name="Percentuale 2 2 2" xfId="13" xr:uid="{B67F6AE5-5390-4D84-994A-D3E71488B8EA}"/>
    <cellStyle name="Percentuale 2 2 2 2" xfId="14" xr:uid="{3D568C5B-67DB-44DB-B93A-26C009CA29BA}"/>
    <cellStyle name="Percentuale 2 3" xfId="15" xr:uid="{8576ACC6-7B92-4287-A6F5-1DF2FE433CC0}"/>
    <cellStyle name="Percentuale 2 3 2" xfId="16" xr:uid="{34D0E967-D0D9-402B-8D01-01A86A43CA2A}"/>
    <cellStyle name="Percentuale 3" xfId="17" xr:uid="{EF2C2284-8F09-415E-B84F-57F287EFFD29}"/>
    <cellStyle name="Percentuale 3 2" xfId="18" xr:uid="{6CDD1AA1-B6DC-4EAB-BE85-CED041A5C7AA}"/>
    <cellStyle name="Percentuale 3 2 2" xfId="19" xr:uid="{68ECB8EA-AF8E-4CCE-8C44-B018BD1C06C0}"/>
    <cellStyle name="Percentuale 3 2 2 2" xfId="20" xr:uid="{EF0E4ABE-C49C-4DE8-8541-1413AF901F2B}"/>
    <cellStyle name="Percentuale 3 3" xfId="21" xr:uid="{18355B6F-3AB5-4FB7-9A26-80642E63573B}"/>
    <cellStyle name="Percentuale 3 3 2" xfId="22" xr:uid="{75C47007-311F-4D25-B521-E0F82B8334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1B98-D301-4D81-BF1C-BA4579F153A5}">
  <sheetPr>
    <pageSetUpPr fitToPage="1"/>
  </sheetPr>
  <dimension ref="A1:AI775"/>
  <sheetViews>
    <sheetView tabSelected="1" zoomScaleNormal="100" workbookViewId="0">
      <pane ySplit="7" topLeftCell="A401" activePane="bottomLeft" state="frozen"/>
      <selection pane="bottomLeft" activeCell="F416" sqref="F416"/>
    </sheetView>
  </sheetViews>
  <sheetFormatPr defaultRowHeight="14.25" customHeight="1" x14ac:dyDescent="0.2"/>
  <cols>
    <col min="1" max="1" width="5.28515625" style="1" customWidth="1"/>
    <col min="2" max="2" width="3.7109375" style="1" customWidth="1"/>
    <col min="3" max="3" width="3.85546875" style="1" customWidth="1"/>
    <col min="4" max="4" width="29.7109375" style="2" customWidth="1"/>
    <col min="5" max="5" width="19" style="11" customWidth="1"/>
    <col min="6" max="6" width="25.7109375" style="2" customWidth="1"/>
    <col min="7" max="7" width="27" style="11" customWidth="1"/>
    <col min="8" max="8" width="17.28515625" style="11" customWidth="1"/>
    <col min="9" max="9" width="19" style="1" customWidth="1"/>
    <col min="10" max="11" width="9.28515625" style="1" customWidth="1"/>
    <col min="12" max="12" width="12.42578125" style="10" customWidth="1"/>
    <col min="13" max="13" width="35.7109375" style="14" customWidth="1"/>
    <col min="14" max="14" width="21.140625" style="14" customWidth="1"/>
    <col min="15" max="15" width="6.42578125" style="1" customWidth="1"/>
    <col min="16" max="16" width="7" style="1" customWidth="1"/>
    <col min="17" max="17" width="7.42578125" style="1" customWidth="1"/>
    <col min="18" max="18" width="9.28515625" style="1" customWidth="1"/>
    <col min="19" max="19" width="8.28515625" style="1" customWidth="1"/>
    <col min="20" max="20" width="5.7109375" style="1" customWidth="1"/>
    <col min="21" max="26" width="9.42578125" style="1" bestFit="1" customWidth="1"/>
    <col min="27" max="27" width="10.85546875" style="1" bestFit="1" customWidth="1"/>
    <col min="28" max="28" width="7" style="1" customWidth="1"/>
    <col min="29" max="29" width="21.85546875" style="1" customWidth="1"/>
    <col min="30" max="30" width="27.28515625" style="1" customWidth="1"/>
    <col min="31" max="31" width="18" style="1" customWidth="1"/>
    <col min="32" max="32" width="19.85546875" style="1" customWidth="1"/>
    <col min="33" max="33" width="15.140625" style="1" customWidth="1"/>
    <col min="34" max="34" width="18.140625" style="1" customWidth="1"/>
    <col min="35" max="35" width="9.140625" style="1"/>
    <col min="36" max="16384" width="9.140625" style="2"/>
  </cols>
  <sheetData>
    <row r="1" spans="1:35" ht="14.25" customHeight="1" x14ac:dyDescent="0.2">
      <c r="D1" s="1"/>
      <c r="F1" s="1"/>
    </row>
    <row r="2" spans="1:35" ht="14.25" customHeight="1" x14ac:dyDescent="0.2">
      <c r="D2" s="3" t="s">
        <v>8</v>
      </c>
      <c r="E2" s="12" t="s">
        <v>24</v>
      </c>
      <c r="F2" s="3" t="s">
        <v>25</v>
      </c>
      <c r="G2" s="12" t="s">
        <v>26</v>
      </c>
      <c r="H2" s="12" t="s">
        <v>20</v>
      </c>
      <c r="I2" s="13" t="s">
        <v>9</v>
      </c>
      <c r="J2" s="4"/>
      <c r="K2" s="4"/>
    </row>
    <row r="3" spans="1:35" ht="27" customHeight="1" x14ac:dyDescent="0.2">
      <c r="D3" s="1" t="s">
        <v>2</v>
      </c>
      <c r="E3" s="5">
        <f>+AG6</f>
        <v>103</v>
      </c>
      <c r="F3" s="5">
        <f>+AC6</f>
        <v>64</v>
      </c>
      <c r="G3" s="5">
        <f>+AE6</f>
        <v>64</v>
      </c>
      <c r="H3" s="5">
        <f>+E3-G3</f>
        <v>39</v>
      </c>
      <c r="I3" s="22" t="s">
        <v>10</v>
      </c>
      <c r="J3" s="23" t="s">
        <v>572</v>
      </c>
      <c r="K3" s="24" t="s">
        <v>19</v>
      </c>
    </row>
    <row r="4" spans="1:35" ht="27" customHeight="1" x14ac:dyDescent="0.25">
      <c r="D4" s="6" t="s">
        <v>3</v>
      </c>
      <c r="E4" s="7">
        <f>+AH6</f>
        <v>319</v>
      </c>
      <c r="F4" s="7">
        <f>+AD6</f>
        <v>118</v>
      </c>
      <c r="G4" s="7">
        <f>+AF6</f>
        <v>101</v>
      </c>
      <c r="H4" s="5">
        <f>+E4-G4</f>
        <v>218</v>
      </c>
      <c r="I4" s="33" t="s">
        <v>16</v>
      </c>
      <c r="J4" s="25" t="s">
        <v>571</v>
      </c>
      <c r="K4" s="26" t="s">
        <v>41</v>
      </c>
      <c r="M4" s="17"/>
      <c r="N4" s="17"/>
    </row>
    <row r="5" spans="1:35" ht="14.25" customHeight="1" x14ac:dyDescent="0.25">
      <c r="D5" s="8" t="s">
        <v>12</v>
      </c>
      <c r="E5" s="8">
        <f>+E3+E4</f>
        <v>422</v>
      </c>
      <c r="F5" s="8">
        <f>+F3+F4</f>
        <v>182</v>
      </c>
      <c r="G5" s="8">
        <f>+G3+G4</f>
        <v>165</v>
      </c>
      <c r="H5" s="8">
        <f>+H3+H4</f>
        <v>257</v>
      </c>
      <c r="I5" s="9"/>
      <c r="J5" s="9"/>
      <c r="K5" s="9"/>
      <c r="M5" s="17"/>
      <c r="N5" s="17"/>
      <c r="R5" s="9">
        <f t="shared" ref="R5:AA5" si="0">SUM(R8:R2418)</f>
        <v>58</v>
      </c>
      <c r="S5" s="9">
        <f t="shared" si="0"/>
        <v>10</v>
      </c>
      <c r="T5" s="9">
        <f t="shared" si="0"/>
        <v>4</v>
      </c>
      <c r="U5" s="9">
        <f t="shared" si="0"/>
        <v>7</v>
      </c>
      <c r="V5" s="9">
        <f t="shared" si="0"/>
        <v>2</v>
      </c>
      <c r="W5" s="9">
        <f t="shared" si="0"/>
        <v>5</v>
      </c>
      <c r="X5" s="9">
        <f t="shared" si="0"/>
        <v>17</v>
      </c>
      <c r="Y5" s="9">
        <f t="shared" si="0"/>
        <v>28</v>
      </c>
      <c r="Z5" s="9">
        <f t="shared" si="0"/>
        <v>16</v>
      </c>
      <c r="AA5" s="9">
        <f t="shared" si="0"/>
        <v>21</v>
      </c>
      <c r="AB5" s="9"/>
      <c r="AC5" s="9"/>
      <c r="AD5" s="9"/>
      <c r="AE5" s="9"/>
      <c r="AF5" s="9"/>
    </row>
    <row r="6" spans="1:35" ht="14.25" customHeight="1" x14ac:dyDescent="0.25">
      <c r="D6" s="1"/>
      <c r="F6" s="1"/>
      <c r="M6" s="17"/>
      <c r="N6" s="17"/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15</v>
      </c>
      <c r="AC6" s="1">
        <f t="shared" ref="AC6:AH6" si="1">SUM(AC8:AC1687)</f>
        <v>64</v>
      </c>
      <c r="AD6" s="1">
        <f t="shared" si="1"/>
        <v>118</v>
      </c>
      <c r="AE6" s="1">
        <f t="shared" si="1"/>
        <v>64</v>
      </c>
      <c r="AF6" s="1">
        <f t="shared" si="1"/>
        <v>101</v>
      </c>
      <c r="AG6" s="1">
        <f t="shared" si="1"/>
        <v>103</v>
      </c>
      <c r="AH6" s="1">
        <f t="shared" si="1"/>
        <v>319</v>
      </c>
    </row>
    <row r="7" spans="1:35" s="31" customFormat="1" ht="14.25" customHeight="1" x14ac:dyDescent="0.25">
      <c r="A7" s="27" t="s">
        <v>1386</v>
      </c>
      <c r="B7" s="27" t="s">
        <v>1387</v>
      </c>
      <c r="C7" s="27" t="s">
        <v>1388</v>
      </c>
      <c r="D7" s="32" t="s">
        <v>13</v>
      </c>
      <c r="E7" s="32" t="s">
        <v>23</v>
      </c>
      <c r="F7" s="32" t="s">
        <v>14</v>
      </c>
      <c r="G7" s="32" t="s">
        <v>18</v>
      </c>
      <c r="H7" s="32" t="s">
        <v>42</v>
      </c>
      <c r="I7" s="27" t="s">
        <v>11</v>
      </c>
      <c r="J7" s="27" t="s">
        <v>1389</v>
      </c>
      <c r="K7" s="27" t="s">
        <v>1649</v>
      </c>
      <c r="L7" s="27" t="s">
        <v>17</v>
      </c>
      <c r="M7" s="32" t="s">
        <v>1390</v>
      </c>
      <c r="N7" s="28" t="s">
        <v>0</v>
      </c>
      <c r="O7" s="18" t="s">
        <v>1</v>
      </c>
      <c r="P7" s="18" t="s">
        <v>2</v>
      </c>
      <c r="Q7" s="29"/>
      <c r="R7" s="30">
        <v>1</v>
      </c>
      <c r="S7" s="30">
        <f>+R7+1</f>
        <v>2</v>
      </c>
      <c r="T7" s="30">
        <f t="shared" ref="T7:AA7" si="2">+S7+1</f>
        <v>3</v>
      </c>
      <c r="U7" s="30">
        <f t="shared" si="2"/>
        <v>4</v>
      </c>
      <c r="V7" s="30">
        <f t="shared" si="2"/>
        <v>5</v>
      </c>
      <c r="W7" s="30">
        <f t="shared" si="2"/>
        <v>6</v>
      </c>
      <c r="X7" s="30">
        <f t="shared" si="2"/>
        <v>7</v>
      </c>
      <c r="Y7" s="30">
        <f t="shared" si="2"/>
        <v>8</v>
      </c>
      <c r="Z7" s="30">
        <f t="shared" si="2"/>
        <v>9</v>
      </c>
      <c r="AA7" s="30">
        <f t="shared" si="2"/>
        <v>10</v>
      </c>
      <c r="AB7" s="30"/>
      <c r="AC7" s="30" t="s">
        <v>21</v>
      </c>
      <c r="AD7" s="30" t="s">
        <v>22</v>
      </c>
      <c r="AE7" s="30" t="s">
        <v>4</v>
      </c>
      <c r="AF7" s="30" t="s">
        <v>5</v>
      </c>
      <c r="AG7" s="30" t="s">
        <v>6</v>
      </c>
      <c r="AH7" s="30" t="s">
        <v>7</v>
      </c>
      <c r="AI7" s="30"/>
    </row>
    <row r="8" spans="1:35" ht="14.25" customHeight="1" x14ac:dyDescent="0.25">
      <c r="A8" s="47">
        <v>0</v>
      </c>
      <c r="B8" s="47">
        <v>1</v>
      </c>
      <c r="C8" s="47">
        <v>1</v>
      </c>
      <c r="D8" s="48" t="s">
        <v>126</v>
      </c>
      <c r="E8" s="48" t="s">
        <v>915</v>
      </c>
      <c r="F8" s="48" t="s">
        <v>328</v>
      </c>
      <c r="G8" s="48" t="s">
        <v>180</v>
      </c>
      <c r="H8" s="48" t="s">
        <v>358</v>
      </c>
      <c r="I8" s="47" t="s">
        <v>477</v>
      </c>
      <c r="J8" s="47">
        <v>1</v>
      </c>
      <c r="K8" s="49" t="s">
        <v>741</v>
      </c>
      <c r="L8" s="49">
        <v>200</v>
      </c>
      <c r="M8" s="50" t="s">
        <v>39</v>
      </c>
      <c r="N8" s="50" t="s">
        <v>1751</v>
      </c>
      <c r="O8" s="51"/>
      <c r="P8" s="51"/>
      <c r="R8" s="1">
        <f>IF(J8=$R$7,1,0)</f>
        <v>1</v>
      </c>
      <c r="S8" s="1">
        <f>IF(J8=$S$7,1,0)</f>
        <v>0</v>
      </c>
      <c r="T8" s="1">
        <f>IF(J8=$T$7,1,0)</f>
        <v>0</v>
      </c>
      <c r="U8" s="1">
        <f>IF(J8=$U$7,1,0)</f>
        <v>0</v>
      </c>
      <c r="V8" s="1">
        <f>IF(J8=$V$7,1,0)</f>
        <v>0</v>
      </c>
      <c r="W8" s="1">
        <f>IF(J8=$W$7,1,0)</f>
        <v>0</v>
      </c>
      <c r="X8" s="1">
        <f>IF(J8=$X$7,1,0)</f>
        <v>0</v>
      </c>
      <c r="Y8" s="1">
        <f>IF(J8=$Y$7,1,0)</f>
        <v>0</v>
      </c>
      <c r="Z8" s="1">
        <f>IF(J8=$Z$7,1,0)</f>
        <v>0</v>
      </c>
      <c r="AA8" s="1">
        <f>IF(J8=$AA$7,1,0)</f>
        <v>0</v>
      </c>
      <c r="AC8" s="1">
        <f>+O8*P8</f>
        <v>0</v>
      </c>
      <c r="AD8" s="1">
        <f>O8*(1-P8)</f>
        <v>0</v>
      </c>
      <c r="AE8" s="1">
        <f>+O8*P8*(1-A8)</f>
        <v>0</v>
      </c>
      <c r="AF8" s="1">
        <f>O8*(1-P8)*(1-A8)</f>
        <v>0</v>
      </c>
      <c r="AG8" s="1">
        <f>+P8*(1-A8)</f>
        <v>0</v>
      </c>
      <c r="AH8" s="1">
        <f>+(1-A8)*(1-P8)</f>
        <v>1</v>
      </c>
    </row>
    <row r="9" spans="1:35" ht="14.25" customHeight="1" x14ac:dyDescent="0.25">
      <c r="A9" s="41">
        <v>0</v>
      </c>
      <c r="B9" s="41">
        <v>1</v>
      </c>
      <c r="C9" s="41">
        <v>1</v>
      </c>
      <c r="D9" s="42" t="s">
        <v>1607</v>
      </c>
      <c r="E9" s="42" t="s">
        <v>173</v>
      </c>
      <c r="F9" s="42" t="s">
        <v>1557</v>
      </c>
      <c r="G9" s="42" t="s">
        <v>39</v>
      </c>
      <c r="H9" s="42" t="s">
        <v>367</v>
      </c>
      <c r="I9" s="41" t="s">
        <v>1558</v>
      </c>
      <c r="J9" s="41">
        <v>99</v>
      </c>
      <c r="K9" s="43" t="s">
        <v>972</v>
      </c>
      <c r="L9" s="43" t="s">
        <v>1717</v>
      </c>
      <c r="M9" s="44" t="s">
        <v>1394</v>
      </c>
      <c r="N9" s="45"/>
      <c r="O9" s="46"/>
      <c r="P9" s="46">
        <v>1</v>
      </c>
      <c r="R9" s="1">
        <f>IF(J9=$R$7,1,0)</f>
        <v>0</v>
      </c>
      <c r="S9" s="1">
        <f>IF(J9=$S$7,1,0)</f>
        <v>0</v>
      </c>
      <c r="T9" s="1">
        <f>IF(J9=$T$7,1,0)</f>
        <v>0</v>
      </c>
      <c r="U9" s="1">
        <f>IF(J9=$U$7,1,0)</f>
        <v>0</v>
      </c>
      <c r="V9" s="1">
        <f>IF(J9=$V$7,1,0)</f>
        <v>0</v>
      </c>
      <c r="W9" s="1">
        <f>IF(J9=$W$7,1,0)</f>
        <v>0</v>
      </c>
      <c r="X9" s="1">
        <f>IF(J9=$X$7,1,0)</f>
        <v>0</v>
      </c>
      <c r="Y9" s="1">
        <f>IF(J9=$Y$7,1,0)</f>
        <v>0</v>
      </c>
      <c r="Z9" s="1">
        <f>IF(J9=$Z$7,1,0)</f>
        <v>0</v>
      </c>
      <c r="AA9" s="1">
        <f>IF(J9=$AA$7,1,0)</f>
        <v>0</v>
      </c>
      <c r="AC9" s="1">
        <f>+O9*P9</f>
        <v>0</v>
      </c>
      <c r="AD9" s="1">
        <f>O9*(1-P9)</f>
        <v>0</v>
      </c>
      <c r="AE9" s="1">
        <f>+O9*P9*(1-A9)</f>
        <v>0</v>
      </c>
      <c r="AF9" s="1">
        <f>O9*(1-P9)*(1-A9)</f>
        <v>0</v>
      </c>
      <c r="AG9" s="1">
        <f>+P9*(1-A9)</f>
        <v>1</v>
      </c>
      <c r="AH9" s="1">
        <f>+(1-A9)*(1-P9)</f>
        <v>0</v>
      </c>
    </row>
    <row r="10" spans="1:35" ht="14.25" customHeight="1" x14ac:dyDescent="0.25">
      <c r="A10" s="47">
        <v>0</v>
      </c>
      <c r="B10" s="47">
        <v>1</v>
      </c>
      <c r="C10" s="47">
        <v>1</v>
      </c>
      <c r="D10" s="48" t="s">
        <v>152</v>
      </c>
      <c r="E10" s="48" t="s">
        <v>173</v>
      </c>
      <c r="F10" s="48" t="s">
        <v>355</v>
      </c>
      <c r="G10" s="48" t="s">
        <v>180</v>
      </c>
      <c r="H10" s="48" t="s">
        <v>358</v>
      </c>
      <c r="I10" s="47" t="s">
        <v>503</v>
      </c>
      <c r="J10" s="47">
        <v>1</v>
      </c>
      <c r="K10" s="49" t="s">
        <v>972</v>
      </c>
      <c r="L10" s="49" t="s">
        <v>1718</v>
      </c>
      <c r="M10" s="50" t="s">
        <v>1391</v>
      </c>
      <c r="N10" s="50" t="s">
        <v>1763</v>
      </c>
      <c r="O10" s="51"/>
      <c r="P10" s="51"/>
      <c r="R10" s="1">
        <f>IF(J10=$R$7,1,0)</f>
        <v>1</v>
      </c>
      <c r="S10" s="1">
        <f>IF(J10=$S$7,1,0)</f>
        <v>0</v>
      </c>
      <c r="T10" s="1">
        <f>IF(J10=$T$7,1,0)</f>
        <v>0</v>
      </c>
      <c r="U10" s="1">
        <f>IF(J10=$U$7,1,0)</f>
        <v>0</v>
      </c>
      <c r="V10" s="1">
        <f>IF(J10=$V$7,1,0)</f>
        <v>0</v>
      </c>
      <c r="W10" s="1">
        <f>IF(J10=$W$7,1,0)</f>
        <v>0</v>
      </c>
      <c r="X10" s="1">
        <f>IF(J10=$X$7,1,0)</f>
        <v>0</v>
      </c>
      <c r="Y10" s="1">
        <f>IF(J10=$Y$7,1,0)</f>
        <v>0</v>
      </c>
      <c r="Z10" s="1">
        <f>IF(J10=$Z$7,1,0)</f>
        <v>0</v>
      </c>
      <c r="AA10" s="1">
        <f>IF(J10=$AA$7,1,0)</f>
        <v>0</v>
      </c>
      <c r="AC10" s="1">
        <f>+O10*P10</f>
        <v>0</v>
      </c>
      <c r="AD10" s="1">
        <f>O10*(1-P10)</f>
        <v>0</v>
      </c>
      <c r="AE10" s="1">
        <f>+O10*P10*(1-A10)</f>
        <v>0</v>
      </c>
      <c r="AF10" s="1">
        <f>O10*(1-P10)*(1-A10)</f>
        <v>0</v>
      </c>
      <c r="AG10" s="1">
        <f>+P10*(1-A10)</f>
        <v>0</v>
      </c>
      <c r="AH10" s="1">
        <f>+(1-A10)*(1-P10)</f>
        <v>1</v>
      </c>
    </row>
    <row r="11" spans="1:35" ht="14.25" customHeight="1" x14ac:dyDescent="0.25">
      <c r="A11" s="47">
        <v>0</v>
      </c>
      <c r="B11" s="47">
        <v>1</v>
      </c>
      <c r="C11" s="47">
        <v>1</v>
      </c>
      <c r="D11" s="48" t="s">
        <v>1040</v>
      </c>
      <c r="E11" s="48" t="s">
        <v>176</v>
      </c>
      <c r="F11" s="48" t="s">
        <v>1101</v>
      </c>
      <c r="G11" s="48" t="s">
        <v>39</v>
      </c>
      <c r="H11" s="48" t="s">
        <v>1041</v>
      </c>
      <c r="I11" s="47" t="s">
        <v>1123</v>
      </c>
      <c r="J11" s="47">
        <v>16</v>
      </c>
      <c r="K11" s="49" t="s">
        <v>970</v>
      </c>
      <c r="L11" s="49">
        <v>45</v>
      </c>
      <c r="M11" s="50" t="s">
        <v>1392</v>
      </c>
      <c r="N11" s="50" t="s">
        <v>1818</v>
      </c>
      <c r="O11" s="51"/>
      <c r="P11" s="51"/>
      <c r="R11" s="1">
        <f>IF(J11=$R$7,1,0)</f>
        <v>0</v>
      </c>
      <c r="S11" s="1">
        <f>IF(J11=$S$7,1,0)</f>
        <v>0</v>
      </c>
      <c r="T11" s="1">
        <f>IF(J11=$T$7,1,0)</f>
        <v>0</v>
      </c>
      <c r="U11" s="1">
        <f>IF(J11=$U$7,1,0)</f>
        <v>0</v>
      </c>
      <c r="V11" s="1">
        <f>IF(J11=$V$7,1,0)</f>
        <v>0</v>
      </c>
      <c r="W11" s="1">
        <f>IF(J11=$W$7,1,0)</f>
        <v>0</v>
      </c>
      <c r="X11" s="1">
        <f>IF(J11=$X$7,1,0)</f>
        <v>0</v>
      </c>
      <c r="Y11" s="1">
        <f>IF(J11=$Y$7,1,0)</f>
        <v>0</v>
      </c>
      <c r="Z11" s="1">
        <f>IF(J11=$Z$7,1,0)</f>
        <v>0</v>
      </c>
      <c r="AA11" s="1">
        <f>IF(J11=$AA$7,1,0)</f>
        <v>0</v>
      </c>
      <c r="AC11" s="1">
        <f>+O11*P11</f>
        <v>0</v>
      </c>
      <c r="AD11" s="1">
        <f>O11*(1-P11)</f>
        <v>0</v>
      </c>
      <c r="AE11" s="1">
        <f>+O11*P11*(1-A11)</f>
        <v>0</v>
      </c>
      <c r="AF11" s="1">
        <f>O11*(1-P11)*(1-A11)</f>
        <v>0</v>
      </c>
      <c r="AG11" s="1">
        <f>+P11*(1-A11)</f>
        <v>0</v>
      </c>
      <c r="AH11" s="1">
        <f>+(1-A11)*(1-P11)</f>
        <v>1</v>
      </c>
    </row>
    <row r="12" spans="1:35" ht="14.25" customHeight="1" x14ac:dyDescent="0.25">
      <c r="A12" s="47">
        <v>0</v>
      </c>
      <c r="B12" s="47">
        <v>1</v>
      </c>
      <c r="C12" s="47">
        <v>1</v>
      </c>
      <c r="D12" s="48" t="s">
        <v>118</v>
      </c>
      <c r="E12" s="48" t="s">
        <v>173</v>
      </c>
      <c r="F12" s="48" t="s">
        <v>319</v>
      </c>
      <c r="G12" s="48" t="s">
        <v>320</v>
      </c>
      <c r="H12" s="48" t="s">
        <v>358</v>
      </c>
      <c r="I12" s="47" t="s">
        <v>469</v>
      </c>
      <c r="J12" s="47">
        <v>8</v>
      </c>
      <c r="K12" s="49" t="s">
        <v>974</v>
      </c>
      <c r="L12" s="49" t="s">
        <v>1721</v>
      </c>
      <c r="M12" s="50" t="s">
        <v>1130</v>
      </c>
      <c r="N12" s="50" t="s">
        <v>1752</v>
      </c>
      <c r="O12" s="51"/>
      <c r="P12" s="51"/>
      <c r="R12" s="1">
        <f t="shared" ref="R12:R73" si="3">IF(J12=$R$7,1,0)</f>
        <v>0</v>
      </c>
      <c r="S12" s="1">
        <f t="shared" ref="S12:S73" si="4">IF(J12=$S$7,1,0)</f>
        <v>0</v>
      </c>
      <c r="T12" s="1">
        <f t="shared" ref="T12:T73" si="5">IF(J12=$T$7,1,0)</f>
        <v>0</v>
      </c>
      <c r="U12" s="1">
        <f t="shared" ref="U12:U73" si="6">IF(J12=$U$7,1,0)</f>
        <v>0</v>
      </c>
      <c r="V12" s="1">
        <f t="shared" ref="V12:V73" si="7">IF(J12=$V$7,1,0)</f>
        <v>0</v>
      </c>
      <c r="W12" s="1">
        <f t="shared" ref="W12:W73" si="8">IF(J12=$W$7,1,0)</f>
        <v>0</v>
      </c>
      <c r="X12" s="1">
        <f t="shared" ref="X12:X73" si="9">IF(J12=$X$7,1,0)</f>
        <v>0</v>
      </c>
      <c r="Y12" s="1">
        <f t="shared" ref="Y12:Y73" si="10">IF(J12=$Y$7,1,0)</f>
        <v>1</v>
      </c>
      <c r="Z12" s="1">
        <f t="shared" ref="Z12:Z73" si="11">IF(J12=$Z$7,1,0)</f>
        <v>0</v>
      </c>
      <c r="AA12" s="1">
        <f t="shared" ref="AA12:AA73" si="12">IF(J12=$AA$7,1,0)</f>
        <v>0</v>
      </c>
      <c r="AC12" s="1">
        <f t="shared" ref="AC12:AC73" si="13">+O12*P12</f>
        <v>0</v>
      </c>
      <c r="AD12" s="1">
        <f t="shared" ref="AD12:AD73" si="14">O12*(1-P12)</f>
        <v>0</v>
      </c>
      <c r="AE12" s="1">
        <f t="shared" ref="AE12:AE73" si="15">+O12*P12*(1-A12)</f>
        <v>0</v>
      </c>
      <c r="AF12" s="1">
        <f t="shared" ref="AF12:AF73" si="16">O12*(1-P12)*(1-A12)</f>
        <v>0</v>
      </c>
      <c r="AG12" s="1">
        <f t="shared" ref="AG12:AG73" si="17">+P12*(1-A12)</f>
        <v>0</v>
      </c>
      <c r="AH12" s="1">
        <f t="shared" ref="AH12:AH73" si="18">+(1-A12)*(1-P12)</f>
        <v>1</v>
      </c>
    </row>
    <row r="13" spans="1:35" ht="14.25" customHeight="1" x14ac:dyDescent="0.25">
      <c r="A13" s="47">
        <v>0</v>
      </c>
      <c r="B13" s="47">
        <v>1</v>
      </c>
      <c r="C13" s="47">
        <v>1</v>
      </c>
      <c r="D13" s="48" t="s">
        <v>141</v>
      </c>
      <c r="E13" s="48" t="s">
        <v>173</v>
      </c>
      <c r="F13" s="48" t="s">
        <v>344</v>
      </c>
      <c r="G13" s="48" t="s">
        <v>345</v>
      </c>
      <c r="H13" s="48" t="s">
        <v>358</v>
      </c>
      <c r="I13" s="47" t="s">
        <v>493</v>
      </c>
      <c r="J13" s="47">
        <v>10</v>
      </c>
      <c r="K13" s="49" t="s">
        <v>972</v>
      </c>
      <c r="L13" s="49" t="s">
        <v>1722</v>
      </c>
      <c r="M13" s="50" t="s">
        <v>1130</v>
      </c>
      <c r="N13" s="50" t="s">
        <v>1752</v>
      </c>
      <c r="O13" s="51"/>
      <c r="P13" s="51"/>
      <c r="R13" s="1">
        <f t="shared" si="3"/>
        <v>0</v>
      </c>
      <c r="S13" s="1">
        <f t="shared" si="4"/>
        <v>0</v>
      </c>
      <c r="T13" s="1">
        <f t="shared" si="5"/>
        <v>0</v>
      </c>
      <c r="U13" s="1">
        <f t="shared" si="6"/>
        <v>0</v>
      </c>
      <c r="V13" s="1">
        <f t="shared" si="7"/>
        <v>0</v>
      </c>
      <c r="W13" s="1">
        <f t="shared" si="8"/>
        <v>0</v>
      </c>
      <c r="X13" s="1">
        <f t="shared" si="9"/>
        <v>0</v>
      </c>
      <c r="Y13" s="1">
        <f t="shared" si="10"/>
        <v>0</v>
      </c>
      <c r="Z13" s="1">
        <f t="shared" si="11"/>
        <v>0</v>
      </c>
      <c r="AA13" s="1">
        <f t="shared" si="12"/>
        <v>1</v>
      </c>
      <c r="AC13" s="1">
        <f t="shared" si="13"/>
        <v>0</v>
      </c>
      <c r="AD13" s="1">
        <f t="shared" si="14"/>
        <v>0</v>
      </c>
      <c r="AE13" s="1">
        <f t="shared" si="15"/>
        <v>0</v>
      </c>
      <c r="AF13" s="1">
        <f t="shared" si="16"/>
        <v>0</v>
      </c>
      <c r="AG13" s="1">
        <f t="shared" si="17"/>
        <v>0</v>
      </c>
      <c r="AH13" s="1">
        <f t="shared" si="18"/>
        <v>1</v>
      </c>
    </row>
    <row r="14" spans="1:35" ht="14.25" customHeight="1" x14ac:dyDescent="0.25">
      <c r="A14" s="47">
        <v>0</v>
      </c>
      <c r="B14" s="47">
        <v>1</v>
      </c>
      <c r="C14" s="47">
        <v>1</v>
      </c>
      <c r="D14" s="48" t="s">
        <v>540</v>
      </c>
      <c r="E14" s="48" t="s">
        <v>173</v>
      </c>
      <c r="F14" s="48" t="s">
        <v>1308</v>
      </c>
      <c r="G14" s="48" t="s">
        <v>242</v>
      </c>
      <c r="H14" s="48" t="s">
        <v>358</v>
      </c>
      <c r="I14" s="47" t="s">
        <v>1375</v>
      </c>
      <c r="J14" s="47">
        <v>1</v>
      </c>
      <c r="K14" s="49" t="s">
        <v>968</v>
      </c>
      <c r="L14" s="49" t="s">
        <v>1724</v>
      </c>
      <c r="M14" s="50" t="s">
        <v>1393</v>
      </c>
      <c r="N14" s="50" t="s">
        <v>1755</v>
      </c>
      <c r="O14" s="51"/>
      <c r="P14" s="51"/>
      <c r="R14" s="1">
        <f t="shared" si="3"/>
        <v>1</v>
      </c>
      <c r="S14" s="1">
        <f t="shared" si="4"/>
        <v>0</v>
      </c>
      <c r="T14" s="1">
        <f t="shared" si="5"/>
        <v>0</v>
      </c>
      <c r="U14" s="1">
        <f t="shared" si="6"/>
        <v>0</v>
      </c>
      <c r="V14" s="1">
        <f t="shared" si="7"/>
        <v>0</v>
      </c>
      <c r="W14" s="1">
        <f t="shared" si="8"/>
        <v>0</v>
      </c>
      <c r="X14" s="1">
        <f t="shared" si="9"/>
        <v>0</v>
      </c>
      <c r="Y14" s="1">
        <f t="shared" si="10"/>
        <v>0</v>
      </c>
      <c r="Z14" s="1">
        <f t="shared" si="11"/>
        <v>0</v>
      </c>
      <c r="AA14" s="1">
        <f t="shared" si="12"/>
        <v>0</v>
      </c>
      <c r="AC14" s="1">
        <f t="shared" si="13"/>
        <v>0</v>
      </c>
      <c r="AD14" s="1">
        <f t="shared" si="14"/>
        <v>0</v>
      </c>
      <c r="AE14" s="1">
        <f t="shared" si="15"/>
        <v>0</v>
      </c>
      <c r="AF14" s="1">
        <f t="shared" si="16"/>
        <v>0</v>
      </c>
      <c r="AG14" s="1">
        <f t="shared" si="17"/>
        <v>0</v>
      </c>
      <c r="AH14" s="1">
        <f t="shared" si="18"/>
        <v>1</v>
      </c>
    </row>
    <row r="15" spans="1:35" ht="14.25" customHeight="1" x14ac:dyDescent="0.25">
      <c r="A15" s="47">
        <v>0</v>
      </c>
      <c r="B15" s="47">
        <v>1</v>
      </c>
      <c r="C15" s="47">
        <v>1</v>
      </c>
      <c r="D15" s="48" t="s">
        <v>117</v>
      </c>
      <c r="E15" s="48" t="s">
        <v>173</v>
      </c>
      <c r="F15" s="48" t="s">
        <v>318</v>
      </c>
      <c r="G15" s="48" t="s">
        <v>188</v>
      </c>
      <c r="H15" s="48" t="s">
        <v>358</v>
      </c>
      <c r="I15" s="47" t="s">
        <v>468</v>
      </c>
      <c r="J15" s="47">
        <v>1</v>
      </c>
      <c r="K15" s="49" t="s">
        <v>972</v>
      </c>
      <c r="L15" s="49" t="s">
        <v>1722</v>
      </c>
      <c r="M15" s="50" t="s">
        <v>1130</v>
      </c>
      <c r="N15" s="50" t="s">
        <v>1763</v>
      </c>
      <c r="O15" s="51"/>
      <c r="P15" s="51"/>
      <c r="R15" s="1">
        <f t="shared" si="3"/>
        <v>1</v>
      </c>
      <c r="S15" s="1">
        <f t="shared" si="4"/>
        <v>0</v>
      </c>
      <c r="T15" s="1">
        <f t="shared" si="5"/>
        <v>0</v>
      </c>
      <c r="U15" s="1">
        <f t="shared" si="6"/>
        <v>0</v>
      </c>
      <c r="V15" s="1">
        <f t="shared" si="7"/>
        <v>0</v>
      </c>
      <c r="W15" s="1">
        <f t="shared" si="8"/>
        <v>0</v>
      </c>
      <c r="X15" s="1">
        <f t="shared" si="9"/>
        <v>0</v>
      </c>
      <c r="Y15" s="1">
        <f t="shared" si="10"/>
        <v>0</v>
      </c>
      <c r="Z15" s="1">
        <f t="shared" si="11"/>
        <v>0</v>
      </c>
      <c r="AA15" s="1">
        <f t="shared" si="12"/>
        <v>0</v>
      </c>
      <c r="AC15" s="1">
        <f t="shared" si="13"/>
        <v>0</v>
      </c>
      <c r="AD15" s="1">
        <f t="shared" si="14"/>
        <v>0</v>
      </c>
      <c r="AE15" s="1">
        <f t="shared" si="15"/>
        <v>0</v>
      </c>
      <c r="AF15" s="1">
        <f t="shared" si="16"/>
        <v>0</v>
      </c>
      <c r="AG15" s="1">
        <f t="shared" si="17"/>
        <v>0</v>
      </c>
      <c r="AH15" s="1">
        <f t="shared" si="18"/>
        <v>1</v>
      </c>
    </row>
    <row r="16" spans="1:35" ht="14.25" customHeight="1" x14ac:dyDescent="0.25">
      <c r="A16" s="41">
        <v>0</v>
      </c>
      <c r="B16" s="41">
        <v>1</v>
      </c>
      <c r="C16" s="41">
        <v>1</v>
      </c>
      <c r="D16" s="42" t="s">
        <v>111</v>
      </c>
      <c r="E16" s="42" t="s">
        <v>173</v>
      </c>
      <c r="F16" s="42" t="s">
        <v>312</v>
      </c>
      <c r="G16" s="42" t="s">
        <v>215</v>
      </c>
      <c r="H16" s="42" t="s">
        <v>358</v>
      </c>
      <c r="I16" s="41" t="s">
        <v>463</v>
      </c>
      <c r="J16" s="41">
        <v>1</v>
      </c>
      <c r="K16" s="43" t="s">
        <v>1714</v>
      </c>
      <c r="L16" s="43" t="s">
        <v>39</v>
      </c>
      <c r="M16" s="44" t="s">
        <v>39</v>
      </c>
      <c r="N16" s="45"/>
      <c r="O16" s="46"/>
      <c r="P16" s="46">
        <v>1</v>
      </c>
      <c r="R16" s="1">
        <f t="shared" si="3"/>
        <v>1</v>
      </c>
      <c r="S16" s="1">
        <f t="shared" si="4"/>
        <v>0</v>
      </c>
      <c r="T16" s="1">
        <f t="shared" si="5"/>
        <v>0</v>
      </c>
      <c r="U16" s="1">
        <f t="shared" si="6"/>
        <v>0</v>
      </c>
      <c r="V16" s="1">
        <f t="shared" si="7"/>
        <v>0</v>
      </c>
      <c r="W16" s="1">
        <f t="shared" si="8"/>
        <v>0</v>
      </c>
      <c r="X16" s="1">
        <f t="shared" si="9"/>
        <v>0</v>
      </c>
      <c r="Y16" s="1">
        <f t="shared" si="10"/>
        <v>0</v>
      </c>
      <c r="Z16" s="1">
        <f t="shared" si="11"/>
        <v>0</v>
      </c>
      <c r="AA16" s="1">
        <f t="shared" si="12"/>
        <v>0</v>
      </c>
      <c r="AC16" s="1">
        <f t="shared" si="13"/>
        <v>0</v>
      </c>
      <c r="AD16" s="1">
        <f t="shared" si="14"/>
        <v>0</v>
      </c>
      <c r="AE16" s="1">
        <f t="shared" si="15"/>
        <v>0</v>
      </c>
      <c r="AF16" s="1">
        <f t="shared" si="16"/>
        <v>0</v>
      </c>
      <c r="AG16" s="1">
        <f t="shared" si="17"/>
        <v>1</v>
      </c>
      <c r="AH16" s="1">
        <f t="shared" si="18"/>
        <v>0</v>
      </c>
    </row>
    <row r="17" spans="1:34" ht="14.25" customHeight="1" x14ac:dyDescent="0.25">
      <c r="A17" s="47">
        <v>0</v>
      </c>
      <c r="B17" s="47">
        <v>1</v>
      </c>
      <c r="C17" s="47">
        <v>1</v>
      </c>
      <c r="D17" s="48" t="s">
        <v>121</v>
      </c>
      <c r="E17" s="48" t="s">
        <v>688</v>
      </c>
      <c r="F17" s="48" t="s">
        <v>1102</v>
      </c>
      <c r="G17" s="48" t="s">
        <v>39</v>
      </c>
      <c r="H17" s="48" t="s">
        <v>359</v>
      </c>
      <c r="I17" s="47" t="s">
        <v>1124</v>
      </c>
      <c r="J17" s="47">
        <v>11</v>
      </c>
      <c r="K17" s="49" t="s">
        <v>974</v>
      </c>
      <c r="L17" s="49" t="s">
        <v>1730</v>
      </c>
      <c r="M17" s="50" t="s">
        <v>1394</v>
      </c>
      <c r="N17" s="50" t="s">
        <v>1757</v>
      </c>
      <c r="O17" s="51"/>
      <c r="P17" s="51"/>
      <c r="R17" s="1">
        <f t="shared" si="3"/>
        <v>0</v>
      </c>
      <c r="S17" s="1">
        <f t="shared" si="4"/>
        <v>0</v>
      </c>
      <c r="T17" s="1">
        <f t="shared" si="5"/>
        <v>0</v>
      </c>
      <c r="U17" s="1">
        <f t="shared" si="6"/>
        <v>0</v>
      </c>
      <c r="V17" s="1">
        <f t="shared" si="7"/>
        <v>0</v>
      </c>
      <c r="W17" s="1">
        <f t="shared" si="8"/>
        <v>0</v>
      </c>
      <c r="X17" s="1">
        <f t="shared" si="9"/>
        <v>0</v>
      </c>
      <c r="Y17" s="1">
        <f t="shared" si="10"/>
        <v>0</v>
      </c>
      <c r="Z17" s="1">
        <f t="shared" si="11"/>
        <v>0</v>
      </c>
      <c r="AA17" s="1">
        <f t="shared" si="12"/>
        <v>0</v>
      </c>
      <c r="AC17" s="1">
        <f t="shared" si="13"/>
        <v>0</v>
      </c>
      <c r="AD17" s="1">
        <f t="shared" si="14"/>
        <v>0</v>
      </c>
      <c r="AE17" s="1">
        <f t="shared" si="15"/>
        <v>0</v>
      </c>
      <c r="AF17" s="1">
        <f t="shared" si="16"/>
        <v>0</v>
      </c>
      <c r="AG17" s="1">
        <f t="shared" si="17"/>
        <v>0</v>
      </c>
      <c r="AH17" s="1">
        <f t="shared" si="18"/>
        <v>1</v>
      </c>
    </row>
    <row r="18" spans="1:34" ht="14.25" customHeight="1" x14ac:dyDescent="0.25">
      <c r="A18" s="47">
        <v>0</v>
      </c>
      <c r="B18" s="47">
        <v>1</v>
      </c>
      <c r="C18" s="47">
        <v>1</v>
      </c>
      <c r="D18" s="48" t="s">
        <v>150</v>
      </c>
      <c r="E18" s="48" t="s">
        <v>173</v>
      </c>
      <c r="F18" s="48" t="s">
        <v>353</v>
      </c>
      <c r="G18" s="48" t="s">
        <v>39</v>
      </c>
      <c r="H18" s="48" t="s">
        <v>383</v>
      </c>
      <c r="I18" s="47" t="s">
        <v>501</v>
      </c>
      <c r="J18" s="47">
        <v>16</v>
      </c>
      <c r="K18" s="49" t="s">
        <v>968</v>
      </c>
      <c r="L18" s="49">
        <v>75</v>
      </c>
      <c r="M18" s="50" t="s">
        <v>1394</v>
      </c>
      <c r="N18" s="50" t="s">
        <v>1818</v>
      </c>
      <c r="O18" s="51"/>
      <c r="P18" s="51"/>
      <c r="R18" s="1">
        <f t="shared" si="3"/>
        <v>0</v>
      </c>
      <c r="S18" s="1">
        <f t="shared" si="4"/>
        <v>0</v>
      </c>
      <c r="T18" s="1">
        <f t="shared" si="5"/>
        <v>0</v>
      </c>
      <c r="U18" s="1">
        <f t="shared" si="6"/>
        <v>0</v>
      </c>
      <c r="V18" s="1">
        <f t="shared" si="7"/>
        <v>0</v>
      </c>
      <c r="W18" s="1">
        <f t="shared" si="8"/>
        <v>0</v>
      </c>
      <c r="X18" s="1">
        <f t="shared" si="9"/>
        <v>0</v>
      </c>
      <c r="Y18" s="1">
        <f t="shared" si="10"/>
        <v>0</v>
      </c>
      <c r="Z18" s="1">
        <f t="shared" si="11"/>
        <v>0</v>
      </c>
      <c r="AA18" s="1">
        <f t="shared" si="12"/>
        <v>0</v>
      </c>
      <c r="AC18" s="1">
        <f t="shared" si="13"/>
        <v>0</v>
      </c>
      <c r="AD18" s="1">
        <f t="shared" si="14"/>
        <v>0</v>
      </c>
      <c r="AE18" s="1">
        <f t="shared" si="15"/>
        <v>0</v>
      </c>
      <c r="AF18" s="1">
        <f t="shared" si="16"/>
        <v>0</v>
      </c>
      <c r="AG18" s="1">
        <f t="shared" si="17"/>
        <v>0</v>
      </c>
      <c r="AH18" s="1">
        <f t="shared" si="18"/>
        <v>1</v>
      </c>
    </row>
    <row r="19" spans="1:34" ht="14.25" customHeight="1" x14ac:dyDescent="0.25">
      <c r="A19" s="47">
        <v>0</v>
      </c>
      <c r="B19" s="47">
        <v>1</v>
      </c>
      <c r="C19" s="47">
        <v>1</v>
      </c>
      <c r="D19" s="48" t="s">
        <v>122</v>
      </c>
      <c r="E19" s="48" t="s">
        <v>173</v>
      </c>
      <c r="F19" s="48" t="s">
        <v>325</v>
      </c>
      <c r="G19" s="48" t="s">
        <v>326</v>
      </c>
      <c r="H19" s="48" t="s">
        <v>358</v>
      </c>
      <c r="I19" s="47" t="s">
        <v>473</v>
      </c>
      <c r="J19" s="47">
        <v>99</v>
      </c>
      <c r="K19" s="49" t="s">
        <v>973</v>
      </c>
      <c r="L19" s="49">
        <v>200</v>
      </c>
      <c r="M19" s="50" t="s">
        <v>39</v>
      </c>
      <c r="N19" s="50" t="s">
        <v>1825</v>
      </c>
      <c r="O19" s="51"/>
      <c r="P19" s="51"/>
      <c r="R19" s="1">
        <f t="shared" si="3"/>
        <v>0</v>
      </c>
      <c r="S19" s="1">
        <f t="shared" si="4"/>
        <v>0</v>
      </c>
      <c r="T19" s="1">
        <f t="shared" si="5"/>
        <v>0</v>
      </c>
      <c r="U19" s="1">
        <f t="shared" si="6"/>
        <v>0</v>
      </c>
      <c r="V19" s="1">
        <f t="shared" si="7"/>
        <v>0</v>
      </c>
      <c r="W19" s="1">
        <f t="shared" si="8"/>
        <v>0</v>
      </c>
      <c r="X19" s="1">
        <f t="shared" si="9"/>
        <v>0</v>
      </c>
      <c r="Y19" s="1">
        <f t="shared" si="10"/>
        <v>0</v>
      </c>
      <c r="Z19" s="1">
        <f t="shared" si="11"/>
        <v>0</v>
      </c>
      <c r="AA19" s="1">
        <f t="shared" si="12"/>
        <v>0</v>
      </c>
      <c r="AC19" s="1">
        <f t="shared" si="13"/>
        <v>0</v>
      </c>
      <c r="AD19" s="1">
        <f t="shared" si="14"/>
        <v>0</v>
      </c>
      <c r="AE19" s="1">
        <f t="shared" si="15"/>
        <v>0</v>
      </c>
      <c r="AF19" s="1">
        <f t="shared" si="16"/>
        <v>0</v>
      </c>
      <c r="AG19" s="1">
        <f t="shared" si="17"/>
        <v>0</v>
      </c>
      <c r="AH19" s="1">
        <f t="shared" si="18"/>
        <v>1</v>
      </c>
    </row>
    <row r="20" spans="1:34" ht="14.25" customHeight="1" x14ac:dyDescent="0.25">
      <c r="A20" s="41">
        <v>0</v>
      </c>
      <c r="B20" s="41">
        <v>1</v>
      </c>
      <c r="C20" s="41">
        <v>1</v>
      </c>
      <c r="D20" s="42" t="s">
        <v>102</v>
      </c>
      <c r="E20" s="42" t="s">
        <v>173</v>
      </c>
      <c r="F20" s="42" t="s">
        <v>301</v>
      </c>
      <c r="G20" s="42" t="s">
        <v>39</v>
      </c>
      <c r="H20" s="42" t="s">
        <v>360</v>
      </c>
      <c r="I20" s="41" t="s">
        <v>453</v>
      </c>
      <c r="J20" s="41">
        <v>15</v>
      </c>
      <c r="K20" s="43" t="s">
        <v>975</v>
      </c>
      <c r="L20" s="43" t="s">
        <v>39</v>
      </c>
      <c r="M20" s="44" t="s">
        <v>39</v>
      </c>
      <c r="N20" s="45"/>
      <c r="O20" s="46"/>
      <c r="P20" s="46">
        <v>1</v>
      </c>
      <c r="R20" s="1">
        <f t="shared" si="3"/>
        <v>0</v>
      </c>
      <c r="S20" s="1">
        <f t="shared" si="4"/>
        <v>0</v>
      </c>
      <c r="T20" s="1">
        <f t="shared" si="5"/>
        <v>0</v>
      </c>
      <c r="U20" s="1">
        <f t="shared" si="6"/>
        <v>0</v>
      </c>
      <c r="V20" s="1">
        <f t="shared" si="7"/>
        <v>0</v>
      </c>
      <c r="W20" s="1">
        <f t="shared" si="8"/>
        <v>0</v>
      </c>
      <c r="X20" s="1">
        <f t="shared" si="9"/>
        <v>0</v>
      </c>
      <c r="Y20" s="1">
        <f t="shared" si="10"/>
        <v>0</v>
      </c>
      <c r="Z20" s="1">
        <f t="shared" si="11"/>
        <v>0</v>
      </c>
      <c r="AA20" s="1">
        <f t="shared" si="12"/>
        <v>0</v>
      </c>
      <c r="AC20" s="1">
        <f t="shared" si="13"/>
        <v>0</v>
      </c>
      <c r="AD20" s="1">
        <f t="shared" si="14"/>
        <v>0</v>
      </c>
      <c r="AE20" s="1">
        <f t="shared" si="15"/>
        <v>0</v>
      </c>
      <c r="AF20" s="1">
        <f t="shared" si="16"/>
        <v>0</v>
      </c>
      <c r="AG20" s="1">
        <f t="shared" si="17"/>
        <v>1</v>
      </c>
      <c r="AH20" s="1">
        <f t="shared" si="18"/>
        <v>0</v>
      </c>
    </row>
    <row r="21" spans="1:34" ht="14.25" customHeight="1" x14ac:dyDescent="0.25">
      <c r="A21" s="41">
        <v>0</v>
      </c>
      <c r="B21" s="41">
        <v>1</v>
      </c>
      <c r="C21" s="41">
        <v>1</v>
      </c>
      <c r="D21" s="42" t="s">
        <v>904</v>
      </c>
      <c r="E21" s="42" t="s">
        <v>172</v>
      </c>
      <c r="F21" s="42" t="s">
        <v>297</v>
      </c>
      <c r="G21" s="42" t="s">
        <v>39</v>
      </c>
      <c r="H21" s="42" t="s">
        <v>359</v>
      </c>
      <c r="I21" s="41" t="s">
        <v>449</v>
      </c>
      <c r="J21" s="41">
        <v>11</v>
      </c>
      <c r="K21" s="43" t="s">
        <v>968</v>
      </c>
      <c r="L21" s="43" t="s">
        <v>39</v>
      </c>
      <c r="M21" s="44" t="s">
        <v>39</v>
      </c>
      <c r="N21" s="45"/>
      <c r="O21" s="46"/>
      <c r="P21" s="46">
        <v>1</v>
      </c>
      <c r="R21" s="1">
        <f t="shared" si="3"/>
        <v>0</v>
      </c>
      <c r="S21" s="1">
        <f t="shared" si="4"/>
        <v>0</v>
      </c>
      <c r="T21" s="1">
        <f t="shared" si="5"/>
        <v>0</v>
      </c>
      <c r="U21" s="1">
        <f t="shared" si="6"/>
        <v>0</v>
      </c>
      <c r="V21" s="1">
        <f t="shared" si="7"/>
        <v>0</v>
      </c>
      <c r="W21" s="1">
        <f t="shared" si="8"/>
        <v>0</v>
      </c>
      <c r="X21" s="1">
        <f t="shared" si="9"/>
        <v>0</v>
      </c>
      <c r="Y21" s="1">
        <f t="shared" si="10"/>
        <v>0</v>
      </c>
      <c r="Z21" s="1">
        <f t="shared" si="11"/>
        <v>0</v>
      </c>
      <c r="AA21" s="1">
        <f t="shared" si="12"/>
        <v>0</v>
      </c>
      <c r="AC21" s="1">
        <f t="shared" si="13"/>
        <v>0</v>
      </c>
      <c r="AD21" s="1">
        <f t="shared" si="14"/>
        <v>0</v>
      </c>
      <c r="AE21" s="1">
        <f t="shared" si="15"/>
        <v>0</v>
      </c>
      <c r="AF21" s="1">
        <f t="shared" si="16"/>
        <v>0</v>
      </c>
      <c r="AG21" s="1">
        <f t="shared" si="17"/>
        <v>1</v>
      </c>
      <c r="AH21" s="1">
        <f t="shared" si="18"/>
        <v>0</v>
      </c>
    </row>
    <row r="22" spans="1:34" ht="14.25" customHeight="1" x14ac:dyDescent="0.25">
      <c r="A22" s="41">
        <v>0</v>
      </c>
      <c r="B22" s="41">
        <v>1</v>
      </c>
      <c r="C22" s="41">
        <v>1</v>
      </c>
      <c r="D22" s="42" t="s">
        <v>119</v>
      </c>
      <c r="E22" s="42" t="s">
        <v>173</v>
      </c>
      <c r="F22" s="42" t="s">
        <v>321</v>
      </c>
      <c r="G22" s="42" t="s">
        <v>39</v>
      </c>
      <c r="H22" s="42" t="s">
        <v>372</v>
      </c>
      <c r="I22" s="41" t="s">
        <v>470</v>
      </c>
      <c r="J22" s="41">
        <v>18</v>
      </c>
      <c r="K22" s="43" t="s">
        <v>975</v>
      </c>
      <c r="L22" s="43" t="s">
        <v>39</v>
      </c>
      <c r="M22" s="44" t="s">
        <v>39</v>
      </c>
      <c r="N22" s="45"/>
      <c r="O22" s="46"/>
      <c r="P22" s="46">
        <v>1</v>
      </c>
      <c r="R22" s="1">
        <f t="shared" si="3"/>
        <v>0</v>
      </c>
      <c r="S22" s="1">
        <f t="shared" si="4"/>
        <v>0</v>
      </c>
      <c r="T22" s="1">
        <f t="shared" si="5"/>
        <v>0</v>
      </c>
      <c r="U22" s="1">
        <f t="shared" si="6"/>
        <v>0</v>
      </c>
      <c r="V22" s="1">
        <f t="shared" si="7"/>
        <v>0</v>
      </c>
      <c r="W22" s="1">
        <f t="shared" si="8"/>
        <v>0</v>
      </c>
      <c r="X22" s="1">
        <f t="shared" si="9"/>
        <v>0</v>
      </c>
      <c r="Y22" s="1">
        <f t="shared" si="10"/>
        <v>0</v>
      </c>
      <c r="Z22" s="1">
        <f t="shared" si="11"/>
        <v>0</v>
      </c>
      <c r="AA22" s="1">
        <f t="shared" si="12"/>
        <v>0</v>
      </c>
      <c r="AC22" s="1">
        <f t="shared" si="13"/>
        <v>0</v>
      </c>
      <c r="AD22" s="1">
        <f t="shared" si="14"/>
        <v>0</v>
      </c>
      <c r="AE22" s="1">
        <f t="shared" si="15"/>
        <v>0</v>
      </c>
      <c r="AF22" s="1">
        <f t="shared" si="16"/>
        <v>0</v>
      </c>
      <c r="AG22" s="1">
        <f t="shared" si="17"/>
        <v>1</v>
      </c>
      <c r="AH22" s="1">
        <f t="shared" si="18"/>
        <v>0</v>
      </c>
    </row>
    <row r="23" spans="1:34" ht="14.25" customHeight="1" x14ac:dyDescent="0.25">
      <c r="A23" s="34">
        <v>0</v>
      </c>
      <c r="B23" s="34">
        <v>1</v>
      </c>
      <c r="C23" s="34">
        <v>1</v>
      </c>
      <c r="D23" s="35" t="s">
        <v>139</v>
      </c>
      <c r="E23" s="35" t="s">
        <v>689</v>
      </c>
      <c r="F23" s="35" t="s">
        <v>343</v>
      </c>
      <c r="G23" s="35" t="s">
        <v>1180</v>
      </c>
      <c r="H23" s="35" t="s">
        <v>358</v>
      </c>
      <c r="I23" s="34" t="s">
        <v>491</v>
      </c>
      <c r="J23" s="34">
        <v>1</v>
      </c>
      <c r="K23" s="36" t="s">
        <v>968</v>
      </c>
      <c r="L23" s="36" t="s">
        <v>1722</v>
      </c>
      <c r="M23" s="37" t="s">
        <v>1130</v>
      </c>
      <c r="N23" s="37" t="s">
        <v>1759</v>
      </c>
      <c r="O23" s="38">
        <v>1</v>
      </c>
      <c r="P23" s="38"/>
      <c r="R23" s="1">
        <f t="shared" si="3"/>
        <v>1</v>
      </c>
      <c r="S23" s="1">
        <f t="shared" si="4"/>
        <v>0</v>
      </c>
      <c r="T23" s="1">
        <f t="shared" si="5"/>
        <v>0</v>
      </c>
      <c r="U23" s="1">
        <f t="shared" si="6"/>
        <v>0</v>
      </c>
      <c r="V23" s="1">
        <f t="shared" si="7"/>
        <v>0</v>
      </c>
      <c r="W23" s="1">
        <f t="shared" si="8"/>
        <v>0</v>
      </c>
      <c r="X23" s="1">
        <f t="shared" si="9"/>
        <v>0</v>
      </c>
      <c r="Y23" s="1">
        <f t="shared" si="10"/>
        <v>0</v>
      </c>
      <c r="Z23" s="1">
        <f t="shared" si="11"/>
        <v>0</v>
      </c>
      <c r="AA23" s="1">
        <f t="shared" si="12"/>
        <v>0</v>
      </c>
      <c r="AC23" s="1">
        <f t="shared" si="13"/>
        <v>0</v>
      </c>
      <c r="AD23" s="1">
        <f t="shared" si="14"/>
        <v>1</v>
      </c>
      <c r="AE23" s="1">
        <f t="shared" si="15"/>
        <v>0</v>
      </c>
      <c r="AF23" s="1">
        <f t="shared" si="16"/>
        <v>1</v>
      </c>
      <c r="AG23" s="1">
        <f t="shared" si="17"/>
        <v>0</v>
      </c>
      <c r="AH23" s="1">
        <f t="shared" si="18"/>
        <v>1</v>
      </c>
    </row>
    <row r="24" spans="1:34" ht="14.25" customHeight="1" x14ac:dyDescent="0.25">
      <c r="A24" s="41">
        <v>0</v>
      </c>
      <c r="B24" s="41">
        <v>1</v>
      </c>
      <c r="C24" s="41">
        <v>1</v>
      </c>
      <c r="D24" s="42" t="s">
        <v>1604</v>
      </c>
      <c r="E24" s="42" t="s">
        <v>173</v>
      </c>
      <c r="F24" s="42" t="s">
        <v>1605</v>
      </c>
      <c r="G24" s="42" t="s">
        <v>215</v>
      </c>
      <c r="H24" s="42" t="s">
        <v>358</v>
      </c>
      <c r="I24" s="41" t="s">
        <v>1606</v>
      </c>
      <c r="J24" s="41">
        <v>1</v>
      </c>
      <c r="K24" s="43" t="s">
        <v>974</v>
      </c>
      <c r="L24" s="43" t="s">
        <v>39</v>
      </c>
      <c r="M24" s="44" t="s">
        <v>39</v>
      </c>
      <c r="N24" s="45"/>
      <c r="O24" s="46"/>
      <c r="P24" s="46">
        <v>1</v>
      </c>
      <c r="R24" s="1">
        <f t="shared" si="3"/>
        <v>1</v>
      </c>
      <c r="S24" s="1">
        <f t="shared" si="4"/>
        <v>0</v>
      </c>
      <c r="T24" s="1">
        <f t="shared" si="5"/>
        <v>0</v>
      </c>
      <c r="U24" s="1">
        <f t="shared" si="6"/>
        <v>0</v>
      </c>
      <c r="V24" s="1">
        <f t="shared" si="7"/>
        <v>0</v>
      </c>
      <c r="W24" s="1">
        <f t="shared" si="8"/>
        <v>0</v>
      </c>
      <c r="X24" s="1">
        <f t="shared" si="9"/>
        <v>0</v>
      </c>
      <c r="Y24" s="1">
        <f t="shared" si="10"/>
        <v>0</v>
      </c>
      <c r="Z24" s="1">
        <f t="shared" si="11"/>
        <v>0</v>
      </c>
      <c r="AA24" s="1">
        <f t="shared" si="12"/>
        <v>0</v>
      </c>
      <c r="AC24" s="1">
        <f t="shared" si="13"/>
        <v>0</v>
      </c>
      <c r="AD24" s="1">
        <f t="shared" si="14"/>
        <v>0</v>
      </c>
      <c r="AE24" s="1">
        <f t="shared" si="15"/>
        <v>0</v>
      </c>
      <c r="AF24" s="1">
        <f t="shared" si="16"/>
        <v>0</v>
      </c>
      <c r="AG24" s="1">
        <f t="shared" si="17"/>
        <v>1</v>
      </c>
      <c r="AH24" s="1">
        <f t="shared" si="18"/>
        <v>0</v>
      </c>
    </row>
    <row r="25" spans="1:34" ht="14.25" customHeight="1" x14ac:dyDescent="0.25">
      <c r="A25" s="34">
        <v>0</v>
      </c>
      <c r="B25" s="34">
        <v>1</v>
      </c>
      <c r="C25" s="34">
        <v>1</v>
      </c>
      <c r="D25" s="35" t="s">
        <v>1062</v>
      </c>
      <c r="E25" s="35" t="s">
        <v>173</v>
      </c>
      <c r="F25" s="35" t="s">
        <v>1106</v>
      </c>
      <c r="G25" s="35" t="s">
        <v>1046</v>
      </c>
      <c r="H25" s="35" t="s">
        <v>358</v>
      </c>
      <c r="I25" s="34" t="s">
        <v>1063</v>
      </c>
      <c r="J25" s="34">
        <v>99</v>
      </c>
      <c r="K25" s="36" t="s">
        <v>741</v>
      </c>
      <c r="L25" s="36">
        <v>150</v>
      </c>
      <c r="M25" s="37" t="s">
        <v>39</v>
      </c>
      <c r="N25" s="37" t="s">
        <v>1765</v>
      </c>
      <c r="O25" s="38">
        <v>1</v>
      </c>
      <c r="P25" s="38"/>
      <c r="R25" s="1">
        <f t="shared" si="3"/>
        <v>0</v>
      </c>
      <c r="S25" s="1">
        <f t="shared" si="4"/>
        <v>0</v>
      </c>
      <c r="T25" s="1">
        <f t="shared" si="5"/>
        <v>0</v>
      </c>
      <c r="U25" s="1">
        <f t="shared" si="6"/>
        <v>0</v>
      </c>
      <c r="V25" s="1">
        <f t="shared" si="7"/>
        <v>0</v>
      </c>
      <c r="W25" s="1">
        <f t="shared" si="8"/>
        <v>0</v>
      </c>
      <c r="X25" s="1">
        <f t="shared" si="9"/>
        <v>0</v>
      </c>
      <c r="Y25" s="1">
        <f t="shared" si="10"/>
        <v>0</v>
      </c>
      <c r="Z25" s="1">
        <f t="shared" si="11"/>
        <v>0</v>
      </c>
      <c r="AA25" s="1">
        <f t="shared" si="12"/>
        <v>0</v>
      </c>
      <c r="AC25" s="1">
        <f t="shared" si="13"/>
        <v>0</v>
      </c>
      <c r="AD25" s="1">
        <f t="shared" si="14"/>
        <v>1</v>
      </c>
      <c r="AE25" s="1">
        <f t="shared" si="15"/>
        <v>0</v>
      </c>
      <c r="AF25" s="1">
        <f t="shared" si="16"/>
        <v>1</v>
      </c>
      <c r="AG25" s="1">
        <f t="shared" si="17"/>
        <v>0</v>
      </c>
      <c r="AH25" s="1">
        <f t="shared" si="18"/>
        <v>1</v>
      </c>
    </row>
    <row r="26" spans="1:34" ht="14.25" customHeight="1" x14ac:dyDescent="0.25">
      <c r="A26" s="41">
        <v>0</v>
      </c>
      <c r="B26" s="41">
        <v>1</v>
      </c>
      <c r="C26" s="41">
        <v>1</v>
      </c>
      <c r="D26" s="42" t="s">
        <v>113</v>
      </c>
      <c r="E26" s="42" t="s">
        <v>172</v>
      </c>
      <c r="F26" s="42" t="s">
        <v>314</v>
      </c>
      <c r="G26" s="42" t="s">
        <v>39</v>
      </c>
      <c r="H26" s="42" t="s">
        <v>359</v>
      </c>
      <c r="I26" s="41" t="s">
        <v>465</v>
      </c>
      <c r="J26" s="41">
        <v>11</v>
      </c>
      <c r="K26" s="43" t="s">
        <v>741</v>
      </c>
      <c r="L26" s="43" t="s">
        <v>39</v>
      </c>
      <c r="M26" s="44" t="s">
        <v>39</v>
      </c>
      <c r="N26" s="45"/>
      <c r="O26" s="46"/>
      <c r="P26" s="46">
        <v>1</v>
      </c>
      <c r="R26" s="1">
        <f t="shared" si="3"/>
        <v>0</v>
      </c>
      <c r="S26" s="1">
        <f t="shared" si="4"/>
        <v>0</v>
      </c>
      <c r="T26" s="1">
        <f t="shared" si="5"/>
        <v>0</v>
      </c>
      <c r="U26" s="1">
        <f t="shared" si="6"/>
        <v>0</v>
      </c>
      <c r="V26" s="1">
        <f t="shared" si="7"/>
        <v>0</v>
      </c>
      <c r="W26" s="1">
        <f t="shared" si="8"/>
        <v>0</v>
      </c>
      <c r="X26" s="1">
        <f t="shared" si="9"/>
        <v>0</v>
      </c>
      <c r="Y26" s="1">
        <f t="shared" si="10"/>
        <v>0</v>
      </c>
      <c r="Z26" s="1">
        <f t="shared" si="11"/>
        <v>0</v>
      </c>
      <c r="AA26" s="1">
        <f t="shared" si="12"/>
        <v>0</v>
      </c>
      <c r="AC26" s="1">
        <f t="shared" si="13"/>
        <v>0</v>
      </c>
      <c r="AD26" s="1">
        <f t="shared" si="14"/>
        <v>0</v>
      </c>
      <c r="AE26" s="1">
        <f t="shared" si="15"/>
        <v>0</v>
      </c>
      <c r="AF26" s="1">
        <f t="shared" si="16"/>
        <v>0</v>
      </c>
      <c r="AG26" s="1">
        <f t="shared" si="17"/>
        <v>1</v>
      </c>
      <c r="AH26" s="1">
        <f t="shared" si="18"/>
        <v>0</v>
      </c>
    </row>
    <row r="27" spans="1:34" ht="14.25" customHeight="1" x14ac:dyDescent="0.25">
      <c r="A27" s="47">
        <v>0</v>
      </c>
      <c r="B27" s="47">
        <v>1</v>
      </c>
      <c r="C27" s="47">
        <v>1</v>
      </c>
      <c r="D27" s="48" t="s">
        <v>104</v>
      </c>
      <c r="E27" s="48" t="s">
        <v>173</v>
      </c>
      <c r="F27" s="48" t="s">
        <v>304</v>
      </c>
      <c r="G27" s="48" t="s">
        <v>305</v>
      </c>
      <c r="H27" s="48" t="s">
        <v>358</v>
      </c>
      <c r="I27" s="47" t="s">
        <v>455</v>
      </c>
      <c r="J27" s="47">
        <v>1</v>
      </c>
      <c r="K27" s="49" t="s">
        <v>972</v>
      </c>
      <c r="L27" s="49" t="s">
        <v>1731</v>
      </c>
      <c r="M27" s="50" t="s">
        <v>1395</v>
      </c>
      <c r="N27" s="50" t="s">
        <v>1752</v>
      </c>
      <c r="O27" s="51"/>
      <c r="P27" s="51"/>
      <c r="R27" s="1">
        <f t="shared" si="3"/>
        <v>1</v>
      </c>
      <c r="S27" s="1">
        <f t="shared" si="4"/>
        <v>0</v>
      </c>
      <c r="T27" s="1">
        <f t="shared" si="5"/>
        <v>0</v>
      </c>
      <c r="U27" s="1">
        <f t="shared" si="6"/>
        <v>0</v>
      </c>
      <c r="V27" s="1">
        <f t="shared" si="7"/>
        <v>0</v>
      </c>
      <c r="W27" s="1">
        <f t="shared" si="8"/>
        <v>0</v>
      </c>
      <c r="X27" s="1">
        <f t="shared" si="9"/>
        <v>0</v>
      </c>
      <c r="Y27" s="1">
        <f t="shared" si="10"/>
        <v>0</v>
      </c>
      <c r="Z27" s="1">
        <f t="shared" si="11"/>
        <v>0</v>
      </c>
      <c r="AA27" s="1">
        <f t="shared" si="12"/>
        <v>0</v>
      </c>
      <c r="AC27" s="1">
        <f t="shared" si="13"/>
        <v>0</v>
      </c>
      <c r="AD27" s="1">
        <f t="shared" si="14"/>
        <v>0</v>
      </c>
      <c r="AE27" s="1">
        <f t="shared" si="15"/>
        <v>0</v>
      </c>
      <c r="AF27" s="1">
        <f t="shared" si="16"/>
        <v>0</v>
      </c>
      <c r="AG27" s="1">
        <f t="shared" si="17"/>
        <v>0</v>
      </c>
      <c r="AH27" s="1">
        <f t="shared" si="18"/>
        <v>1</v>
      </c>
    </row>
    <row r="28" spans="1:34" ht="14.25" customHeight="1" x14ac:dyDescent="0.25">
      <c r="A28" s="34">
        <v>0</v>
      </c>
      <c r="B28" s="34">
        <v>1</v>
      </c>
      <c r="C28" s="34">
        <v>1</v>
      </c>
      <c r="D28" s="35" t="s">
        <v>115</v>
      </c>
      <c r="E28" s="35" t="s">
        <v>173</v>
      </c>
      <c r="F28" s="35" t="s">
        <v>316</v>
      </c>
      <c r="G28" s="35" t="s">
        <v>317</v>
      </c>
      <c r="H28" s="35" t="s">
        <v>358</v>
      </c>
      <c r="I28" s="34" t="s">
        <v>467</v>
      </c>
      <c r="J28" s="34">
        <v>1</v>
      </c>
      <c r="K28" s="36" t="s">
        <v>975</v>
      </c>
      <c r="L28" s="36" t="s">
        <v>39</v>
      </c>
      <c r="M28" s="37" t="s">
        <v>39</v>
      </c>
      <c r="N28" s="37" t="s">
        <v>1749</v>
      </c>
      <c r="O28" s="38">
        <v>1</v>
      </c>
      <c r="P28" s="38">
        <v>1</v>
      </c>
      <c r="R28" s="1">
        <f t="shared" si="3"/>
        <v>1</v>
      </c>
      <c r="S28" s="1">
        <f t="shared" si="4"/>
        <v>0</v>
      </c>
      <c r="T28" s="1">
        <f t="shared" si="5"/>
        <v>0</v>
      </c>
      <c r="U28" s="1">
        <f t="shared" si="6"/>
        <v>0</v>
      </c>
      <c r="V28" s="1">
        <f t="shared" si="7"/>
        <v>0</v>
      </c>
      <c r="W28" s="1">
        <f t="shared" si="8"/>
        <v>0</v>
      </c>
      <c r="X28" s="1">
        <f t="shared" si="9"/>
        <v>0</v>
      </c>
      <c r="Y28" s="1">
        <f t="shared" si="10"/>
        <v>0</v>
      </c>
      <c r="Z28" s="1">
        <f t="shared" si="11"/>
        <v>0</v>
      </c>
      <c r="AA28" s="1">
        <f t="shared" si="12"/>
        <v>0</v>
      </c>
      <c r="AC28" s="1">
        <f t="shared" si="13"/>
        <v>1</v>
      </c>
      <c r="AD28" s="1">
        <f t="shared" si="14"/>
        <v>0</v>
      </c>
      <c r="AE28" s="1">
        <f t="shared" si="15"/>
        <v>1</v>
      </c>
      <c r="AF28" s="1">
        <f t="shared" si="16"/>
        <v>0</v>
      </c>
      <c r="AG28" s="1">
        <f t="shared" si="17"/>
        <v>1</v>
      </c>
      <c r="AH28" s="1">
        <f t="shared" si="18"/>
        <v>0</v>
      </c>
    </row>
    <row r="29" spans="1:34" ht="14.25" customHeight="1" x14ac:dyDescent="0.25">
      <c r="A29" s="34">
        <v>0</v>
      </c>
      <c r="B29" s="34">
        <v>1</v>
      </c>
      <c r="C29" s="34">
        <v>1</v>
      </c>
      <c r="D29" s="35" t="s">
        <v>864</v>
      </c>
      <c r="E29" s="35" t="s">
        <v>173</v>
      </c>
      <c r="F29" s="35" t="s">
        <v>865</v>
      </c>
      <c r="G29" s="35" t="s">
        <v>222</v>
      </c>
      <c r="H29" s="35" t="s">
        <v>358</v>
      </c>
      <c r="I29" s="34" t="s">
        <v>866</v>
      </c>
      <c r="J29" s="34">
        <v>8</v>
      </c>
      <c r="K29" s="36" t="s">
        <v>972</v>
      </c>
      <c r="L29" s="36" t="s">
        <v>1726</v>
      </c>
      <c r="M29" s="37" t="s">
        <v>1576</v>
      </c>
      <c r="N29" s="37" t="s">
        <v>1772</v>
      </c>
      <c r="O29" s="38">
        <v>1</v>
      </c>
      <c r="P29" s="38"/>
      <c r="R29" s="1">
        <f t="shared" si="3"/>
        <v>0</v>
      </c>
      <c r="S29" s="1">
        <f t="shared" si="4"/>
        <v>0</v>
      </c>
      <c r="T29" s="1">
        <f t="shared" si="5"/>
        <v>0</v>
      </c>
      <c r="U29" s="1">
        <f t="shared" si="6"/>
        <v>0</v>
      </c>
      <c r="V29" s="1">
        <f t="shared" si="7"/>
        <v>0</v>
      </c>
      <c r="W29" s="1">
        <f t="shared" si="8"/>
        <v>0</v>
      </c>
      <c r="X29" s="1">
        <f t="shared" si="9"/>
        <v>0</v>
      </c>
      <c r="Y29" s="1">
        <f t="shared" si="10"/>
        <v>1</v>
      </c>
      <c r="Z29" s="1">
        <f t="shared" si="11"/>
        <v>0</v>
      </c>
      <c r="AA29" s="1">
        <f t="shared" si="12"/>
        <v>0</v>
      </c>
      <c r="AC29" s="1">
        <f t="shared" si="13"/>
        <v>0</v>
      </c>
      <c r="AD29" s="1">
        <f t="shared" si="14"/>
        <v>1</v>
      </c>
      <c r="AE29" s="1">
        <f t="shared" si="15"/>
        <v>0</v>
      </c>
      <c r="AF29" s="1">
        <f t="shared" si="16"/>
        <v>1</v>
      </c>
      <c r="AG29" s="1">
        <f t="shared" si="17"/>
        <v>0</v>
      </c>
      <c r="AH29" s="1">
        <f t="shared" si="18"/>
        <v>1</v>
      </c>
    </row>
    <row r="30" spans="1:34" ht="14.25" customHeight="1" x14ac:dyDescent="0.25">
      <c r="A30" s="41">
        <v>0</v>
      </c>
      <c r="B30" s="41">
        <v>1</v>
      </c>
      <c r="C30" s="41">
        <v>1</v>
      </c>
      <c r="D30" s="42" t="s">
        <v>134</v>
      </c>
      <c r="E30" s="42" t="s">
        <v>173</v>
      </c>
      <c r="F30" s="42" t="s">
        <v>338</v>
      </c>
      <c r="G30" s="42" t="s">
        <v>39</v>
      </c>
      <c r="H30" s="42" t="s">
        <v>361</v>
      </c>
      <c r="I30" s="41" t="s">
        <v>487</v>
      </c>
      <c r="J30" s="41">
        <v>18</v>
      </c>
      <c r="K30" s="43" t="s">
        <v>968</v>
      </c>
      <c r="L30" s="43" t="s">
        <v>39</v>
      </c>
      <c r="M30" s="44" t="s">
        <v>39</v>
      </c>
      <c r="N30" s="45"/>
      <c r="O30" s="46"/>
      <c r="P30" s="46">
        <v>1</v>
      </c>
      <c r="R30" s="1">
        <f t="shared" si="3"/>
        <v>0</v>
      </c>
      <c r="S30" s="1">
        <f t="shared" si="4"/>
        <v>0</v>
      </c>
      <c r="T30" s="1">
        <f t="shared" si="5"/>
        <v>0</v>
      </c>
      <c r="U30" s="1">
        <f t="shared" si="6"/>
        <v>0</v>
      </c>
      <c r="V30" s="1">
        <f t="shared" si="7"/>
        <v>0</v>
      </c>
      <c r="W30" s="1">
        <f t="shared" si="8"/>
        <v>0</v>
      </c>
      <c r="X30" s="1">
        <f t="shared" si="9"/>
        <v>0</v>
      </c>
      <c r="Y30" s="1">
        <f t="shared" si="10"/>
        <v>0</v>
      </c>
      <c r="Z30" s="1">
        <f t="shared" si="11"/>
        <v>0</v>
      </c>
      <c r="AA30" s="1">
        <f t="shared" si="12"/>
        <v>0</v>
      </c>
      <c r="AC30" s="1">
        <f t="shared" si="13"/>
        <v>0</v>
      </c>
      <c r="AD30" s="1">
        <f t="shared" si="14"/>
        <v>0</v>
      </c>
      <c r="AE30" s="1">
        <f t="shared" si="15"/>
        <v>0</v>
      </c>
      <c r="AF30" s="1">
        <f t="shared" si="16"/>
        <v>0</v>
      </c>
      <c r="AG30" s="1">
        <f t="shared" si="17"/>
        <v>1</v>
      </c>
      <c r="AH30" s="1">
        <f t="shared" si="18"/>
        <v>0</v>
      </c>
    </row>
    <row r="31" spans="1:34" ht="14.25" customHeight="1" x14ac:dyDescent="0.25">
      <c r="A31" s="47">
        <v>0</v>
      </c>
      <c r="B31" s="47">
        <v>1</v>
      </c>
      <c r="C31" s="47">
        <v>1</v>
      </c>
      <c r="D31" s="48" t="s">
        <v>145</v>
      </c>
      <c r="E31" s="48" t="s">
        <v>176</v>
      </c>
      <c r="F31" s="48" t="s">
        <v>350</v>
      </c>
      <c r="G31" s="48" t="s">
        <v>39</v>
      </c>
      <c r="H31" s="48" t="s">
        <v>371</v>
      </c>
      <c r="I31" s="47" t="s">
        <v>497</v>
      </c>
      <c r="J31" s="47">
        <v>18</v>
      </c>
      <c r="K31" s="49" t="s">
        <v>972</v>
      </c>
      <c r="L31" s="49">
        <v>70</v>
      </c>
      <c r="M31" s="50" t="s">
        <v>1396</v>
      </c>
      <c r="N31" s="50" t="s">
        <v>1750</v>
      </c>
      <c r="O31" s="51"/>
      <c r="P31" s="51"/>
      <c r="R31" s="1">
        <f t="shared" si="3"/>
        <v>0</v>
      </c>
      <c r="S31" s="1">
        <f t="shared" si="4"/>
        <v>0</v>
      </c>
      <c r="T31" s="1">
        <f t="shared" si="5"/>
        <v>0</v>
      </c>
      <c r="U31" s="1">
        <f t="shared" si="6"/>
        <v>0</v>
      </c>
      <c r="V31" s="1">
        <f t="shared" si="7"/>
        <v>0</v>
      </c>
      <c r="W31" s="1">
        <f t="shared" si="8"/>
        <v>0</v>
      </c>
      <c r="X31" s="1">
        <f t="shared" si="9"/>
        <v>0</v>
      </c>
      <c r="Y31" s="1">
        <f t="shared" si="10"/>
        <v>0</v>
      </c>
      <c r="Z31" s="1">
        <f t="shared" si="11"/>
        <v>0</v>
      </c>
      <c r="AA31" s="1">
        <f t="shared" si="12"/>
        <v>0</v>
      </c>
      <c r="AC31" s="1">
        <f t="shared" si="13"/>
        <v>0</v>
      </c>
      <c r="AD31" s="1">
        <f t="shared" si="14"/>
        <v>0</v>
      </c>
      <c r="AE31" s="1">
        <f t="shared" si="15"/>
        <v>0</v>
      </c>
      <c r="AF31" s="1">
        <f t="shared" si="16"/>
        <v>0</v>
      </c>
      <c r="AG31" s="1">
        <f t="shared" si="17"/>
        <v>0</v>
      </c>
      <c r="AH31" s="1">
        <f t="shared" si="18"/>
        <v>1</v>
      </c>
    </row>
    <row r="32" spans="1:34" ht="14.25" customHeight="1" x14ac:dyDescent="0.25">
      <c r="A32" s="47">
        <v>0</v>
      </c>
      <c r="B32" s="47">
        <v>1</v>
      </c>
      <c r="C32" s="47">
        <v>1</v>
      </c>
      <c r="D32" s="48" t="s">
        <v>154</v>
      </c>
      <c r="E32" s="48" t="s">
        <v>173</v>
      </c>
      <c r="F32" s="48" t="s">
        <v>356</v>
      </c>
      <c r="G32" s="48" t="s">
        <v>196</v>
      </c>
      <c r="H32" s="48" t="s">
        <v>358</v>
      </c>
      <c r="I32" s="47" t="s">
        <v>505</v>
      </c>
      <c r="J32" s="47">
        <v>9</v>
      </c>
      <c r="K32" s="49" t="s">
        <v>968</v>
      </c>
      <c r="L32" s="49" t="s">
        <v>1722</v>
      </c>
      <c r="M32" s="50" t="s">
        <v>1397</v>
      </c>
      <c r="N32" s="50" t="s">
        <v>1753</v>
      </c>
      <c r="O32" s="51"/>
      <c r="P32" s="51"/>
      <c r="R32" s="1">
        <f t="shared" si="3"/>
        <v>0</v>
      </c>
      <c r="S32" s="1">
        <f t="shared" si="4"/>
        <v>0</v>
      </c>
      <c r="T32" s="1">
        <f t="shared" si="5"/>
        <v>0</v>
      </c>
      <c r="U32" s="1">
        <f t="shared" si="6"/>
        <v>0</v>
      </c>
      <c r="V32" s="1">
        <f t="shared" si="7"/>
        <v>0</v>
      </c>
      <c r="W32" s="1">
        <f t="shared" si="8"/>
        <v>0</v>
      </c>
      <c r="X32" s="1">
        <f t="shared" si="9"/>
        <v>0</v>
      </c>
      <c r="Y32" s="1">
        <f t="shared" si="10"/>
        <v>0</v>
      </c>
      <c r="Z32" s="1">
        <f t="shared" si="11"/>
        <v>1</v>
      </c>
      <c r="AA32" s="1">
        <f t="shared" si="12"/>
        <v>0</v>
      </c>
      <c r="AC32" s="1">
        <f t="shared" si="13"/>
        <v>0</v>
      </c>
      <c r="AD32" s="1">
        <f t="shared" si="14"/>
        <v>0</v>
      </c>
      <c r="AE32" s="1">
        <f t="shared" si="15"/>
        <v>0</v>
      </c>
      <c r="AF32" s="1">
        <f t="shared" si="16"/>
        <v>0</v>
      </c>
      <c r="AG32" s="1">
        <f t="shared" si="17"/>
        <v>0</v>
      </c>
      <c r="AH32" s="1">
        <f t="shared" si="18"/>
        <v>1</v>
      </c>
    </row>
    <row r="33" spans="1:34" ht="14.25" customHeight="1" x14ac:dyDescent="0.25">
      <c r="A33" s="34">
        <v>0</v>
      </c>
      <c r="B33" s="34">
        <v>1</v>
      </c>
      <c r="C33" s="34">
        <v>2</v>
      </c>
      <c r="D33" s="39" t="s">
        <v>148</v>
      </c>
      <c r="E33" s="39" t="s">
        <v>178</v>
      </c>
      <c r="F33" s="39" t="s">
        <v>661</v>
      </c>
      <c r="G33" s="39" t="s">
        <v>260</v>
      </c>
      <c r="H33" s="39" t="s">
        <v>358</v>
      </c>
      <c r="I33" s="40" t="s">
        <v>499</v>
      </c>
      <c r="J33" s="34">
        <v>8</v>
      </c>
      <c r="K33" s="36" t="s">
        <v>964</v>
      </c>
      <c r="L33" s="36" t="s">
        <v>694</v>
      </c>
      <c r="M33" s="37" t="s">
        <v>696</v>
      </c>
      <c r="N33" s="37" t="s">
        <v>1743</v>
      </c>
      <c r="O33" s="38">
        <v>1</v>
      </c>
      <c r="P33" s="38">
        <v>1</v>
      </c>
      <c r="R33" s="1">
        <f t="shared" si="3"/>
        <v>0</v>
      </c>
      <c r="S33" s="1">
        <f t="shared" si="4"/>
        <v>0</v>
      </c>
      <c r="T33" s="1">
        <f t="shared" si="5"/>
        <v>0</v>
      </c>
      <c r="U33" s="1">
        <f t="shared" si="6"/>
        <v>0</v>
      </c>
      <c r="V33" s="1">
        <f t="shared" si="7"/>
        <v>0</v>
      </c>
      <c r="W33" s="1">
        <f t="shared" si="8"/>
        <v>0</v>
      </c>
      <c r="X33" s="1">
        <f t="shared" si="9"/>
        <v>0</v>
      </c>
      <c r="Y33" s="1">
        <f t="shared" si="10"/>
        <v>1</v>
      </c>
      <c r="Z33" s="1">
        <f t="shared" si="11"/>
        <v>0</v>
      </c>
      <c r="AA33" s="1">
        <f t="shared" si="12"/>
        <v>0</v>
      </c>
      <c r="AC33" s="1">
        <f t="shared" si="13"/>
        <v>1</v>
      </c>
      <c r="AD33" s="1">
        <f t="shared" si="14"/>
        <v>0</v>
      </c>
      <c r="AE33" s="1">
        <f t="shared" si="15"/>
        <v>1</v>
      </c>
      <c r="AF33" s="1">
        <f t="shared" si="16"/>
        <v>0</v>
      </c>
      <c r="AG33" s="1">
        <f t="shared" si="17"/>
        <v>1</v>
      </c>
      <c r="AH33" s="1">
        <f t="shared" si="18"/>
        <v>0</v>
      </c>
    </row>
    <row r="34" spans="1:34" ht="14.25" customHeight="1" x14ac:dyDescent="0.25">
      <c r="A34" s="47">
        <v>0</v>
      </c>
      <c r="B34" s="47">
        <v>1</v>
      </c>
      <c r="C34" s="47">
        <v>2</v>
      </c>
      <c r="D34" s="48" t="s">
        <v>1565</v>
      </c>
      <c r="E34" s="48" t="s">
        <v>1261</v>
      </c>
      <c r="F34" s="48" t="s">
        <v>1566</v>
      </c>
      <c r="G34" s="48" t="s">
        <v>260</v>
      </c>
      <c r="H34" s="48" t="s">
        <v>358</v>
      </c>
      <c r="I34" s="47" t="s">
        <v>478</v>
      </c>
      <c r="J34" s="47">
        <v>8</v>
      </c>
      <c r="K34" s="49" t="s">
        <v>710</v>
      </c>
      <c r="L34" s="49" t="s">
        <v>697</v>
      </c>
      <c r="M34" s="50" t="s">
        <v>698</v>
      </c>
      <c r="N34" s="50" t="s">
        <v>1756</v>
      </c>
      <c r="O34" s="51"/>
      <c r="P34" s="51"/>
      <c r="R34" s="1">
        <f t="shared" si="3"/>
        <v>0</v>
      </c>
      <c r="S34" s="1">
        <f t="shared" si="4"/>
        <v>0</v>
      </c>
      <c r="T34" s="1">
        <f t="shared" si="5"/>
        <v>0</v>
      </c>
      <c r="U34" s="1">
        <f t="shared" si="6"/>
        <v>0</v>
      </c>
      <c r="V34" s="1">
        <f t="shared" si="7"/>
        <v>0</v>
      </c>
      <c r="W34" s="1">
        <f t="shared" si="8"/>
        <v>0</v>
      </c>
      <c r="X34" s="1">
        <f t="shared" si="9"/>
        <v>0</v>
      </c>
      <c r="Y34" s="1">
        <f t="shared" si="10"/>
        <v>1</v>
      </c>
      <c r="Z34" s="1">
        <f t="shared" si="11"/>
        <v>0</v>
      </c>
      <c r="AA34" s="1">
        <f t="shared" si="12"/>
        <v>0</v>
      </c>
      <c r="AC34" s="1">
        <f t="shared" si="13"/>
        <v>0</v>
      </c>
      <c r="AD34" s="1">
        <f t="shared" si="14"/>
        <v>0</v>
      </c>
      <c r="AE34" s="1">
        <f t="shared" si="15"/>
        <v>0</v>
      </c>
      <c r="AF34" s="1">
        <f t="shared" si="16"/>
        <v>0</v>
      </c>
      <c r="AG34" s="1">
        <f t="shared" si="17"/>
        <v>0</v>
      </c>
      <c r="AH34" s="1">
        <f t="shared" si="18"/>
        <v>1</v>
      </c>
    </row>
    <row r="35" spans="1:34" ht="14.25" customHeight="1" x14ac:dyDescent="0.25">
      <c r="A35" s="41">
        <v>0</v>
      </c>
      <c r="B35" s="41">
        <v>1</v>
      </c>
      <c r="C35" s="41">
        <v>2</v>
      </c>
      <c r="D35" s="42" t="s">
        <v>1478</v>
      </c>
      <c r="E35" s="42" t="s">
        <v>1480</v>
      </c>
      <c r="F35" s="42" t="s">
        <v>1479</v>
      </c>
      <c r="G35" s="42" t="s">
        <v>1149</v>
      </c>
      <c r="H35" s="42" t="s">
        <v>358</v>
      </c>
      <c r="I35" s="41" t="s">
        <v>1481</v>
      </c>
      <c r="J35" s="41">
        <v>99</v>
      </c>
      <c r="K35" s="43" t="s">
        <v>711</v>
      </c>
      <c r="L35" s="43"/>
      <c r="M35" s="44"/>
      <c r="N35" s="45"/>
      <c r="O35" s="46"/>
      <c r="P35" s="46">
        <v>1</v>
      </c>
      <c r="R35" s="1">
        <f t="shared" si="3"/>
        <v>0</v>
      </c>
      <c r="S35" s="1">
        <f t="shared" si="4"/>
        <v>0</v>
      </c>
      <c r="T35" s="1">
        <f t="shared" si="5"/>
        <v>0</v>
      </c>
      <c r="U35" s="1">
        <f t="shared" si="6"/>
        <v>0</v>
      </c>
      <c r="V35" s="1">
        <f t="shared" si="7"/>
        <v>0</v>
      </c>
      <c r="W35" s="1">
        <f t="shared" si="8"/>
        <v>0</v>
      </c>
      <c r="X35" s="1">
        <f t="shared" si="9"/>
        <v>0</v>
      </c>
      <c r="Y35" s="1">
        <f t="shared" si="10"/>
        <v>0</v>
      </c>
      <c r="Z35" s="1">
        <f t="shared" si="11"/>
        <v>0</v>
      </c>
      <c r="AA35" s="1">
        <f t="shared" si="12"/>
        <v>0</v>
      </c>
      <c r="AC35" s="1">
        <f t="shared" si="13"/>
        <v>0</v>
      </c>
      <c r="AD35" s="1">
        <f t="shared" si="14"/>
        <v>0</v>
      </c>
      <c r="AE35" s="1">
        <f t="shared" si="15"/>
        <v>0</v>
      </c>
      <c r="AF35" s="1">
        <f t="shared" si="16"/>
        <v>0</v>
      </c>
      <c r="AG35" s="1">
        <f t="shared" si="17"/>
        <v>1</v>
      </c>
      <c r="AH35" s="1">
        <f t="shared" si="18"/>
        <v>0</v>
      </c>
    </row>
    <row r="36" spans="1:34" ht="14.25" customHeight="1" x14ac:dyDescent="0.25">
      <c r="A36" s="47">
        <v>0</v>
      </c>
      <c r="B36" s="47">
        <v>1</v>
      </c>
      <c r="C36" s="47">
        <v>2</v>
      </c>
      <c r="D36" s="48" t="s">
        <v>602</v>
      </c>
      <c r="E36" s="48" t="s">
        <v>177</v>
      </c>
      <c r="F36" s="48" t="s">
        <v>603</v>
      </c>
      <c r="G36" s="48" t="s">
        <v>253</v>
      </c>
      <c r="H36" s="48" t="s">
        <v>358</v>
      </c>
      <c r="I36" s="47" t="s">
        <v>604</v>
      </c>
      <c r="J36" s="47">
        <v>99</v>
      </c>
      <c r="K36" s="49" t="s">
        <v>964</v>
      </c>
      <c r="L36" s="49" t="s">
        <v>697</v>
      </c>
      <c r="M36" s="50" t="s">
        <v>1398</v>
      </c>
      <c r="N36" s="50" t="s">
        <v>1763</v>
      </c>
      <c r="O36" s="51"/>
      <c r="P36" s="51"/>
      <c r="R36" s="1">
        <f t="shared" si="3"/>
        <v>0</v>
      </c>
      <c r="S36" s="1">
        <f t="shared" si="4"/>
        <v>0</v>
      </c>
      <c r="T36" s="1">
        <f t="shared" si="5"/>
        <v>0</v>
      </c>
      <c r="U36" s="1">
        <f t="shared" si="6"/>
        <v>0</v>
      </c>
      <c r="V36" s="1">
        <f t="shared" si="7"/>
        <v>0</v>
      </c>
      <c r="W36" s="1">
        <f t="shared" si="8"/>
        <v>0</v>
      </c>
      <c r="X36" s="1">
        <f t="shared" si="9"/>
        <v>0</v>
      </c>
      <c r="Y36" s="1">
        <f t="shared" si="10"/>
        <v>0</v>
      </c>
      <c r="Z36" s="1">
        <f t="shared" si="11"/>
        <v>0</v>
      </c>
      <c r="AA36" s="1">
        <f t="shared" si="12"/>
        <v>0</v>
      </c>
      <c r="AC36" s="1">
        <f t="shared" si="13"/>
        <v>0</v>
      </c>
      <c r="AD36" s="1">
        <f t="shared" si="14"/>
        <v>0</v>
      </c>
      <c r="AE36" s="1">
        <f t="shared" si="15"/>
        <v>0</v>
      </c>
      <c r="AF36" s="1">
        <f t="shared" si="16"/>
        <v>0</v>
      </c>
      <c r="AG36" s="1">
        <f t="shared" si="17"/>
        <v>0</v>
      </c>
      <c r="AH36" s="1">
        <f t="shared" si="18"/>
        <v>1</v>
      </c>
    </row>
    <row r="37" spans="1:34" ht="14.25" customHeight="1" x14ac:dyDescent="0.25">
      <c r="A37" s="47">
        <v>0</v>
      </c>
      <c r="B37" s="47">
        <v>1</v>
      </c>
      <c r="C37" s="47">
        <v>2</v>
      </c>
      <c r="D37" s="48" t="s">
        <v>114</v>
      </c>
      <c r="E37" s="48" t="s">
        <v>177</v>
      </c>
      <c r="F37" s="68" t="s">
        <v>1884</v>
      </c>
      <c r="G37" s="48" t="s">
        <v>315</v>
      </c>
      <c r="H37" s="48" t="s">
        <v>358</v>
      </c>
      <c r="I37" s="47" t="s">
        <v>466</v>
      </c>
      <c r="J37" s="47">
        <v>99</v>
      </c>
      <c r="K37" s="49" t="s">
        <v>710</v>
      </c>
      <c r="L37" s="49" t="s">
        <v>697</v>
      </c>
      <c r="M37" s="50" t="s">
        <v>699</v>
      </c>
      <c r="N37" s="50" t="s">
        <v>1818</v>
      </c>
      <c r="O37" s="51"/>
      <c r="P37" s="51"/>
      <c r="R37" s="1">
        <f t="shared" si="3"/>
        <v>0</v>
      </c>
      <c r="S37" s="1">
        <f t="shared" si="4"/>
        <v>0</v>
      </c>
      <c r="T37" s="1">
        <f t="shared" si="5"/>
        <v>0</v>
      </c>
      <c r="U37" s="1">
        <f t="shared" si="6"/>
        <v>0</v>
      </c>
      <c r="V37" s="1">
        <f t="shared" si="7"/>
        <v>0</v>
      </c>
      <c r="W37" s="1">
        <f t="shared" si="8"/>
        <v>0</v>
      </c>
      <c r="X37" s="1">
        <f t="shared" si="9"/>
        <v>0</v>
      </c>
      <c r="Y37" s="1">
        <f t="shared" si="10"/>
        <v>0</v>
      </c>
      <c r="Z37" s="1">
        <f t="shared" si="11"/>
        <v>0</v>
      </c>
      <c r="AA37" s="1">
        <f t="shared" si="12"/>
        <v>0</v>
      </c>
      <c r="AC37" s="1">
        <f t="shared" si="13"/>
        <v>0</v>
      </c>
      <c r="AD37" s="1">
        <f t="shared" si="14"/>
        <v>0</v>
      </c>
      <c r="AE37" s="1">
        <f t="shared" si="15"/>
        <v>0</v>
      </c>
      <c r="AF37" s="1">
        <f t="shared" si="16"/>
        <v>0</v>
      </c>
      <c r="AG37" s="1">
        <f t="shared" si="17"/>
        <v>0</v>
      </c>
      <c r="AH37" s="1">
        <f t="shared" si="18"/>
        <v>1</v>
      </c>
    </row>
    <row r="38" spans="1:34" ht="14.25" customHeight="1" x14ac:dyDescent="0.25">
      <c r="A38" s="34">
        <v>0</v>
      </c>
      <c r="B38" s="34">
        <v>1</v>
      </c>
      <c r="C38" s="34">
        <v>2</v>
      </c>
      <c r="D38" s="39" t="s">
        <v>1778</v>
      </c>
      <c r="E38" s="39" t="s">
        <v>157</v>
      </c>
      <c r="F38" s="39" t="s">
        <v>1779</v>
      </c>
      <c r="G38" s="39"/>
      <c r="H38" s="39" t="s">
        <v>1780</v>
      </c>
      <c r="I38" s="40" t="s">
        <v>1781</v>
      </c>
      <c r="J38" s="34">
        <v>18</v>
      </c>
      <c r="K38" s="36" t="s">
        <v>711</v>
      </c>
      <c r="L38" s="36">
        <v>55</v>
      </c>
      <c r="M38" s="37" t="s">
        <v>1493</v>
      </c>
      <c r="N38" s="37" t="s">
        <v>1749</v>
      </c>
      <c r="O38" s="38">
        <v>1</v>
      </c>
      <c r="P38" s="38">
        <v>1</v>
      </c>
      <c r="R38" s="1">
        <f t="shared" si="3"/>
        <v>0</v>
      </c>
      <c r="S38" s="1">
        <f t="shared" si="4"/>
        <v>0</v>
      </c>
      <c r="T38" s="1">
        <f t="shared" si="5"/>
        <v>0</v>
      </c>
      <c r="U38" s="1">
        <f t="shared" si="6"/>
        <v>0</v>
      </c>
      <c r="V38" s="1">
        <f t="shared" si="7"/>
        <v>0</v>
      </c>
      <c r="W38" s="1">
        <f t="shared" si="8"/>
        <v>0</v>
      </c>
      <c r="X38" s="1">
        <f t="shared" si="9"/>
        <v>0</v>
      </c>
      <c r="Y38" s="1">
        <f t="shared" si="10"/>
        <v>0</v>
      </c>
      <c r="Z38" s="1">
        <f t="shared" si="11"/>
        <v>0</v>
      </c>
      <c r="AA38" s="1">
        <f t="shared" si="12"/>
        <v>0</v>
      </c>
      <c r="AC38" s="1">
        <f t="shared" si="13"/>
        <v>1</v>
      </c>
      <c r="AD38" s="1">
        <f t="shared" si="14"/>
        <v>0</v>
      </c>
      <c r="AE38" s="1">
        <f t="shared" si="15"/>
        <v>1</v>
      </c>
      <c r="AF38" s="1">
        <f t="shared" si="16"/>
        <v>0</v>
      </c>
      <c r="AG38" s="1">
        <f t="shared" si="17"/>
        <v>1</v>
      </c>
      <c r="AH38" s="1">
        <f t="shared" si="18"/>
        <v>0</v>
      </c>
    </row>
    <row r="39" spans="1:34" ht="14.25" customHeight="1" x14ac:dyDescent="0.25">
      <c r="A39" s="34">
        <v>0</v>
      </c>
      <c r="B39" s="34">
        <v>1</v>
      </c>
      <c r="C39" s="34">
        <v>2</v>
      </c>
      <c r="D39" s="39" t="s">
        <v>605</v>
      </c>
      <c r="E39" s="39" t="s">
        <v>177</v>
      </c>
      <c r="F39" s="39" t="s">
        <v>606</v>
      </c>
      <c r="G39" s="39" t="s">
        <v>579</v>
      </c>
      <c r="H39" s="39" t="s">
        <v>358</v>
      </c>
      <c r="I39" s="40" t="s">
        <v>607</v>
      </c>
      <c r="J39" s="34">
        <v>1</v>
      </c>
      <c r="K39" s="36" t="s">
        <v>964</v>
      </c>
      <c r="L39" s="36" t="s">
        <v>1719</v>
      </c>
      <c r="M39" s="37" t="s">
        <v>1397</v>
      </c>
      <c r="N39" s="37" t="s">
        <v>1764</v>
      </c>
      <c r="O39" s="38">
        <v>1</v>
      </c>
      <c r="P39" s="38"/>
      <c r="R39" s="1">
        <f t="shared" si="3"/>
        <v>1</v>
      </c>
      <c r="S39" s="1">
        <f t="shared" si="4"/>
        <v>0</v>
      </c>
      <c r="T39" s="1">
        <f t="shared" si="5"/>
        <v>0</v>
      </c>
      <c r="U39" s="1">
        <f t="shared" si="6"/>
        <v>0</v>
      </c>
      <c r="V39" s="1">
        <f t="shared" si="7"/>
        <v>0</v>
      </c>
      <c r="W39" s="1">
        <f t="shared" si="8"/>
        <v>0</v>
      </c>
      <c r="X39" s="1">
        <f t="shared" si="9"/>
        <v>0</v>
      </c>
      <c r="Y39" s="1">
        <f t="shared" si="10"/>
        <v>0</v>
      </c>
      <c r="Z39" s="1">
        <f t="shared" si="11"/>
        <v>0</v>
      </c>
      <c r="AA39" s="1">
        <f t="shared" si="12"/>
        <v>0</v>
      </c>
      <c r="AC39" s="1">
        <f t="shared" si="13"/>
        <v>0</v>
      </c>
      <c r="AD39" s="1">
        <f t="shared" si="14"/>
        <v>1</v>
      </c>
      <c r="AE39" s="1">
        <f t="shared" si="15"/>
        <v>0</v>
      </c>
      <c r="AF39" s="1">
        <f t="shared" si="16"/>
        <v>1</v>
      </c>
      <c r="AG39" s="1">
        <f t="shared" si="17"/>
        <v>0</v>
      </c>
      <c r="AH39" s="1">
        <f t="shared" si="18"/>
        <v>1</v>
      </c>
    </row>
    <row r="40" spans="1:34" ht="14.25" customHeight="1" x14ac:dyDescent="0.25">
      <c r="A40" s="34">
        <v>0</v>
      </c>
      <c r="B40" s="34">
        <v>1</v>
      </c>
      <c r="C40" s="34">
        <v>2</v>
      </c>
      <c r="D40" s="39" t="s">
        <v>1767</v>
      </c>
      <c r="E40" s="39" t="s">
        <v>1768</v>
      </c>
      <c r="F40" s="39" t="s">
        <v>1769</v>
      </c>
      <c r="G40" s="39" t="s">
        <v>324</v>
      </c>
      <c r="H40" s="39" t="s">
        <v>358</v>
      </c>
      <c r="I40" s="40" t="s">
        <v>1770</v>
      </c>
      <c r="J40" s="34">
        <v>99</v>
      </c>
      <c r="K40" s="36" t="s">
        <v>711</v>
      </c>
      <c r="L40" s="36"/>
      <c r="M40" s="37"/>
      <c r="N40" s="37" t="s">
        <v>1749</v>
      </c>
      <c r="O40" s="38">
        <v>1</v>
      </c>
      <c r="P40" s="38">
        <v>1</v>
      </c>
      <c r="R40" s="1">
        <f t="shared" si="3"/>
        <v>0</v>
      </c>
      <c r="S40" s="1">
        <f t="shared" si="4"/>
        <v>0</v>
      </c>
      <c r="T40" s="1">
        <f t="shared" si="5"/>
        <v>0</v>
      </c>
      <c r="U40" s="1">
        <f t="shared" si="6"/>
        <v>0</v>
      </c>
      <c r="V40" s="1">
        <f t="shared" si="7"/>
        <v>0</v>
      </c>
      <c r="W40" s="1">
        <f t="shared" si="8"/>
        <v>0</v>
      </c>
      <c r="X40" s="1">
        <f t="shared" si="9"/>
        <v>0</v>
      </c>
      <c r="Y40" s="1">
        <f t="shared" si="10"/>
        <v>0</v>
      </c>
      <c r="Z40" s="1">
        <f t="shared" si="11"/>
        <v>0</v>
      </c>
      <c r="AA40" s="1">
        <f t="shared" si="12"/>
        <v>0</v>
      </c>
      <c r="AC40" s="1">
        <f t="shared" si="13"/>
        <v>1</v>
      </c>
      <c r="AD40" s="1">
        <f t="shared" si="14"/>
        <v>0</v>
      </c>
      <c r="AE40" s="1">
        <f t="shared" si="15"/>
        <v>1</v>
      </c>
      <c r="AF40" s="1">
        <f t="shared" si="16"/>
        <v>0</v>
      </c>
      <c r="AG40" s="1">
        <f t="shared" si="17"/>
        <v>1</v>
      </c>
      <c r="AH40" s="1">
        <f t="shared" si="18"/>
        <v>0</v>
      </c>
    </row>
    <row r="41" spans="1:34" ht="14.25" customHeight="1" x14ac:dyDescent="0.25">
      <c r="A41" s="47">
        <v>0</v>
      </c>
      <c r="B41" s="47">
        <v>1</v>
      </c>
      <c r="C41" s="47">
        <v>2</v>
      </c>
      <c r="D41" s="48" t="s">
        <v>648</v>
      </c>
      <c r="E41" s="48" t="s">
        <v>177</v>
      </c>
      <c r="F41" s="48" t="s">
        <v>649</v>
      </c>
      <c r="G41" s="48" t="s">
        <v>222</v>
      </c>
      <c r="H41" s="48" t="s">
        <v>358</v>
      </c>
      <c r="I41" s="47" t="s">
        <v>1122</v>
      </c>
      <c r="J41" s="47">
        <v>8</v>
      </c>
      <c r="K41" s="49" t="s">
        <v>964</v>
      </c>
      <c r="L41" s="49" t="s">
        <v>1716</v>
      </c>
      <c r="M41" s="50" t="s">
        <v>1392</v>
      </c>
      <c r="N41" s="50" t="s">
        <v>1753</v>
      </c>
      <c r="O41" s="51"/>
      <c r="P41" s="51"/>
      <c r="R41" s="1">
        <f t="shared" si="3"/>
        <v>0</v>
      </c>
      <c r="S41" s="1">
        <f t="shared" si="4"/>
        <v>0</v>
      </c>
      <c r="T41" s="1">
        <f t="shared" si="5"/>
        <v>0</v>
      </c>
      <c r="U41" s="1">
        <f t="shared" si="6"/>
        <v>0</v>
      </c>
      <c r="V41" s="1">
        <f t="shared" si="7"/>
        <v>0</v>
      </c>
      <c r="W41" s="1">
        <f t="shared" si="8"/>
        <v>0</v>
      </c>
      <c r="X41" s="1">
        <f t="shared" si="9"/>
        <v>0</v>
      </c>
      <c r="Y41" s="1">
        <f t="shared" si="10"/>
        <v>1</v>
      </c>
      <c r="Z41" s="1">
        <f t="shared" si="11"/>
        <v>0</v>
      </c>
      <c r="AA41" s="1">
        <f t="shared" si="12"/>
        <v>0</v>
      </c>
      <c r="AC41" s="1">
        <f t="shared" si="13"/>
        <v>0</v>
      </c>
      <c r="AD41" s="1">
        <f t="shared" si="14"/>
        <v>0</v>
      </c>
      <c r="AE41" s="1">
        <f t="shared" si="15"/>
        <v>0</v>
      </c>
      <c r="AF41" s="1">
        <f t="shared" si="16"/>
        <v>0</v>
      </c>
      <c r="AG41" s="1">
        <f t="shared" si="17"/>
        <v>0</v>
      </c>
      <c r="AH41" s="1">
        <f t="shared" si="18"/>
        <v>1</v>
      </c>
    </row>
    <row r="42" spans="1:34" ht="14.25" customHeight="1" x14ac:dyDescent="0.25">
      <c r="A42" s="34">
        <v>0</v>
      </c>
      <c r="B42" s="34">
        <v>1</v>
      </c>
      <c r="C42" s="34">
        <v>2</v>
      </c>
      <c r="D42" s="39" t="s">
        <v>1528</v>
      </c>
      <c r="E42" s="39" t="s">
        <v>177</v>
      </c>
      <c r="F42" s="39" t="s">
        <v>1676</v>
      </c>
      <c r="G42" s="39" t="s">
        <v>1530</v>
      </c>
      <c r="H42" s="39" t="s">
        <v>358</v>
      </c>
      <c r="I42" s="40" t="s">
        <v>1529</v>
      </c>
      <c r="J42" s="34">
        <v>99</v>
      </c>
      <c r="K42" s="36" t="s">
        <v>965</v>
      </c>
      <c r="L42" s="36" t="s">
        <v>39</v>
      </c>
      <c r="M42" s="37" t="s">
        <v>39</v>
      </c>
      <c r="N42" s="37" t="s">
        <v>1743</v>
      </c>
      <c r="O42" s="38">
        <v>1</v>
      </c>
      <c r="P42" s="38">
        <v>1</v>
      </c>
      <c r="R42" s="1">
        <f t="shared" si="3"/>
        <v>0</v>
      </c>
      <c r="S42" s="1">
        <f t="shared" si="4"/>
        <v>0</v>
      </c>
      <c r="T42" s="1">
        <f t="shared" si="5"/>
        <v>0</v>
      </c>
      <c r="U42" s="1">
        <f t="shared" si="6"/>
        <v>0</v>
      </c>
      <c r="V42" s="1">
        <f t="shared" si="7"/>
        <v>0</v>
      </c>
      <c r="W42" s="1">
        <f t="shared" si="8"/>
        <v>0</v>
      </c>
      <c r="X42" s="1">
        <f t="shared" si="9"/>
        <v>0</v>
      </c>
      <c r="Y42" s="1">
        <f t="shared" si="10"/>
        <v>0</v>
      </c>
      <c r="Z42" s="1">
        <f t="shared" si="11"/>
        <v>0</v>
      </c>
      <c r="AA42" s="1">
        <f t="shared" si="12"/>
        <v>0</v>
      </c>
      <c r="AC42" s="1">
        <f t="shared" si="13"/>
        <v>1</v>
      </c>
      <c r="AD42" s="1">
        <f t="shared" si="14"/>
        <v>0</v>
      </c>
      <c r="AE42" s="1">
        <f t="shared" si="15"/>
        <v>1</v>
      </c>
      <c r="AF42" s="1">
        <f t="shared" si="16"/>
        <v>0</v>
      </c>
      <c r="AG42" s="1">
        <f t="shared" si="17"/>
        <v>1</v>
      </c>
      <c r="AH42" s="1">
        <f t="shared" si="18"/>
        <v>0</v>
      </c>
    </row>
    <row r="43" spans="1:34" ht="14.25" customHeight="1" x14ac:dyDescent="0.25">
      <c r="A43" s="34">
        <v>0</v>
      </c>
      <c r="B43" s="34">
        <v>1</v>
      </c>
      <c r="C43" s="34">
        <v>2</v>
      </c>
      <c r="D43" s="35" t="s">
        <v>888</v>
      </c>
      <c r="E43" s="35" t="s">
        <v>176</v>
      </c>
      <c r="F43" s="35" t="s">
        <v>889</v>
      </c>
      <c r="G43" s="35" t="s">
        <v>39</v>
      </c>
      <c r="H43" s="35" t="s">
        <v>379</v>
      </c>
      <c r="I43" s="34" t="s">
        <v>890</v>
      </c>
      <c r="J43" s="34">
        <v>12</v>
      </c>
      <c r="K43" s="36" t="s">
        <v>710</v>
      </c>
      <c r="L43" s="36" t="s">
        <v>1720</v>
      </c>
      <c r="M43" s="37" t="s">
        <v>1399</v>
      </c>
      <c r="N43" s="37" t="s">
        <v>1841</v>
      </c>
      <c r="O43" s="38">
        <v>1</v>
      </c>
      <c r="P43" s="38"/>
      <c r="R43" s="1">
        <f t="shared" si="3"/>
        <v>0</v>
      </c>
      <c r="S43" s="1">
        <f t="shared" si="4"/>
        <v>0</v>
      </c>
      <c r="T43" s="1">
        <f t="shared" si="5"/>
        <v>0</v>
      </c>
      <c r="U43" s="1">
        <f t="shared" si="6"/>
        <v>0</v>
      </c>
      <c r="V43" s="1">
        <f t="shared" si="7"/>
        <v>0</v>
      </c>
      <c r="W43" s="1">
        <f t="shared" si="8"/>
        <v>0</v>
      </c>
      <c r="X43" s="1">
        <f t="shared" si="9"/>
        <v>0</v>
      </c>
      <c r="Y43" s="1">
        <f t="shared" si="10"/>
        <v>0</v>
      </c>
      <c r="Z43" s="1">
        <f t="shared" si="11"/>
        <v>0</v>
      </c>
      <c r="AA43" s="1">
        <f t="shared" si="12"/>
        <v>0</v>
      </c>
      <c r="AC43" s="1">
        <f t="shared" si="13"/>
        <v>0</v>
      </c>
      <c r="AD43" s="1">
        <f t="shared" si="14"/>
        <v>1</v>
      </c>
      <c r="AE43" s="1">
        <f t="shared" si="15"/>
        <v>0</v>
      </c>
      <c r="AF43" s="1">
        <f t="shared" si="16"/>
        <v>1</v>
      </c>
      <c r="AG43" s="1">
        <f t="shared" si="17"/>
        <v>0</v>
      </c>
      <c r="AH43" s="1">
        <f t="shared" si="18"/>
        <v>1</v>
      </c>
    </row>
    <row r="44" spans="1:34" ht="14.25" customHeight="1" x14ac:dyDescent="0.25">
      <c r="A44" s="47">
        <v>0</v>
      </c>
      <c r="B44" s="47">
        <v>1</v>
      </c>
      <c r="C44" s="47">
        <v>2</v>
      </c>
      <c r="D44" s="48" t="s">
        <v>1831</v>
      </c>
      <c r="E44" s="48" t="s">
        <v>177</v>
      </c>
      <c r="F44" s="48" t="s">
        <v>1832</v>
      </c>
      <c r="G44" s="48" t="s">
        <v>196</v>
      </c>
      <c r="H44" s="48" t="s">
        <v>358</v>
      </c>
      <c r="I44" s="47" t="s">
        <v>1833</v>
      </c>
      <c r="J44" s="47">
        <v>9</v>
      </c>
      <c r="K44" s="49" t="s">
        <v>711</v>
      </c>
      <c r="L44" s="49">
        <v>60</v>
      </c>
      <c r="M44" s="50" t="s">
        <v>1834</v>
      </c>
      <c r="N44" s="50" t="s">
        <v>1825</v>
      </c>
      <c r="O44" s="51"/>
      <c r="P44" s="51"/>
      <c r="R44" s="1">
        <f t="shared" si="3"/>
        <v>0</v>
      </c>
      <c r="S44" s="1">
        <f t="shared" si="4"/>
        <v>0</v>
      </c>
      <c r="T44" s="1">
        <f t="shared" si="5"/>
        <v>0</v>
      </c>
      <c r="U44" s="1">
        <f t="shared" si="6"/>
        <v>0</v>
      </c>
      <c r="V44" s="1">
        <f t="shared" si="7"/>
        <v>0</v>
      </c>
      <c r="W44" s="1">
        <f t="shared" si="8"/>
        <v>0</v>
      </c>
      <c r="X44" s="1">
        <f t="shared" si="9"/>
        <v>0</v>
      </c>
      <c r="Y44" s="1">
        <f t="shared" si="10"/>
        <v>0</v>
      </c>
      <c r="Z44" s="1">
        <f t="shared" si="11"/>
        <v>1</v>
      </c>
      <c r="AA44" s="1">
        <f t="shared" si="12"/>
        <v>0</v>
      </c>
      <c r="AC44" s="1">
        <f t="shared" si="13"/>
        <v>0</v>
      </c>
      <c r="AD44" s="1">
        <f t="shared" si="14"/>
        <v>0</v>
      </c>
      <c r="AE44" s="1">
        <f t="shared" si="15"/>
        <v>0</v>
      </c>
      <c r="AF44" s="1">
        <f t="shared" si="16"/>
        <v>0</v>
      </c>
      <c r="AG44" s="1">
        <f t="shared" si="17"/>
        <v>0</v>
      </c>
      <c r="AH44" s="1">
        <f t="shared" si="18"/>
        <v>1</v>
      </c>
    </row>
    <row r="45" spans="1:34" ht="14.25" customHeight="1" x14ac:dyDescent="0.25">
      <c r="A45" s="47">
        <v>0</v>
      </c>
      <c r="B45" s="47">
        <v>1</v>
      </c>
      <c r="C45" s="47">
        <v>2</v>
      </c>
      <c r="D45" s="48" t="s">
        <v>140</v>
      </c>
      <c r="E45" s="48" t="s">
        <v>177</v>
      </c>
      <c r="F45" s="68" t="s">
        <v>1886</v>
      </c>
      <c r="G45" s="48" t="s">
        <v>202</v>
      </c>
      <c r="H45" s="48" t="s">
        <v>358</v>
      </c>
      <c r="I45" s="47" t="s">
        <v>492</v>
      </c>
      <c r="J45" s="47">
        <v>2</v>
      </c>
      <c r="K45" s="49" t="s">
        <v>964</v>
      </c>
      <c r="L45" s="49" t="s">
        <v>701</v>
      </c>
      <c r="M45" s="50" t="s">
        <v>699</v>
      </c>
      <c r="N45" s="50" t="s">
        <v>1754</v>
      </c>
      <c r="O45" s="51"/>
      <c r="P45" s="51"/>
      <c r="R45" s="1">
        <f t="shared" si="3"/>
        <v>0</v>
      </c>
      <c r="S45" s="1">
        <f t="shared" si="4"/>
        <v>1</v>
      </c>
      <c r="T45" s="1">
        <f t="shared" si="5"/>
        <v>0</v>
      </c>
      <c r="U45" s="1">
        <f t="shared" si="6"/>
        <v>0</v>
      </c>
      <c r="V45" s="1">
        <f t="shared" si="7"/>
        <v>0</v>
      </c>
      <c r="W45" s="1">
        <f t="shared" si="8"/>
        <v>0</v>
      </c>
      <c r="X45" s="1">
        <f t="shared" si="9"/>
        <v>0</v>
      </c>
      <c r="Y45" s="1">
        <f t="shared" si="10"/>
        <v>0</v>
      </c>
      <c r="Z45" s="1">
        <f t="shared" si="11"/>
        <v>0</v>
      </c>
      <c r="AA45" s="1">
        <f t="shared" si="12"/>
        <v>0</v>
      </c>
      <c r="AC45" s="1">
        <f t="shared" si="13"/>
        <v>0</v>
      </c>
      <c r="AD45" s="1">
        <f t="shared" si="14"/>
        <v>0</v>
      </c>
      <c r="AE45" s="1">
        <f t="shared" si="15"/>
        <v>0</v>
      </c>
      <c r="AF45" s="1">
        <f t="shared" si="16"/>
        <v>0</v>
      </c>
      <c r="AG45" s="1">
        <f t="shared" si="17"/>
        <v>0</v>
      </c>
      <c r="AH45" s="1">
        <f t="shared" si="18"/>
        <v>1</v>
      </c>
    </row>
    <row r="46" spans="1:34" ht="14.25" customHeight="1" x14ac:dyDescent="0.25">
      <c r="A46" s="34">
        <v>0</v>
      </c>
      <c r="B46" s="34">
        <v>1</v>
      </c>
      <c r="C46" s="34">
        <v>2</v>
      </c>
      <c r="D46" s="35" t="s">
        <v>846</v>
      </c>
      <c r="E46" s="35" t="s">
        <v>177</v>
      </c>
      <c r="F46" s="35" t="s">
        <v>848</v>
      </c>
      <c r="G46" s="35" t="s">
        <v>39</v>
      </c>
      <c r="H46" s="35" t="s">
        <v>358</v>
      </c>
      <c r="I46" s="34" t="s">
        <v>847</v>
      </c>
      <c r="J46" s="34">
        <v>99</v>
      </c>
      <c r="K46" s="36" t="s">
        <v>970</v>
      </c>
      <c r="L46" s="36" t="s">
        <v>39</v>
      </c>
      <c r="M46" s="37" t="s">
        <v>39</v>
      </c>
      <c r="N46" s="37" t="s">
        <v>1749</v>
      </c>
      <c r="O46" s="38">
        <v>1</v>
      </c>
      <c r="P46" s="38">
        <v>1</v>
      </c>
      <c r="R46" s="1">
        <f t="shared" si="3"/>
        <v>0</v>
      </c>
      <c r="S46" s="1">
        <f t="shared" si="4"/>
        <v>0</v>
      </c>
      <c r="T46" s="1">
        <f t="shared" si="5"/>
        <v>0</v>
      </c>
      <c r="U46" s="1">
        <f t="shared" si="6"/>
        <v>0</v>
      </c>
      <c r="V46" s="1">
        <f t="shared" si="7"/>
        <v>0</v>
      </c>
      <c r="W46" s="1">
        <f t="shared" si="8"/>
        <v>0</v>
      </c>
      <c r="X46" s="1">
        <f t="shared" si="9"/>
        <v>0</v>
      </c>
      <c r="Y46" s="1">
        <f t="shared" si="10"/>
        <v>0</v>
      </c>
      <c r="Z46" s="1">
        <f t="shared" si="11"/>
        <v>0</v>
      </c>
      <c r="AA46" s="1">
        <f t="shared" si="12"/>
        <v>0</v>
      </c>
      <c r="AC46" s="1">
        <f t="shared" si="13"/>
        <v>1</v>
      </c>
      <c r="AD46" s="1">
        <f t="shared" si="14"/>
        <v>0</v>
      </c>
      <c r="AE46" s="1">
        <f t="shared" si="15"/>
        <v>1</v>
      </c>
      <c r="AF46" s="1">
        <f t="shared" si="16"/>
        <v>0</v>
      </c>
      <c r="AG46" s="1">
        <f t="shared" si="17"/>
        <v>1</v>
      </c>
      <c r="AH46" s="1">
        <f t="shared" si="18"/>
        <v>0</v>
      </c>
    </row>
    <row r="47" spans="1:34" ht="14.25" customHeight="1" x14ac:dyDescent="0.25">
      <c r="A47" s="47">
        <v>0</v>
      </c>
      <c r="B47" s="47">
        <v>1</v>
      </c>
      <c r="C47" s="47">
        <v>2</v>
      </c>
      <c r="D47" s="48" t="s">
        <v>923</v>
      </c>
      <c r="E47" s="48" t="s">
        <v>177</v>
      </c>
      <c r="F47" s="48" t="s">
        <v>791</v>
      </c>
      <c r="G47" s="48" t="s">
        <v>39</v>
      </c>
      <c r="H47" s="48" t="s">
        <v>379</v>
      </c>
      <c r="I47" s="47" t="s">
        <v>792</v>
      </c>
      <c r="J47" s="47">
        <v>12</v>
      </c>
      <c r="K47" s="49" t="s">
        <v>730</v>
      </c>
      <c r="L47" s="49" t="s">
        <v>1715</v>
      </c>
      <c r="M47" s="50" t="s">
        <v>1130</v>
      </c>
      <c r="N47" s="50" t="s">
        <v>1818</v>
      </c>
      <c r="O47" s="51"/>
      <c r="P47" s="51"/>
      <c r="R47" s="1">
        <f t="shared" si="3"/>
        <v>0</v>
      </c>
      <c r="S47" s="1">
        <f t="shared" si="4"/>
        <v>0</v>
      </c>
      <c r="T47" s="1">
        <f t="shared" si="5"/>
        <v>0</v>
      </c>
      <c r="U47" s="1">
        <f t="shared" si="6"/>
        <v>0</v>
      </c>
      <c r="V47" s="1">
        <f t="shared" si="7"/>
        <v>0</v>
      </c>
      <c r="W47" s="1">
        <f t="shared" si="8"/>
        <v>0</v>
      </c>
      <c r="X47" s="1">
        <f t="shared" si="9"/>
        <v>0</v>
      </c>
      <c r="Y47" s="1">
        <f t="shared" si="10"/>
        <v>0</v>
      </c>
      <c r="Z47" s="1">
        <f t="shared" si="11"/>
        <v>0</v>
      </c>
      <c r="AA47" s="1">
        <f t="shared" si="12"/>
        <v>0</v>
      </c>
      <c r="AC47" s="1">
        <f t="shared" si="13"/>
        <v>0</v>
      </c>
      <c r="AD47" s="1">
        <f t="shared" si="14"/>
        <v>0</v>
      </c>
      <c r="AE47" s="1">
        <f t="shared" si="15"/>
        <v>0</v>
      </c>
      <c r="AF47" s="1">
        <f t="shared" si="16"/>
        <v>0</v>
      </c>
      <c r="AG47" s="1">
        <f t="shared" si="17"/>
        <v>0</v>
      </c>
      <c r="AH47" s="1">
        <f t="shared" si="18"/>
        <v>1</v>
      </c>
    </row>
    <row r="48" spans="1:34" ht="14.25" customHeight="1" x14ac:dyDescent="0.25">
      <c r="A48" s="41">
        <v>0</v>
      </c>
      <c r="B48" s="41">
        <v>1</v>
      </c>
      <c r="C48" s="41">
        <v>2</v>
      </c>
      <c r="D48" s="42" t="s">
        <v>1651</v>
      </c>
      <c r="E48" s="42" t="s">
        <v>176</v>
      </c>
      <c r="F48" s="42" t="s">
        <v>1677</v>
      </c>
      <c r="G48" s="42" t="s">
        <v>253</v>
      </c>
      <c r="H48" s="42" t="s">
        <v>358</v>
      </c>
      <c r="I48" s="41" t="s">
        <v>1579</v>
      </c>
      <c r="J48" s="41">
        <v>99</v>
      </c>
      <c r="K48" s="43" t="s">
        <v>965</v>
      </c>
      <c r="L48" s="43" t="s">
        <v>39</v>
      </c>
      <c r="M48" s="44" t="s">
        <v>39</v>
      </c>
      <c r="N48" s="45"/>
      <c r="O48" s="46"/>
      <c r="P48" s="46">
        <v>1</v>
      </c>
      <c r="R48" s="1">
        <f t="shared" si="3"/>
        <v>0</v>
      </c>
      <c r="S48" s="1">
        <f t="shared" si="4"/>
        <v>0</v>
      </c>
      <c r="T48" s="1">
        <f t="shared" si="5"/>
        <v>0</v>
      </c>
      <c r="U48" s="1">
        <f t="shared" si="6"/>
        <v>0</v>
      </c>
      <c r="V48" s="1">
        <f t="shared" si="7"/>
        <v>0</v>
      </c>
      <c r="W48" s="1">
        <f t="shared" si="8"/>
        <v>0</v>
      </c>
      <c r="X48" s="1">
        <f t="shared" si="9"/>
        <v>0</v>
      </c>
      <c r="Y48" s="1">
        <f t="shared" si="10"/>
        <v>0</v>
      </c>
      <c r="Z48" s="1">
        <f t="shared" si="11"/>
        <v>0</v>
      </c>
      <c r="AA48" s="1">
        <f t="shared" si="12"/>
        <v>0</v>
      </c>
      <c r="AC48" s="1">
        <f t="shared" si="13"/>
        <v>0</v>
      </c>
      <c r="AD48" s="1">
        <f t="shared" si="14"/>
        <v>0</v>
      </c>
      <c r="AE48" s="1">
        <f t="shared" si="15"/>
        <v>0</v>
      </c>
      <c r="AF48" s="1">
        <f t="shared" si="16"/>
        <v>0</v>
      </c>
      <c r="AG48" s="1">
        <f t="shared" si="17"/>
        <v>1</v>
      </c>
      <c r="AH48" s="1">
        <f t="shared" si="18"/>
        <v>0</v>
      </c>
    </row>
    <row r="49" spans="1:34" ht="14.25" customHeight="1" x14ac:dyDescent="0.25">
      <c r="A49" s="47">
        <v>0</v>
      </c>
      <c r="B49" s="47">
        <v>1</v>
      </c>
      <c r="C49" s="47">
        <v>2</v>
      </c>
      <c r="D49" s="48" t="s">
        <v>1547</v>
      </c>
      <c r="E49" s="48" t="s">
        <v>1665</v>
      </c>
      <c r="F49" s="48" t="s">
        <v>1548</v>
      </c>
      <c r="G49" s="48" t="s">
        <v>202</v>
      </c>
      <c r="H49" s="48" t="s">
        <v>358</v>
      </c>
      <c r="I49" s="47" t="s">
        <v>1549</v>
      </c>
      <c r="J49" s="47">
        <v>2</v>
      </c>
      <c r="K49" s="49" t="s">
        <v>964</v>
      </c>
      <c r="L49" s="49">
        <v>70</v>
      </c>
      <c r="M49" s="50" t="s">
        <v>39</v>
      </c>
      <c r="N49" s="50" t="s">
        <v>1756</v>
      </c>
      <c r="O49" s="51"/>
      <c r="P49" s="51"/>
      <c r="R49" s="1">
        <f t="shared" si="3"/>
        <v>0</v>
      </c>
      <c r="S49" s="1">
        <f t="shared" si="4"/>
        <v>1</v>
      </c>
      <c r="T49" s="1">
        <f t="shared" si="5"/>
        <v>0</v>
      </c>
      <c r="U49" s="1">
        <f t="shared" si="6"/>
        <v>0</v>
      </c>
      <c r="V49" s="1">
        <f t="shared" si="7"/>
        <v>0</v>
      </c>
      <c r="W49" s="1">
        <f t="shared" si="8"/>
        <v>0</v>
      </c>
      <c r="X49" s="1">
        <f t="shared" si="9"/>
        <v>0</v>
      </c>
      <c r="Y49" s="1">
        <f t="shared" si="10"/>
        <v>0</v>
      </c>
      <c r="Z49" s="1">
        <f t="shared" si="11"/>
        <v>0</v>
      </c>
      <c r="AA49" s="1">
        <f t="shared" si="12"/>
        <v>0</v>
      </c>
      <c r="AC49" s="1">
        <f t="shared" si="13"/>
        <v>0</v>
      </c>
      <c r="AD49" s="1">
        <f t="shared" si="14"/>
        <v>0</v>
      </c>
      <c r="AE49" s="1">
        <f t="shared" si="15"/>
        <v>0</v>
      </c>
      <c r="AF49" s="1">
        <f t="shared" si="16"/>
        <v>0</v>
      </c>
      <c r="AG49" s="1">
        <f t="shared" si="17"/>
        <v>0</v>
      </c>
      <c r="AH49" s="1">
        <f t="shared" si="18"/>
        <v>1</v>
      </c>
    </row>
    <row r="50" spans="1:34" ht="14.25" customHeight="1" x14ac:dyDescent="0.25">
      <c r="A50" s="47">
        <v>0</v>
      </c>
      <c r="B50" s="47">
        <v>1</v>
      </c>
      <c r="C50" s="47">
        <v>2</v>
      </c>
      <c r="D50" s="48" t="s">
        <v>1483</v>
      </c>
      <c r="E50" s="48" t="s">
        <v>1666</v>
      </c>
      <c r="F50" s="48" t="s">
        <v>1482</v>
      </c>
      <c r="G50" s="48" t="s">
        <v>222</v>
      </c>
      <c r="H50" s="48" t="s">
        <v>358</v>
      </c>
      <c r="I50" s="47" t="s">
        <v>1703</v>
      </c>
      <c r="J50" s="47">
        <v>8</v>
      </c>
      <c r="K50" s="49" t="s">
        <v>710</v>
      </c>
      <c r="L50" s="49">
        <v>70</v>
      </c>
      <c r="M50" s="50" t="s">
        <v>39</v>
      </c>
      <c r="N50" s="50" t="s">
        <v>1753</v>
      </c>
      <c r="O50" s="51"/>
      <c r="P50" s="51"/>
      <c r="R50" s="1">
        <f t="shared" si="3"/>
        <v>0</v>
      </c>
      <c r="S50" s="1">
        <f t="shared" si="4"/>
        <v>0</v>
      </c>
      <c r="T50" s="1">
        <f t="shared" si="5"/>
        <v>0</v>
      </c>
      <c r="U50" s="1">
        <f t="shared" si="6"/>
        <v>0</v>
      </c>
      <c r="V50" s="1">
        <f t="shared" si="7"/>
        <v>0</v>
      </c>
      <c r="W50" s="1">
        <f t="shared" si="8"/>
        <v>0</v>
      </c>
      <c r="X50" s="1">
        <f t="shared" si="9"/>
        <v>0</v>
      </c>
      <c r="Y50" s="1">
        <f t="shared" si="10"/>
        <v>1</v>
      </c>
      <c r="Z50" s="1">
        <f t="shared" si="11"/>
        <v>0</v>
      </c>
      <c r="AA50" s="1">
        <f t="shared" si="12"/>
        <v>0</v>
      </c>
      <c r="AC50" s="1">
        <f t="shared" si="13"/>
        <v>0</v>
      </c>
      <c r="AD50" s="1">
        <f t="shared" si="14"/>
        <v>0</v>
      </c>
      <c r="AE50" s="1">
        <f t="shared" si="15"/>
        <v>0</v>
      </c>
      <c r="AF50" s="1">
        <f t="shared" si="16"/>
        <v>0</v>
      </c>
      <c r="AG50" s="1">
        <f t="shared" si="17"/>
        <v>0</v>
      </c>
      <c r="AH50" s="1">
        <f t="shared" si="18"/>
        <v>1</v>
      </c>
    </row>
    <row r="51" spans="1:34" ht="14.25" customHeight="1" x14ac:dyDescent="0.25">
      <c r="A51" s="47">
        <v>0</v>
      </c>
      <c r="B51" s="47">
        <v>1</v>
      </c>
      <c r="C51" s="47">
        <v>2</v>
      </c>
      <c r="D51" s="48" t="s">
        <v>819</v>
      </c>
      <c r="E51" s="48" t="s">
        <v>177</v>
      </c>
      <c r="F51" s="48" t="s">
        <v>820</v>
      </c>
      <c r="G51" s="48" t="s">
        <v>39</v>
      </c>
      <c r="H51" s="48" t="s">
        <v>821</v>
      </c>
      <c r="I51" s="47" t="s">
        <v>822</v>
      </c>
      <c r="J51" s="47">
        <v>11</v>
      </c>
      <c r="K51" s="49" t="s">
        <v>711</v>
      </c>
      <c r="L51" s="49">
        <v>50</v>
      </c>
      <c r="M51" s="50" t="s">
        <v>1130</v>
      </c>
      <c r="N51" s="50" t="s">
        <v>1763</v>
      </c>
      <c r="O51" s="51"/>
      <c r="P51" s="51"/>
      <c r="R51" s="1">
        <f t="shared" si="3"/>
        <v>0</v>
      </c>
      <c r="S51" s="1">
        <f t="shared" si="4"/>
        <v>0</v>
      </c>
      <c r="T51" s="1">
        <f t="shared" si="5"/>
        <v>0</v>
      </c>
      <c r="U51" s="1">
        <f t="shared" si="6"/>
        <v>0</v>
      </c>
      <c r="V51" s="1">
        <f t="shared" si="7"/>
        <v>0</v>
      </c>
      <c r="W51" s="1">
        <f t="shared" si="8"/>
        <v>0</v>
      </c>
      <c r="X51" s="1">
        <f t="shared" si="9"/>
        <v>0</v>
      </c>
      <c r="Y51" s="1">
        <f t="shared" si="10"/>
        <v>0</v>
      </c>
      <c r="Z51" s="1">
        <f t="shared" si="11"/>
        <v>0</v>
      </c>
      <c r="AA51" s="1">
        <f t="shared" si="12"/>
        <v>0</v>
      </c>
      <c r="AC51" s="1">
        <f t="shared" si="13"/>
        <v>0</v>
      </c>
      <c r="AD51" s="1">
        <f t="shared" si="14"/>
        <v>0</v>
      </c>
      <c r="AE51" s="1">
        <f t="shared" si="15"/>
        <v>0</v>
      </c>
      <c r="AF51" s="1">
        <f t="shared" si="16"/>
        <v>0</v>
      </c>
      <c r="AG51" s="1">
        <f t="shared" si="17"/>
        <v>0</v>
      </c>
      <c r="AH51" s="1">
        <f t="shared" si="18"/>
        <v>1</v>
      </c>
    </row>
    <row r="52" spans="1:34" ht="14.25" customHeight="1" x14ac:dyDescent="0.25">
      <c r="A52" s="15">
        <v>0</v>
      </c>
      <c r="B52" s="15">
        <v>1</v>
      </c>
      <c r="C52" s="15">
        <v>2</v>
      </c>
      <c r="D52" s="16" t="s">
        <v>1487</v>
      </c>
      <c r="E52" s="16"/>
      <c r="F52" s="16" t="s">
        <v>1488</v>
      </c>
      <c r="G52" s="16" t="s">
        <v>1489</v>
      </c>
      <c r="H52" s="16" t="s">
        <v>358</v>
      </c>
      <c r="I52" s="15" t="s">
        <v>1490</v>
      </c>
      <c r="J52" s="15">
        <v>99</v>
      </c>
      <c r="K52" s="10" t="s">
        <v>711</v>
      </c>
      <c r="L52" s="10">
        <v>35</v>
      </c>
      <c r="M52" s="19" t="s">
        <v>1495</v>
      </c>
      <c r="N52" s="19"/>
      <c r="R52" s="1">
        <f t="shared" si="3"/>
        <v>0</v>
      </c>
      <c r="S52" s="1">
        <f t="shared" si="4"/>
        <v>0</v>
      </c>
      <c r="T52" s="1">
        <f t="shared" si="5"/>
        <v>0</v>
      </c>
      <c r="U52" s="1">
        <f t="shared" si="6"/>
        <v>0</v>
      </c>
      <c r="V52" s="1">
        <f t="shared" si="7"/>
        <v>0</v>
      </c>
      <c r="W52" s="1">
        <f t="shared" si="8"/>
        <v>0</v>
      </c>
      <c r="X52" s="1">
        <f t="shared" si="9"/>
        <v>0</v>
      </c>
      <c r="Y52" s="1">
        <f t="shared" si="10"/>
        <v>0</v>
      </c>
      <c r="Z52" s="1">
        <f t="shared" si="11"/>
        <v>0</v>
      </c>
      <c r="AA52" s="1">
        <f t="shared" si="12"/>
        <v>0</v>
      </c>
      <c r="AC52" s="1">
        <f t="shared" si="13"/>
        <v>0</v>
      </c>
      <c r="AD52" s="1">
        <f t="shared" si="14"/>
        <v>0</v>
      </c>
      <c r="AE52" s="1">
        <f t="shared" si="15"/>
        <v>0</v>
      </c>
      <c r="AF52" s="1">
        <f t="shared" si="16"/>
        <v>0</v>
      </c>
      <c r="AG52" s="1">
        <f t="shared" si="17"/>
        <v>0</v>
      </c>
      <c r="AH52" s="1">
        <f t="shared" si="18"/>
        <v>1</v>
      </c>
    </row>
    <row r="53" spans="1:34" ht="14.25" customHeight="1" x14ac:dyDescent="0.25">
      <c r="A53" s="47">
        <v>0</v>
      </c>
      <c r="B53" s="47">
        <v>1</v>
      </c>
      <c r="C53" s="47">
        <v>2</v>
      </c>
      <c r="D53" s="48" t="s">
        <v>123</v>
      </c>
      <c r="E53" s="48" t="s">
        <v>177</v>
      </c>
      <c r="F53" s="48" t="s">
        <v>662</v>
      </c>
      <c r="G53" s="48" t="s">
        <v>39</v>
      </c>
      <c r="H53" s="48" t="s">
        <v>375</v>
      </c>
      <c r="I53" s="47" t="s">
        <v>474</v>
      </c>
      <c r="J53" s="47">
        <v>11</v>
      </c>
      <c r="K53" s="49" t="s">
        <v>711</v>
      </c>
      <c r="L53" s="49">
        <v>40</v>
      </c>
      <c r="M53" s="50" t="s">
        <v>699</v>
      </c>
      <c r="N53" s="50" t="s">
        <v>1818</v>
      </c>
      <c r="O53" s="51"/>
      <c r="P53" s="51"/>
      <c r="R53" s="1">
        <f t="shared" si="3"/>
        <v>0</v>
      </c>
      <c r="S53" s="1">
        <f t="shared" si="4"/>
        <v>0</v>
      </c>
      <c r="T53" s="1">
        <f t="shared" si="5"/>
        <v>0</v>
      </c>
      <c r="U53" s="1">
        <f t="shared" si="6"/>
        <v>0</v>
      </c>
      <c r="V53" s="1">
        <f t="shared" si="7"/>
        <v>0</v>
      </c>
      <c r="W53" s="1">
        <f t="shared" si="8"/>
        <v>0</v>
      </c>
      <c r="X53" s="1">
        <f t="shared" si="9"/>
        <v>0</v>
      </c>
      <c r="Y53" s="1">
        <f t="shared" si="10"/>
        <v>0</v>
      </c>
      <c r="Z53" s="1">
        <f t="shared" si="11"/>
        <v>0</v>
      </c>
      <c r="AA53" s="1">
        <f t="shared" si="12"/>
        <v>0</v>
      </c>
      <c r="AC53" s="1">
        <f t="shared" si="13"/>
        <v>0</v>
      </c>
      <c r="AD53" s="1">
        <f t="shared" si="14"/>
        <v>0</v>
      </c>
      <c r="AE53" s="1">
        <f t="shared" si="15"/>
        <v>0</v>
      </c>
      <c r="AF53" s="1">
        <f t="shared" si="16"/>
        <v>0</v>
      </c>
      <c r="AG53" s="1">
        <f t="shared" si="17"/>
        <v>0</v>
      </c>
      <c r="AH53" s="1">
        <f t="shared" si="18"/>
        <v>1</v>
      </c>
    </row>
    <row r="54" spans="1:34" ht="14.25" customHeight="1" x14ac:dyDescent="0.25">
      <c r="A54" s="47">
        <v>0</v>
      </c>
      <c r="B54" s="47">
        <v>1</v>
      </c>
      <c r="C54" s="47">
        <v>2</v>
      </c>
      <c r="D54" s="48" t="s">
        <v>1065</v>
      </c>
      <c r="E54" s="48" t="s">
        <v>177</v>
      </c>
      <c r="F54" s="48" t="s">
        <v>1066</v>
      </c>
      <c r="G54" s="48" t="s">
        <v>1067</v>
      </c>
      <c r="H54" s="48" t="s">
        <v>358</v>
      </c>
      <c r="I54" s="47" t="s">
        <v>1068</v>
      </c>
      <c r="J54" s="47">
        <v>1</v>
      </c>
      <c r="K54" s="49" t="s">
        <v>730</v>
      </c>
      <c r="L54" s="49" t="s">
        <v>694</v>
      </c>
      <c r="M54" s="50" t="s">
        <v>1130</v>
      </c>
      <c r="N54" s="50" t="s">
        <v>1756</v>
      </c>
      <c r="O54" s="51"/>
      <c r="P54" s="51"/>
      <c r="R54" s="1">
        <f t="shared" si="3"/>
        <v>1</v>
      </c>
      <c r="S54" s="1">
        <f t="shared" si="4"/>
        <v>0</v>
      </c>
      <c r="T54" s="1">
        <f t="shared" si="5"/>
        <v>0</v>
      </c>
      <c r="U54" s="1">
        <f t="shared" si="6"/>
        <v>0</v>
      </c>
      <c r="V54" s="1">
        <f t="shared" si="7"/>
        <v>0</v>
      </c>
      <c r="W54" s="1">
        <f t="shared" si="8"/>
        <v>0</v>
      </c>
      <c r="X54" s="1">
        <f t="shared" si="9"/>
        <v>0</v>
      </c>
      <c r="Y54" s="1">
        <f t="shared" si="10"/>
        <v>0</v>
      </c>
      <c r="Z54" s="1">
        <f t="shared" si="11"/>
        <v>0</v>
      </c>
      <c r="AA54" s="1">
        <f t="shared" si="12"/>
        <v>0</v>
      </c>
      <c r="AC54" s="1">
        <f t="shared" si="13"/>
        <v>0</v>
      </c>
      <c r="AD54" s="1">
        <f t="shared" si="14"/>
        <v>0</v>
      </c>
      <c r="AE54" s="1">
        <f t="shared" si="15"/>
        <v>0</v>
      </c>
      <c r="AF54" s="1">
        <f t="shared" si="16"/>
        <v>0</v>
      </c>
      <c r="AG54" s="1">
        <f t="shared" si="17"/>
        <v>0</v>
      </c>
      <c r="AH54" s="1">
        <f t="shared" si="18"/>
        <v>1</v>
      </c>
    </row>
    <row r="55" spans="1:34" ht="14.25" customHeight="1" x14ac:dyDescent="0.25">
      <c r="A55" s="47">
        <v>0</v>
      </c>
      <c r="B55" s="47">
        <v>1</v>
      </c>
      <c r="C55" s="47">
        <v>2</v>
      </c>
      <c r="D55" s="48" t="s">
        <v>1655</v>
      </c>
      <c r="E55" s="48" t="s">
        <v>177</v>
      </c>
      <c r="F55" s="48" t="s">
        <v>1681</v>
      </c>
      <c r="G55" s="48" t="s">
        <v>1682</v>
      </c>
      <c r="H55" s="48" t="s">
        <v>358</v>
      </c>
      <c r="I55" s="47" t="s">
        <v>1494</v>
      </c>
      <c r="J55" s="47">
        <v>99</v>
      </c>
      <c r="K55" s="49" t="s">
        <v>710</v>
      </c>
      <c r="L55" s="49">
        <v>45</v>
      </c>
      <c r="M55" s="50" t="s">
        <v>39</v>
      </c>
      <c r="N55" s="50" t="s">
        <v>1757</v>
      </c>
      <c r="O55" s="51"/>
      <c r="P55" s="51"/>
      <c r="R55" s="1">
        <f t="shared" si="3"/>
        <v>0</v>
      </c>
      <c r="S55" s="1">
        <f t="shared" si="4"/>
        <v>0</v>
      </c>
      <c r="T55" s="1">
        <f t="shared" si="5"/>
        <v>0</v>
      </c>
      <c r="U55" s="1">
        <f t="shared" si="6"/>
        <v>0</v>
      </c>
      <c r="V55" s="1">
        <f t="shared" si="7"/>
        <v>0</v>
      </c>
      <c r="W55" s="1">
        <f t="shared" si="8"/>
        <v>0</v>
      </c>
      <c r="X55" s="1">
        <f t="shared" si="9"/>
        <v>0</v>
      </c>
      <c r="Y55" s="1">
        <f t="shared" si="10"/>
        <v>0</v>
      </c>
      <c r="Z55" s="1">
        <f t="shared" si="11"/>
        <v>0</v>
      </c>
      <c r="AA55" s="1">
        <f t="shared" si="12"/>
        <v>0</v>
      </c>
      <c r="AC55" s="1">
        <f t="shared" si="13"/>
        <v>0</v>
      </c>
      <c r="AD55" s="1">
        <f t="shared" si="14"/>
        <v>0</v>
      </c>
      <c r="AE55" s="1">
        <f t="shared" si="15"/>
        <v>0</v>
      </c>
      <c r="AF55" s="1">
        <f t="shared" si="16"/>
        <v>0</v>
      </c>
      <c r="AG55" s="1">
        <f t="shared" si="17"/>
        <v>0</v>
      </c>
      <c r="AH55" s="1">
        <f t="shared" si="18"/>
        <v>1</v>
      </c>
    </row>
    <row r="56" spans="1:34" ht="14.25" customHeight="1" x14ac:dyDescent="0.25">
      <c r="A56" s="47">
        <v>0</v>
      </c>
      <c r="B56" s="47">
        <v>1</v>
      </c>
      <c r="C56" s="47">
        <v>2</v>
      </c>
      <c r="D56" s="48" t="s">
        <v>653</v>
      </c>
      <c r="E56" s="48" t="s">
        <v>177</v>
      </c>
      <c r="F56" s="48" t="s">
        <v>608</v>
      </c>
      <c r="G56" s="48" t="s">
        <v>601</v>
      </c>
      <c r="H56" s="48" t="s">
        <v>358</v>
      </c>
      <c r="I56" s="47" t="s">
        <v>684</v>
      </c>
      <c r="J56" s="47">
        <v>1</v>
      </c>
      <c r="K56" s="49" t="s">
        <v>710</v>
      </c>
      <c r="L56" s="49" t="s">
        <v>1716</v>
      </c>
      <c r="M56" s="50" t="s">
        <v>1400</v>
      </c>
      <c r="N56" s="50" t="s">
        <v>1751</v>
      </c>
      <c r="O56" s="51"/>
      <c r="P56" s="51"/>
      <c r="R56" s="1">
        <f t="shared" si="3"/>
        <v>1</v>
      </c>
      <c r="S56" s="1">
        <f t="shared" si="4"/>
        <v>0</v>
      </c>
      <c r="T56" s="1">
        <f t="shared" si="5"/>
        <v>0</v>
      </c>
      <c r="U56" s="1">
        <f t="shared" si="6"/>
        <v>0</v>
      </c>
      <c r="V56" s="1">
        <f t="shared" si="7"/>
        <v>0</v>
      </c>
      <c r="W56" s="1">
        <f t="shared" si="8"/>
        <v>0</v>
      </c>
      <c r="X56" s="1">
        <f t="shared" si="9"/>
        <v>0</v>
      </c>
      <c r="Y56" s="1">
        <f t="shared" si="10"/>
        <v>0</v>
      </c>
      <c r="Z56" s="1">
        <f t="shared" si="11"/>
        <v>0</v>
      </c>
      <c r="AA56" s="1">
        <f t="shared" si="12"/>
        <v>0</v>
      </c>
      <c r="AC56" s="1">
        <f t="shared" si="13"/>
        <v>0</v>
      </c>
      <c r="AD56" s="1">
        <f t="shared" si="14"/>
        <v>0</v>
      </c>
      <c r="AE56" s="1">
        <f t="shared" si="15"/>
        <v>0</v>
      </c>
      <c r="AF56" s="1">
        <f t="shared" si="16"/>
        <v>0</v>
      </c>
      <c r="AG56" s="1">
        <f t="shared" si="17"/>
        <v>0</v>
      </c>
      <c r="AH56" s="1">
        <f t="shared" si="18"/>
        <v>1</v>
      </c>
    </row>
    <row r="57" spans="1:34" ht="14.25" customHeight="1" x14ac:dyDescent="0.25">
      <c r="A57" s="15">
        <v>0</v>
      </c>
      <c r="B57" s="15">
        <v>1</v>
      </c>
      <c r="C57" s="15">
        <v>2</v>
      </c>
      <c r="D57" s="16" t="s">
        <v>1205</v>
      </c>
      <c r="E57" s="16" t="s">
        <v>176</v>
      </c>
      <c r="F57" s="16" t="s">
        <v>1206</v>
      </c>
      <c r="G57" s="16" t="s">
        <v>39</v>
      </c>
      <c r="H57" s="16" t="s">
        <v>1208</v>
      </c>
      <c r="I57" s="15" t="s">
        <v>1207</v>
      </c>
      <c r="J57" s="15">
        <v>17</v>
      </c>
      <c r="K57" s="10" t="s">
        <v>711</v>
      </c>
      <c r="L57" s="10" t="s">
        <v>1401</v>
      </c>
      <c r="M57" s="19" t="s">
        <v>1402</v>
      </c>
      <c r="N57" s="17"/>
      <c r="R57" s="1">
        <f t="shared" si="3"/>
        <v>0</v>
      </c>
      <c r="S57" s="1">
        <f t="shared" si="4"/>
        <v>0</v>
      </c>
      <c r="T57" s="1">
        <f t="shared" si="5"/>
        <v>0</v>
      </c>
      <c r="U57" s="1">
        <f t="shared" si="6"/>
        <v>0</v>
      </c>
      <c r="V57" s="1">
        <f t="shared" si="7"/>
        <v>0</v>
      </c>
      <c r="W57" s="1">
        <f t="shared" si="8"/>
        <v>0</v>
      </c>
      <c r="X57" s="1">
        <f t="shared" si="9"/>
        <v>0</v>
      </c>
      <c r="Y57" s="1">
        <f t="shared" si="10"/>
        <v>0</v>
      </c>
      <c r="Z57" s="1">
        <f t="shared" si="11"/>
        <v>0</v>
      </c>
      <c r="AA57" s="1">
        <f t="shared" si="12"/>
        <v>0</v>
      </c>
      <c r="AC57" s="1">
        <f t="shared" si="13"/>
        <v>0</v>
      </c>
      <c r="AD57" s="1">
        <f t="shared" si="14"/>
        <v>0</v>
      </c>
      <c r="AE57" s="1">
        <f t="shared" si="15"/>
        <v>0</v>
      </c>
      <c r="AF57" s="1">
        <f t="shared" si="16"/>
        <v>0</v>
      </c>
      <c r="AG57" s="1">
        <f t="shared" si="17"/>
        <v>0</v>
      </c>
      <c r="AH57" s="1">
        <f t="shared" si="18"/>
        <v>1</v>
      </c>
    </row>
    <row r="58" spans="1:34" ht="14.25" customHeight="1" x14ac:dyDescent="0.25">
      <c r="A58" s="15">
        <v>0</v>
      </c>
      <c r="B58" s="15">
        <v>1</v>
      </c>
      <c r="C58" s="15">
        <v>2</v>
      </c>
      <c r="D58" s="16" t="s">
        <v>1216</v>
      </c>
      <c r="E58" s="16" t="s">
        <v>176</v>
      </c>
      <c r="F58" s="16" t="s">
        <v>1217</v>
      </c>
      <c r="G58" s="16" t="s">
        <v>39</v>
      </c>
      <c r="H58" s="16" t="s">
        <v>1218</v>
      </c>
      <c r="I58" s="15" t="s">
        <v>1219</v>
      </c>
      <c r="J58" s="15">
        <v>18</v>
      </c>
      <c r="K58" s="10" t="s">
        <v>965</v>
      </c>
      <c r="L58" s="10" t="s">
        <v>703</v>
      </c>
      <c r="M58" s="19" t="s">
        <v>978</v>
      </c>
      <c r="N58" s="17"/>
      <c r="R58" s="1">
        <f t="shared" si="3"/>
        <v>0</v>
      </c>
      <c r="S58" s="1">
        <f t="shared" si="4"/>
        <v>0</v>
      </c>
      <c r="T58" s="1">
        <f t="shared" si="5"/>
        <v>0</v>
      </c>
      <c r="U58" s="1">
        <f t="shared" si="6"/>
        <v>0</v>
      </c>
      <c r="V58" s="1">
        <f t="shared" si="7"/>
        <v>0</v>
      </c>
      <c r="W58" s="1">
        <f t="shared" si="8"/>
        <v>0</v>
      </c>
      <c r="X58" s="1">
        <f t="shared" si="9"/>
        <v>0</v>
      </c>
      <c r="Y58" s="1">
        <f t="shared" si="10"/>
        <v>0</v>
      </c>
      <c r="Z58" s="1">
        <f t="shared" si="11"/>
        <v>0</v>
      </c>
      <c r="AA58" s="1">
        <f t="shared" si="12"/>
        <v>0</v>
      </c>
      <c r="AC58" s="1">
        <f t="shared" si="13"/>
        <v>0</v>
      </c>
      <c r="AD58" s="1">
        <f t="shared" si="14"/>
        <v>0</v>
      </c>
      <c r="AE58" s="1">
        <f t="shared" si="15"/>
        <v>0</v>
      </c>
      <c r="AF58" s="1">
        <f t="shared" si="16"/>
        <v>0</v>
      </c>
      <c r="AG58" s="1">
        <f t="shared" si="17"/>
        <v>0</v>
      </c>
      <c r="AH58" s="1">
        <f t="shared" si="18"/>
        <v>1</v>
      </c>
    </row>
    <row r="59" spans="1:34" ht="14.25" customHeight="1" x14ac:dyDescent="0.25">
      <c r="A59" s="15">
        <v>0</v>
      </c>
      <c r="B59" s="15">
        <v>1</v>
      </c>
      <c r="C59" s="15">
        <v>2</v>
      </c>
      <c r="D59" s="16" t="s">
        <v>1037</v>
      </c>
      <c r="E59" s="16" t="s">
        <v>177</v>
      </c>
      <c r="F59" s="16" t="s">
        <v>1039</v>
      </c>
      <c r="G59" s="16" t="s">
        <v>39</v>
      </c>
      <c r="H59" s="16" t="s">
        <v>369</v>
      </c>
      <c r="I59" s="15" t="s">
        <v>1038</v>
      </c>
      <c r="J59" s="15">
        <v>18</v>
      </c>
      <c r="K59" s="10" t="s">
        <v>710</v>
      </c>
      <c r="L59" s="10" t="s">
        <v>1154</v>
      </c>
      <c r="M59" s="19" t="s">
        <v>699</v>
      </c>
      <c r="N59" s="17"/>
      <c r="R59" s="1">
        <f t="shared" si="3"/>
        <v>0</v>
      </c>
      <c r="S59" s="1">
        <f t="shared" si="4"/>
        <v>0</v>
      </c>
      <c r="T59" s="1">
        <f t="shared" si="5"/>
        <v>0</v>
      </c>
      <c r="U59" s="1">
        <f t="shared" si="6"/>
        <v>0</v>
      </c>
      <c r="V59" s="1">
        <f t="shared" si="7"/>
        <v>0</v>
      </c>
      <c r="W59" s="1">
        <f t="shared" si="8"/>
        <v>0</v>
      </c>
      <c r="X59" s="1">
        <f t="shared" si="9"/>
        <v>0</v>
      </c>
      <c r="Y59" s="1">
        <f t="shared" si="10"/>
        <v>0</v>
      </c>
      <c r="Z59" s="1">
        <f t="shared" si="11"/>
        <v>0</v>
      </c>
      <c r="AA59" s="1">
        <f t="shared" si="12"/>
        <v>0</v>
      </c>
      <c r="AC59" s="1">
        <f t="shared" si="13"/>
        <v>0</v>
      </c>
      <c r="AD59" s="1">
        <f t="shared" si="14"/>
        <v>0</v>
      </c>
      <c r="AE59" s="1">
        <f t="shared" si="15"/>
        <v>0</v>
      </c>
      <c r="AF59" s="1">
        <f t="shared" si="16"/>
        <v>0</v>
      </c>
      <c r="AG59" s="1">
        <f t="shared" si="17"/>
        <v>0</v>
      </c>
      <c r="AH59" s="1">
        <f t="shared" si="18"/>
        <v>1</v>
      </c>
    </row>
    <row r="60" spans="1:34" ht="14.25" customHeight="1" x14ac:dyDescent="0.25">
      <c r="A60" s="34">
        <v>0</v>
      </c>
      <c r="B60" s="34">
        <v>1</v>
      </c>
      <c r="C60" s="34">
        <v>2</v>
      </c>
      <c r="D60" s="35" t="s">
        <v>1608</v>
      </c>
      <c r="E60" s="35" t="s">
        <v>177</v>
      </c>
      <c r="F60" s="35" t="s">
        <v>1609</v>
      </c>
      <c r="G60" s="35" t="s">
        <v>1610</v>
      </c>
      <c r="H60" s="35" t="s">
        <v>358</v>
      </c>
      <c r="I60" s="34" t="s">
        <v>1503</v>
      </c>
      <c r="J60" s="34">
        <v>99</v>
      </c>
      <c r="K60" s="36" t="s">
        <v>710</v>
      </c>
      <c r="L60" s="36" t="s">
        <v>39</v>
      </c>
      <c r="M60" s="37" t="s">
        <v>39</v>
      </c>
      <c r="N60" s="37" t="s">
        <v>1743</v>
      </c>
      <c r="O60" s="38">
        <v>1</v>
      </c>
      <c r="P60" s="38">
        <v>1</v>
      </c>
      <c r="R60" s="1">
        <f t="shared" si="3"/>
        <v>0</v>
      </c>
      <c r="S60" s="1">
        <f t="shared" si="4"/>
        <v>0</v>
      </c>
      <c r="T60" s="1">
        <f t="shared" si="5"/>
        <v>0</v>
      </c>
      <c r="U60" s="1">
        <f t="shared" si="6"/>
        <v>0</v>
      </c>
      <c r="V60" s="1">
        <f t="shared" si="7"/>
        <v>0</v>
      </c>
      <c r="W60" s="1">
        <f t="shared" si="8"/>
        <v>0</v>
      </c>
      <c r="X60" s="1">
        <f t="shared" si="9"/>
        <v>0</v>
      </c>
      <c r="Y60" s="1">
        <f t="shared" si="10"/>
        <v>0</v>
      </c>
      <c r="Z60" s="1">
        <f t="shared" si="11"/>
        <v>0</v>
      </c>
      <c r="AA60" s="1">
        <f t="shared" si="12"/>
        <v>0</v>
      </c>
      <c r="AC60" s="1">
        <f t="shared" si="13"/>
        <v>1</v>
      </c>
      <c r="AD60" s="1">
        <f t="shared" si="14"/>
        <v>0</v>
      </c>
      <c r="AE60" s="1">
        <f t="shared" si="15"/>
        <v>1</v>
      </c>
      <c r="AF60" s="1">
        <f t="shared" si="16"/>
        <v>0</v>
      </c>
      <c r="AG60" s="1">
        <f t="shared" si="17"/>
        <v>1</v>
      </c>
      <c r="AH60" s="1">
        <f t="shared" si="18"/>
        <v>0</v>
      </c>
    </row>
    <row r="61" spans="1:34" ht="14.25" customHeight="1" x14ac:dyDescent="0.25">
      <c r="A61" s="41">
        <v>0</v>
      </c>
      <c r="B61" s="41">
        <v>1</v>
      </c>
      <c r="C61" s="41">
        <v>2</v>
      </c>
      <c r="D61" s="42" t="s">
        <v>1636</v>
      </c>
      <c r="E61" s="42" t="s">
        <v>172</v>
      </c>
      <c r="F61" s="42" t="s">
        <v>1637</v>
      </c>
      <c r="G61" s="42" t="s">
        <v>39</v>
      </c>
      <c r="H61" s="42" t="s">
        <v>359</v>
      </c>
      <c r="I61" s="41" t="s">
        <v>1638</v>
      </c>
      <c r="J61" s="41">
        <v>11</v>
      </c>
      <c r="K61" s="43" t="s">
        <v>965</v>
      </c>
      <c r="L61" s="43" t="s">
        <v>39</v>
      </c>
      <c r="M61" s="44" t="s">
        <v>39</v>
      </c>
      <c r="N61" s="45"/>
      <c r="O61" s="46"/>
      <c r="P61" s="46">
        <v>1</v>
      </c>
      <c r="R61" s="1">
        <f t="shared" si="3"/>
        <v>0</v>
      </c>
      <c r="S61" s="1">
        <f t="shared" si="4"/>
        <v>0</v>
      </c>
      <c r="T61" s="1">
        <f t="shared" si="5"/>
        <v>0</v>
      </c>
      <c r="U61" s="1">
        <f t="shared" si="6"/>
        <v>0</v>
      </c>
      <c r="V61" s="1">
        <f t="shared" si="7"/>
        <v>0</v>
      </c>
      <c r="W61" s="1">
        <f t="shared" si="8"/>
        <v>0</v>
      </c>
      <c r="X61" s="1">
        <f t="shared" si="9"/>
        <v>0</v>
      </c>
      <c r="Y61" s="1">
        <f t="shared" si="10"/>
        <v>0</v>
      </c>
      <c r="Z61" s="1">
        <f t="shared" si="11"/>
        <v>0</v>
      </c>
      <c r="AA61" s="1">
        <f t="shared" si="12"/>
        <v>0</v>
      </c>
      <c r="AC61" s="1">
        <f t="shared" si="13"/>
        <v>0</v>
      </c>
      <c r="AD61" s="1">
        <f t="shared" si="14"/>
        <v>0</v>
      </c>
      <c r="AE61" s="1">
        <f t="shared" si="15"/>
        <v>0</v>
      </c>
      <c r="AF61" s="1">
        <f t="shared" si="16"/>
        <v>0</v>
      </c>
      <c r="AG61" s="1">
        <f t="shared" si="17"/>
        <v>1</v>
      </c>
      <c r="AH61" s="1">
        <f t="shared" si="18"/>
        <v>0</v>
      </c>
    </row>
    <row r="62" spans="1:34" ht="14.25" customHeight="1" x14ac:dyDescent="0.25">
      <c r="A62" s="41">
        <v>0</v>
      </c>
      <c r="B62" s="41">
        <v>1</v>
      </c>
      <c r="C62" s="41">
        <v>2</v>
      </c>
      <c r="D62" s="42" t="s">
        <v>1633</v>
      </c>
      <c r="E62" s="42" t="s">
        <v>176</v>
      </c>
      <c r="F62" s="42" t="s">
        <v>1634</v>
      </c>
      <c r="G62" s="42" t="s">
        <v>1499</v>
      </c>
      <c r="H62" s="42" t="s">
        <v>358</v>
      </c>
      <c r="I62" s="41" t="s">
        <v>1635</v>
      </c>
      <c r="J62" s="41">
        <v>99</v>
      </c>
      <c r="K62" s="43" t="s">
        <v>970</v>
      </c>
      <c r="L62" s="43" t="s">
        <v>39</v>
      </c>
      <c r="M62" s="44" t="s">
        <v>39</v>
      </c>
      <c r="N62" s="45"/>
      <c r="O62" s="46"/>
      <c r="P62" s="46">
        <v>1</v>
      </c>
      <c r="R62" s="1">
        <f t="shared" si="3"/>
        <v>0</v>
      </c>
      <c r="S62" s="1">
        <f t="shared" si="4"/>
        <v>0</v>
      </c>
      <c r="T62" s="1">
        <f t="shared" si="5"/>
        <v>0</v>
      </c>
      <c r="U62" s="1">
        <f t="shared" si="6"/>
        <v>0</v>
      </c>
      <c r="V62" s="1">
        <f t="shared" si="7"/>
        <v>0</v>
      </c>
      <c r="W62" s="1">
        <f t="shared" si="8"/>
        <v>0</v>
      </c>
      <c r="X62" s="1">
        <f t="shared" si="9"/>
        <v>0</v>
      </c>
      <c r="Y62" s="1">
        <f t="shared" si="10"/>
        <v>0</v>
      </c>
      <c r="Z62" s="1">
        <f t="shared" si="11"/>
        <v>0</v>
      </c>
      <c r="AA62" s="1">
        <f t="shared" si="12"/>
        <v>0</v>
      </c>
      <c r="AC62" s="1">
        <f t="shared" si="13"/>
        <v>0</v>
      </c>
      <c r="AD62" s="1">
        <f t="shared" si="14"/>
        <v>0</v>
      </c>
      <c r="AE62" s="1">
        <f t="shared" si="15"/>
        <v>0</v>
      </c>
      <c r="AF62" s="1">
        <f t="shared" si="16"/>
        <v>0</v>
      </c>
      <c r="AG62" s="1">
        <f t="shared" si="17"/>
        <v>1</v>
      </c>
      <c r="AH62" s="1">
        <f t="shared" si="18"/>
        <v>0</v>
      </c>
    </row>
    <row r="63" spans="1:34" ht="14.25" customHeight="1" x14ac:dyDescent="0.25">
      <c r="A63" s="41">
        <v>0</v>
      </c>
      <c r="B63" s="41">
        <v>1</v>
      </c>
      <c r="C63" s="41">
        <v>2</v>
      </c>
      <c r="D63" s="42" t="s">
        <v>575</v>
      </c>
      <c r="E63" s="42" t="s">
        <v>585</v>
      </c>
      <c r="F63" s="42" t="s">
        <v>564</v>
      </c>
      <c r="G63" s="42" t="s">
        <v>265</v>
      </c>
      <c r="H63" s="42" t="s">
        <v>358</v>
      </c>
      <c r="I63" s="41" t="s">
        <v>565</v>
      </c>
      <c r="J63" s="41">
        <v>99</v>
      </c>
      <c r="K63" s="43" t="s">
        <v>964</v>
      </c>
      <c r="L63" s="43" t="s">
        <v>39</v>
      </c>
      <c r="M63" s="44" t="s">
        <v>39</v>
      </c>
      <c r="N63" s="45"/>
      <c r="O63" s="46"/>
      <c r="P63" s="46">
        <v>1</v>
      </c>
      <c r="R63" s="1">
        <f t="shared" si="3"/>
        <v>0</v>
      </c>
      <c r="S63" s="1">
        <f t="shared" si="4"/>
        <v>0</v>
      </c>
      <c r="T63" s="1">
        <f t="shared" si="5"/>
        <v>0</v>
      </c>
      <c r="U63" s="1">
        <f t="shared" si="6"/>
        <v>0</v>
      </c>
      <c r="V63" s="1">
        <f t="shared" si="7"/>
        <v>0</v>
      </c>
      <c r="W63" s="1">
        <f t="shared" si="8"/>
        <v>0</v>
      </c>
      <c r="X63" s="1">
        <f t="shared" si="9"/>
        <v>0</v>
      </c>
      <c r="Y63" s="1">
        <f t="shared" si="10"/>
        <v>0</v>
      </c>
      <c r="Z63" s="1">
        <f t="shared" si="11"/>
        <v>0</v>
      </c>
      <c r="AA63" s="1">
        <f t="shared" si="12"/>
        <v>0</v>
      </c>
      <c r="AC63" s="1">
        <f t="shared" si="13"/>
        <v>0</v>
      </c>
      <c r="AD63" s="1">
        <f t="shared" si="14"/>
        <v>0</v>
      </c>
      <c r="AE63" s="1">
        <f t="shared" si="15"/>
        <v>0</v>
      </c>
      <c r="AF63" s="1">
        <f t="shared" si="16"/>
        <v>0</v>
      </c>
      <c r="AG63" s="1">
        <f t="shared" si="17"/>
        <v>1</v>
      </c>
      <c r="AH63" s="1">
        <f t="shared" si="18"/>
        <v>0</v>
      </c>
    </row>
    <row r="64" spans="1:34" ht="14.25" customHeight="1" x14ac:dyDescent="0.25">
      <c r="A64" s="34">
        <v>0</v>
      </c>
      <c r="B64" s="34">
        <v>1</v>
      </c>
      <c r="C64" s="34">
        <v>2</v>
      </c>
      <c r="D64" s="35" t="s">
        <v>807</v>
      </c>
      <c r="E64" s="35" t="s">
        <v>176</v>
      </c>
      <c r="F64" s="35" t="s">
        <v>809</v>
      </c>
      <c r="G64" s="35" t="s">
        <v>39</v>
      </c>
      <c r="H64" s="35" t="s">
        <v>808</v>
      </c>
      <c r="I64" s="34" t="s">
        <v>810</v>
      </c>
      <c r="J64" s="34">
        <v>14</v>
      </c>
      <c r="K64" s="36" t="s">
        <v>972</v>
      </c>
      <c r="L64" s="36" t="s">
        <v>1722</v>
      </c>
      <c r="M64" s="37" t="s">
        <v>1394</v>
      </c>
      <c r="N64" s="37" t="s">
        <v>1765</v>
      </c>
      <c r="O64" s="38">
        <v>1</v>
      </c>
      <c r="P64" s="38"/>
      <c r="R64" s="1">
        <f t="shared" si="3"/>
        <v>0</v>
      </c>
      <c r="S64" s="1">
        <f t="shared" si="4"/>
        <v>0</v>
      </c>
      <c r="T64" s="1">
        <f t="shared" si="5"/>
        <v>0</v>
      </c>
      <c r="U64" s="1">
        <f t="shared" si="6"/>
        <v>0</v>
      </c>
      <c r="V64" s="1">
        <f t="shared" si="7"/>
        <v>0</v>
      </c>
      <c r="W64" s="1">
        <f t="shared" si="8"/>
        <v>0</v>
      </c>
      <c r="X64" s="1">
        <f t="shared" si="9"/>
        <v>0</v>
      </c>
      <c r="Y64" s="1">
        <f t="shared" si="10"/>
        <v>0</v>
      </c>
      <c r="Z64" s="1">
        <f t="shared" si="11"/>
        <v>0</v>
      </c>
      <c r="AA64" s="1">
        <f t="shared" si="12"/>
        <v>0</v>
      </c>
      <c r="AC64" s="1">
        <f t="shared" si="13"/>
        <v>0</v>
      </c>
      <c r="AD64" s="1">
        <f t="shared" si="14"/>
        <v>1</v>
      </c>
      <c r="AE64" s="1">
        <f t="shared" si="15"/>
        <v>0</v>
      </c>
      <c r="AF64" s="1">
        <f t="shared" si="16"/>
        <v>1</v>
      </c>
      <c r="AG64" s="1">
        <f t="shared" si="17"/>
        <v>0</v>
      </c>
      <c r="AH64" s="1">
        <f t="shared" si="18"/>
        <v>1</v>
      </c>
    </row>
    <row r="65" spans="1:34" ht="14.25" customHeight="1" x14ac:dyDescent="0.25">
      <c r="A65" s="15">
        <v>0</v>
      </c>
      <c r="B65" s="15">
        <v>1</v>
      </c>
      <c r="C65" s="15">
        <v>2</v>
      </c>
      <c r="D65" s="16" t="s">
        <v>1337</v>
      </c>
      <c r="E65" s="16" t="s">
        <v>177</v>
      </c>
      <c r="F65" s="16" t="s">
        <v>1361</v>
      </c>
      <c r="G65" s="16" t="s">
        <v>39</v>
      </c>
      <c r="H65" s="16" t="s">
        <v>367</v>
      </c>
      <c r="I65" s="15" t="s">
        <v>1155</v>
      </c>
      <c r="J65" s="15">
        <v>14</v>
      </c>
      <c r="K65" s="10" t="s">
        <v>730</v>
      </c>
      <c r="L65" s="10" t="s">
        <v>1715</v>
      </c>
      <c r="M65" s="19" t="s">
        <v>980</v>
      </c>
      <c r="N65" s="17"/>
      <c r="R65" s="1">
        <f t="shared" si="3"/>
        <v>0</v>
      </c>
      <c r="S65" s="1">
        <f t="shared" si="4"/>
        <v>0</v>
      </c>
      <c r="T65" s="1">
        <f t="shared" si="5"/>
        <v>0</v>
      </c>
      <c r="U65" s="1">
        <f t="shared" si="6"/>
        <v>0</v>
      </c>
      <c r="V65" s="1">
        <f t="shared" si="7"/>
        <v>0</v>
      </c>
      <c r="W65" s="1">
        <f t="shared" si="8"/>
        <v>0</v>
      </c>
      <c r="X65" s="1">
        <f t="shared" si="9"/>
        <v>0</v>
      </c>
      <c r="Y65" s="1">
        <f t="shared" si="10"/>
        <v>0</v>
      </c>
      <c r="Z65" s="1">
        <f t="shared" si="11"/>
        <v>0</v>
      </c>
      <c r="AA65" s="1">
        <f t="shared" si="12"/>
        <v>0</v>
      </c>
      <c r="AC65" s="1">
        <f t="shared" si="13"/>
        <v>0</v>
      </c>
      <c r="AD65" s="1">
        <f t="shared" si="14"/>
        <v>0</v>
      </c>
      <c r="AE65" s="1">
        <f t="shared" si="15"/>
        <v>0</v>
      </c>
      <c r="AF65" s="1">
        <f t="shared" si="16"/>
        <v>0</v>
      </c>
      <c r="AG65" s="1">
        <f t="shared" si="17"/>
        <v>0</v>
      </c>
      <c r="AH65" s="1">
        <f t="shared" si="18"/>
        <v>1</v>
      </c>
    </row>
    <row r="66" spans="1:34" ht="14.25" customHeight="1" x14ac:dyDescent="0.25">
      <c r="A66" s="47">
        <v>0</v>
      </c>
      <c r="B66" s="47">
        <v>1</v>
      </c>
      <c r="C66" s="47">
        <v>2</v>
      </c>
      <c r="D66" s="48" t="s">
        <v>1531</v>
      </c>
      <c r="E66" s="48" t="s">
        <v>172</v>
      </c>
      <c r="F66" s="48" t="s">
        <v>1533</v>
      </c>
      <c r="G66" s="48" t="s">
        <v>1179</v>
      </c>
      <c r="H66" s="48" t="s">
        <v>358</v>
      </c>
      <c r="I66" s="47" t="s">
        <v>1532</v>
      </c>
      <c r="J66" s="47">
        <v>11</v>
      </c>
      <c r="K66" s="49" t="s">
        <v>730</v>
      </c>
      <c r="L66" s="49">
        <v>50</v>
      </c>
      <c r="M66" s="50" t="s">
        <v>39</v>
      </c>
      <c r="N66" s="50" t="s">
        <v>1825</v>
      </c>
      <c r="O66" s="51"/>
      <c r="P66" s="51"/>
      <c r="R66" s="1">
        <f t="shared" si="3"/>
        <v>0</v>
      </c>
      <c r="S66" s="1">
        <f t="shared" si="4"/>
        <v>0</v>
      </c>
      <c r="T66" s="1">
        <f t="shared" si="5"/>
        <v>0</v>
      </c>
      <c r="U66" s="1">
        <f t="shared" si="6"/>
        <v>0</v>
      </c>
      <c r="V66" s="1">
        <f t="shared" si="7"/>
        <v>0</v>
      </c>
      <c r="W66" s="1">
        <f t="shared" si="8"/>
        <v>0</v>
      </c>
      <c r="X66" s="1">
        <f t="shared" si="9"/>
        <v>0</v>
      </c>
      <c r="Y66" s="1">
        <f t="shared" si="10"/>
        <v>0</v>
      </c>
      <c r="Z66" s="1">
        <f t="shared" si="11"/>
        <v>0</v>
      </c>
      <c r="AA66" s="1">
        <f t="shared" si="12"/>
        <v>0</v>
      </c>
      <c r="AC66" s="1">
        <f t="shared" si="13"/>
        <v>0</v>
      </c>
      <c r="AD66" s="1">
        <f t="shared" si="14"/>
        <v>0</v>
      </c>
      <c r="AE66" s="1">
        <f t="shared" si="15"/>
        <v>0</v>
      </c>
      <c r="AF66" s="1">
        <f t="shared" si="16"/>
        <v>0</v>
      </c>
      <c r="AG66" s="1">
        <f t="shared" si="17"/>
        <v>0</v>
      </c>
      <c r="AH66" s="1">
        <f t="shared" si="18"/>
        <v>1</v>
      </c>
    </row>
    <row r="67" spans="1:34" ht="14.25" customHeight="1" x14ac:dyDescent="0.25">
      <c r="A67" s="47">
        <v>0</v>
      </c>
      <c r="B67" s="47">
        <v>1</v>
      </c>
      <c r="C67" s="47">
        <v>2</v>
      </c>
      <c r="D67" s="48" t="s">
        <v>1148</v>
      </c>
      <c r="E67" s="48" t="s">
        <v>177</v>
      </c>
      <c r="F67" s="48" t="s">
        <v>1151</v>
      </c>
      <c r="G67" s="48" t="s">
        <v>39</v>
      </c>
      <c r="H67" s="48" t="s">
        <v>1149</v>
      </c>
      <c r="I67" s="47" t="s">
        <v>1150</v>
      </c>
      <c r="J67" s="47">
        <v>12</v>
      </c>
      <c r="K67" s="49" t="s">
        <v>711</v>
      </c>
      <c r="L67" s="49">
        <v>50</v>
      </c>
      <c r="M67" s="50" t="s">
        <v>39</v>
      </c>
      <c r="N67" s="50" t="s">
        <v>1750</v>
      </c>
      <c r="O67" s="51"/>
      <c r="P67" s="51"/>
      <c r="R67" s="1">
        <f t="shared" si="3"/>
        <v>0</v>
      </c>
      <c r="S67" s="1">
        <f t="shared" si="4"/>
        <v>0</v>
      </c>
      <c r="T67" s="1">
        <f t="shared" si="5"/>
        <v>0</v>
      </c>
      <c r="U67" s="1">
        <f t="shared" si="6"/>
        <v>0</v>
      </c>
      <c r="V67" s="1">
        <f t="shared" si="7"/>
        <v>0</v>
      </c>
      <c r="W67" s="1">
        <f t="shared" si="8"/>
        <v>0</v>
      </c>
      <c r="X67" s="1">
        <f t="shared" si="9"/>
        <v>0</v>
      </c>
      <c r="Y67" s="1">
        <f t="shared" si="10"/>
        <v>0</v>
      </c>
      <c r="Z67" s="1">
        <f t="shared" si="11"/>
        <v>0</v>
      </c>
      <c r="AA67" s="1">
        <f t="shared" si="12"/>
        <v>0</v>
      </c>
      <c r="AC67" s="1">
        <f t="shared" si="13"/>
        <v>0</v>
      </c>
      <c r="AD67" s="1">
        <f t="shared" si="14"/>
        <v>0</v>
      </c>
      <c r="AE67" s="1">
        <f t="shared" si="15"/>
        <v>0</v>
      </c>
      <c r="AF67" s="1">
        <f t="shared" si="16"/>
        <v>0</v>
      </c>
      <c r="AG67" s="1">
        <f t="shared" si="17"/>
        <v>0</v>
      </c>
      <c r="AH67" s="1">
        <f t="shared" si="18"/>
        <v>1</v>
      </c>
    </row>
    <row r="68" spans="1:34" ht="14.25" customHeight="1" x14ac:dyDescent="0.25">
      <c r="A68" s="60">
        <v>0</v>
      </c>
      <c r="B68" s="60">
        <v>1</v>
      </c>
      <c r="C68" s="60">
        <v>2</v>
      </c>
      <c r="D68" s="61" t="s">
        <v>156</v>
      </c>
      <c r="E68" s="61" t="s">
        <v>173</v>
      </c>
      <c r="F68" s="61" t="s">
        <v>943</v>
      </c>
      <c r="G68" s="61" t="s">
        <v>188</v>
      </c>
      <c r="H68" s="61" t="s">
        <v>358</v>
      </c>
      <c r="I68" s="60" t="s">
        <v>507</v>
      </c>
      <c r="J68" s="60">
        <v>1</v>
      </c>
      <c r="K68" s="62" t="s">
        <v>968</v>
      </c>
      <c r="L68" s="62" t="s">
        <v>39</v>
      </c>
      <c r="M68" s="63" t="s">
        <v>39</v>
      </c>
      <c r="N68" s="64"/>
      <c r="O68" s="65"/>
      <c r="P68" s="65">
        <v>1</v>
      </c>
      <c r="R68" s="1">
        <f t="shared" si="3"/>
        <v>1</v>
      </c>
      <c r="S68" s="1">
        <f t="shared" si="4"/>
        <v>0</v>
      </c>
      <c r="T68" s="1">
        <f t="shared" si="5"/>
        <v>0</v>
      </c>
      <c r="U68" s="1">
        <f t="shared" si="6"/>
        <v>0</v>
      </c>
      <c r="V68" s="1">
        <f t="shared" si="7"/>
        <v>0</v>
      </c>
      <c r="W68" s="1">
        <f t="shared" si="8"/>
        <v>0</v>
      </c>
      <c r="X68" s="1">
        <f t="shared" si="9"/>
        <v>0</v>
      </c>
      <c r="Y68" s="1">
        <f t="shared" si="10"/>
        <v>0</v>
      </c>
      <c r="Z68" s="1">
        <f t="shared" si="11"/>
        <v>0</v>
      </c>
      <c r="AA68" s="1">
        <f t="shared" si="12"/>
        <v>0</v>
      </c>
      <c r="AC68" s="1">
        <f t="shared" si="13"/>
        <v>0</v>
      </c>
      <c r="AD68" s="1">
        <f t="shared" si="14"/>
        <v>0</v>
      </c>
      <c r="AE68" s="1">
        <f t="shared" si="15"/>
        <v>0</v>
      </c>
      <c r="AF68" s="1">
        <f t="shared" si="16"/>
        <v>0</v>
      </c>
      <c r="AG68" s="1">
        <f t="shared" si="17"/>
        <v>1</v>
      </c>
      <c r="AH68" s="1">
        <f t="shared" si="18"/>
        <v>0</v>
      </c>
    </row>
    <row r="69" spans="1:34" ht="14.25" customHeight="1" x14ac:dyDescent="0.25">
      <c r="A69" s="34">
        <v>0</v>
      </c>
      <c r="B69" s="34">
        <v>1</v>
      </c>
      <c r="C69" s="34">
        <v>2</v>
      </c>
      <c r="D69" s="35" t="s">
        <v>1463</v>
      </c>
      <c r="E69" s="35" t="s">
        <v>177</v>
      </c>
      <c r="F69" s="35" t="s">
        <v>1460</v>
      </c>
      <c r="G69" s="35" t="s">
        <v>39</v>
      </c>
      <c r="H69" s="35" t="s">
        <v>358</v>
      </c>
      <c r="I69" s="34" t="s">
        <v>1461</v>
      </c>
      <c r="J69" s="34">
        <v>99</v>
      </c>
      <c r="K69" s="36" t="s">
        <v>710</v>
      </c>
      <c r="L69" s="36" t="s">
        <v>697</v>
      </c>
      <c r="M69" s="37" t="s">
        <v>1462</v>
      </c>
      <c r="N69" s="37" t="s">
        <v>1743</v>
      </c>
      <c r="O69" s="38">
        <v>1</v>
      </c>
      <c r="P69" s="38">
        <v>1</v>
      </c>
      <c r="R69" s="1">
        <f t="shared" si="3"/>
        <v>0</v>
      </c>
      <c r="S69" s="1">
        <f t="shared" si="4"/>
        <v>0</v>
      </c>
      <c r="T69" s="1">
        <f t="shared" si="5"/>
        <v>0</v>
      </c>
      <c r="U69" s="1">
        <f t="shared" si="6"/>
        <v>0</v>
      </c>
      <c r="V69" s="1">
        <f t="shared" si="7"/>
        <v>0</v>
      </c>
      <c r="W69" s="1">
        <f t="shared" si="8"/>
        <v>0</v>
      </c>
      <c r="X69" s="1">
        <f t="shared" si="9"/>
        <v>0</v>
      </c>
      <c r="Y69" s="1">
        <f t="shared" si="10"/>
        <v>0</v>
      </c>
      <c r="Z69" s="1">
        <f t="shared" si="11"/>
        <v>0</v>
      </c>
      <c r="AA69" s="1">
        <f t="shared" si="12"/>
        <v>0</v>
      </c>
      <c r="AC69" s="1">
        <f t="shared" si="13"/>
        <v>1</v>
      </c>
      <c r="AD69" s="1">
        <f t="shared" si="14"/>
        <v>0</v>
      </c>
      <c r="AE69" s="1">
        <f t="shared" si="15"/>
        <v>1</v>
      </c>
      <c r="AF69" s="1">
        <f t="shared" si="16"/>
        <v>0</v>
      </c>
      <c r="AG69" s="1">
        <f t="shared" si="17"/>
        <v>1</v>
      </c>
      <c r="AH69" s="1">
        <f t="shared" si="18"/>
        <v>0</v>
      </c>
    </row>
    <row r="70" spans="1:34" ht="14.25" customHeight="1" x14ac:dyDescent="0.25">
      <c r="A70" s="41">
        <v>0</v>
      </c>
      <c r="B70" s="41">
        <v>1</v>
      </c>
      <c r="C70" s="41">
        <v>2</v>
      </c>
      <c r="D70" s="42" t="s">
        <v>823</v>
      </c>
      <c r="E70" s="42" t="s">
        <v>177</v>
      </c>
      <c r="F70" s="42" t="s">
        <v>944</v>
      </c>
      <c r="G70" s="42" t="s">
        <v>215</v>
      </c>
      <c r="H70" s="42" t="s">
        <v>358</v>
      </c>
      <c r="I70" s="41" t="s">
        <v>824</v>
      </c>
      <c r="J70" s="41">
        <v>1</v>
      </c>
      <c r="K70" s="43" t="s">
        <v>964</v>
      </c>
      <c r="L70" s="43" t="s">
        <v>39</v>
      </c>
      <c r="M70" s="44" t="s">
        <v>39</v>
      </c>
      <c r="N70" s="45"/>
      <c r="O70" s="46"/>
      <c r="P70" s="46">
        <v>1</v>
      </c>
      <c r="R70" s="1">
        <f t="shared" si="3"/>
        <v>1</v>
      </c>
      <c r="S70" s="1">
        <f t="shared" si="4"/>
        <v>0</v>
      </c>
      <c r="T70" s="1">
        <f t="shared" si="5"/>
        <v>0</v>
      </c>
      <c r="U70" s="1">
        <f t="shared" si="6"/>
        <v>0</v>
      </c>
      <c r="V70" s="1">
        <f t="shared" si="7"/>
        <v>0</v>
      </c>
      <c r="W70" s="1">
        <f t="shared" si="8"/>
        <v>0</v>
      </c>
      <c r="X70" s="1">
        <f t="shared" si="9"/>
        <v>0</v>
      </c>
      <c r="Y70" s="1">
        <f t="shared" si="10"/>
        <v>0</v>
      </c>
      <c r="Z70" s="1">
        <f t="shared" si="11"/>
        <v>0</v>
      </c>
      <c r="AA70" s="1">
        <f t="shared" si="12"/>
        <v>0</v>
      </c>
      <c r="AC70" s="1">
        <f t="shared" si="13"/>
        <v>0</v>
      </c>
      <c r="AD70" s="1">
        <f t="shared" si="14"/>
        <v>0</v>
      </c>
      <c r="AE70" s="1">
        <f t="shared" si="15"/>
        <v>0</v>
      </c>
      <c r="AF70" s="1">
        <f t="shared" si="16"/>
        <v>0</v>
      </c>
      <c r="AG70" s="1">
        <f t="shared" si="17"/>
        <v>1</v>
      </c>
      <c r="AH70" s="1">
        <f t="shared" si="18"/>
        <v>0</v>
      </c>
    </row>
    <row r="71" spans="1:34" ht="14.25" customHeight="1" x14ac:dyDescent="0.25">
      <c r="A71" s="15">
        <v>0</v>
      </c>
      <c r="B71" s="15">
        <v>1</v>
      </c>
      <c r="C71" s="15">
        <v>2</v>
      </c>
      <c r="D71" s="16" t="s">
        <v>1338</v>
      </c>
      <c r="E71" s="16" t="s">
        <v>177</v>
      </c>
      <c r="F71" s="16" t="s">
        <v>1137</v>
      </c>
      <c r="G71" s="16" t="s">
        <v>39</v>
      </c>
      <c r="H71" s="16" t="s">
        <v>1136</v>
      </c>
      <c r="I71" s="15" t="s">
        <v>1135</v>
      </c>
      <c r="J71" s="15">
        <v>15</v>
      </c>
      <c r="K71" s="10" t="s">
        <v>965</v>
      </c>
      <c r="L71" s="10">
        <v>75</v>
      </c>
      <c r="M71" s="19" t="s">
        <v>1403</v>
      </c>
      <c r="N71" s="17"/>
      <c r="R71" s="1">
        <f t="shared" si="3"/>
        <v>0</v>
      </c>
      <c r="S71" s="1">
        <f t="shared" si="4"/>
        <v>0</v>
      </c>
      <c r="T71" s="1">
        <f t="shared" si="5"/>
        <v>0</v>
      </c>
      <c r="U71" s="1">
        <f t="shared" si="6"/>
        <v>0</v>
      </c>
      <c r="V71" s="1">
        <f t="shared" si="7"/>
        <v>0</v>
      </c>
      <c r="W71" s="1">
        <f t="shared" si="8"/>
        <v>0</v>
      </c>
      <c r="X71" s="1">
        <f t="shared" si="9"/>
        <v>0</v>
      </c>
      <c r="Y71" s="1">
        <f t="shared" si="10"/>
        <v>0</v>
      </c>
      <c r="Z71" s="1">
        <f t="shared" si="11"/>
        <v>0</v>
      </c>
      <c r="AA71" s="1">
        <f t="shared" si="12"/>
        <v>0</v>
      </c>
      <c r="AC71" s="1">
        <f t="shared" si="13"/>
        <v>0</v>
      </c>
      <c r="AD71" s="1">
        <f t="shared" si="14"/>
        <v>0</v>
      </c>
      <c r="AE71" s="1">
        <f t="shared" si="15"/>
        <v>0</v>
      </c>
      <c r="AF71" s="1">
        <f t="shared" si="16"/>
        <v>0</v>
      </c>
      <c r="AG71" s="1">
        <f t="shared" si="17"/>
        <v>0</v>
      </c>
      <c r="AH71" s="1">
        <f t="shared" si="18"/>
        <v>1</v>
      </c>
    </row>
    <row r="72" spans="1:34" ht="14.25" customHeight="1" x14ac:dyDescent="0.25">
      <c r="A72" s="41">
        <v>0</v>
      </c>
      <c r="B72" s="41">
        <v>1</v>
      </c>
      <c r="C72" s="41">
        <v>2</v>
      </c>
      <c r="D72" s="42" t="s">
        <v>1058</v>
      </c>
      <c r="E72" s="42" t="s">
        <v>176</v>
      </c>
      <c r="F72" s="42" t="s">
        <v>1059</v>
      </c>
      <c r="G72" s="42" t="s">
        <v>634</v>
      </c>
      <c r="H72" s="42" t="s">
        <v>358</v>
      </c>
      <c r="I72" s="41" t="s">
        <v>1060</v>
      </c>
      <c r="J72" s="41">
        <v>99</v>
      </c>
      <c r="K72" s="43" t="s">
        <v>710</v>
      </c>
      <c r="L72" s="43" t="s">
        <v>39</v>
      </c>
      <c r="M72" s="44" t="s">
        <v>39</v>
      </c>
      <c r="N72" s="45"/>
      <c r="O72" s="46"/>
      <c r="P72" s="46">
        <v>1</v>
      </c>
      <c r="R72" s="1">
        <f t="shared" si="3"/>
        <v>0</v>
      </c>
      <c r="S72" s="1">
        <f t="shared" si="4"/>
        <v>0</v>
      </c>
      <c r="T72" s="1">
        <f t="shared" si="5"/>
        <v>0</v>
      </c>
      <c r="U72" s="1">
        <f t="shared" si="6"/>
        <v>0</v>
      </c>
      <c r="V72" s="1">
        <f t="shared" si="7"/>
        <v>0</v>
      </c>
      <c r="W72" s="1">
        <f t="shared" si="8"/>
        <v>0</v>
      </c>
      <c r="X72" s="1">
        <f t="shared" si="9"/>
        <v>0</v>
      </c>
      <c r="Y72" s="1">
        <f t="shared" si="10"/>
        <v>0</v>
      </c>
      <c r="Z72" s="1">
        <f t="shared" si="11"/>
        <v>0</v>
      </c>
      <c r="AA72" s="1">
        <f t="shared" si="12"/>
        <v>0</v>
      </c>
      <c r="AC72" s="1">
        <f t="shared" si="13"/>
        <v>0</v>
      </c>
      <c r="AD72" s="1">
        <f t="shared" si="14"/>
        <v>0</v>
      </c>
      <c r="AE72" s="1">
        <f t="shared" si="15"/>
        <v>0</v>
      </c>
      <c r="AF72" s="1">
        <f t="shared" si="16"/>
        <v>0</v>
      </c>
      <c r="AG72" s="1">
        <f t="shared" si="17"/>
        <v>1</v>
      </c>
      <c r="AH72" s="1">
        <f t="shared" si="18"/>
        <v>0</v>
      </c>
    </row>
    <row r="73" spans="1:34" ht="14.25" customHeight="1" x14ac:dyDescent="0.25">
      <c r="A73" s="47">
        <v>0</v>
      </c>
      <c r="B73" s="47">
        <v>1</v>
      </c>
      <c r="C73" s="47">
        <v>2</v>
      </c>
      <c r="D73" s="48" t="s">
        <v>590</v>
      </c>
      <c r="E73" s="48" t="s">
        <v>176</v>
      </c>
      <c r="F73" s="48" t="s">
        <v>592</v>
      </c>
      <c r="G73" s="48" t="s">
        <v>39</v>
      </c>
      <c r="H73" s="48" t="s">
        <v>593</v>
      </c>
      <c r="I73" s="47" t="s">
        <v>594</v>
      </c>
      <c r="J73" s="47">
        <v>12</v>
      </c>
      <c r="K73" s="49" t="s">
        <v>968</v>
      </c>
      <c r="L73" s="49" t="s">
        <v>1728</v>
      </c>
      <c r="M73" s="50" t="s">
        <v>1394</v>
      </c>
      <c r="N73" s="50" t="s">
        <v>1754</v>
      </c>
      <c r="O73" s="51"/>
      <c r="P73" s="51"/>
      <c r="R73" s="1">
        <f t="shared" si="3"/>
        <v>0</v>
      </c>
      <c r="S73" s="1">
        <f t="shared" si="4"/>
        <v>0</v>
      </c>
      <c r="T73" s="1">
        <f t="shared" si="5"/>
        <v>0</v>
      </c>
      <c r="U73" s="1">
        <f t="shared" si="6"/>
        <v>0</v>
      </c>
      <c r="V73" s="1">
        <f t="shared" si="7"/>
        <v>0</v>
      </c>
      <c r="W73" s="1">
        <f t="shared" si="8"/>
        <v>0</v>
      </c>
      <c r="X73" s="1">
        <f t="shared" si="9"/>
        <v>0</v>
      </c>
      <c r="Y73" s="1">
        <f t="shared" si="10"/>
        <v>0</v>
      </c>
      <c r="Z73" s="1">
        <f t="shared" si="11"/>
        <v>0</v>
      </c>
      <c r="AA73" s="1">
        <f t="shared" si="12"/>
        <v>0</v>
      </c>
      <c r="AC73" s="1">
        <f t="shared" si="13"/>
        <v>0</v>
      </c>
      <c r="AD73" s="1">
        <f t="shared" si="14"/>
        <v>0</v>
      </c>
      <c r="AE73" s="1">
        <f t="shared" si="15"/>
        <v>0</v>
      </c>
      <c r="AF73" s="1">
        <f t="shared" si="16"/>
        <v>0</v>
      </c>
      <c r="AG73" s="1">
        <f t="shared" si="17"/>
        <v>0</v>
      </c>
      <c r="AH73" s="1">
        <f t="shared" si="18"/>
        <v>1</v>
      </c>
    </row>
    <row r="74" spans="1:34" ht="14.25" customHeight="1" x14ac:dyDescent="0.25">
      <c r="A74" s="34">
        <v>0</v>
      </c>
      <c r="B74" s="34">
        <v>1</v>
      </c>
      <c r="C74" s="34">
        <v>2</v>
      </c>
      <c r="D74" s="35" t="s">
        <v>1858</v>
      </c>
      <c r="E74" s="35" t="s">
        <v>176</v>
      </c>
      <c r="F74" s="35" t="s">
        <v>1859</v>
      </c>
      <c r="G74" s="35"/>
      <c r="H74" s="35" t="s">
        <v>1860</v>
      </c>
      <c r="I74" s="34" t="s">
        <v>1861</v>
      </c>
      <c r="J74" s="34">
        <v>14</v>
      </c>
      <c r="K74" s="36" t="s">
        <v>711</v>
      </c>
      <c r="L74" s="36">
        <v>75</v>
      </c>
      <c r="M74" s="37" t="s">
        <v>979</v>
      </c>
      <c r="N74" s="37" t="s">
        <v>1759</v>
      </c>
      <c r="O74" s="38">
        <v>1</v>
      </c>
      <c r="P74" s="38"/>
      <c r="R74" s="1">
        <f t="shared" ref="R74:R75" si="19">IF(J74=$R$7,1,0)</f>
        <v>0</v>
      </c>
      <c r="S74" s="1">
        <f t="shared" ref="S74:S75" si="20">IF(J74=$S$7,1,0)</f>
        <v>0</v>
      </c>
      <c r="T74" s="1">
        <f t="shared" ref="T74:T75" si="21">IF(J74=$T$7,1,0)</f>
        <v>0</v>
      </c>
      <c r="U74" s="1">
        <f t="shared" ref="U74:U75" si="22">IF(J74=$U$7,1,0)</f>
        <v>0</v>
      </c>
      <c r="V74" s="1">
        <f t="shared" ref="V74:V75" si="23">IF(J74=$V$7,1,0)</f>
        <v>0</v>
      </c>
      <c r="W74" s="1">
        <f t="shared" ref="W74:W75" si="24">IF(J74=$W$7,1,0)</f>
        <v>0</v>
      </c>
      <c r="X74" s="1">
        <f t="shared" ref="X74:X75" si="25">IF(J74=$X$7,1,0)</f>
        <v>0</v>
      </c>
      <c r="Y74" s="1">
        <f t="shared" ref="Y74:Y75" si="26">IF(J74=$Y$7,1,0)</f>
        <v>0</v>
      </c>
      <c r="Z74" s="1">
        <f t="shared" ref="Z74:Z75" si="27">IF(J74=$Z$7,1,0)</f>
        <v>0</v>
      </c>
      <c r="AA74" s="1">
        <f t="shared" ref="AA74:AA75" si="28">IF(J74=$AA$7,1,0)</f>
        <v>0</v>
      </c>
      <c r="AC74" s="1">
        <f t="shared" ref="AC74:AC75" si="29">+O74*P74</f>
        <v>0</v>
      </c>
      <c r="AD74" s="1">
        <f t="shared" ref="AD74:AD75" si="30">O74*(1-P74)</f>
        <v>1</v>
      </c>
      <c r="AE74" s="1">
        <f t="shared" ref="AE74:AE75" si="31">+O74*P74*(1-A74)</f>
        <v>0</v>
      </c>
      <c r="AF74" s="1">
        <f t="shared" ref="AF74:AF75" si="32">O74*(1-P74)*(1-A74)</f>
        <v>1</v>
      </c>
      <c r="AG74" s="1">
        <f t="shared" ref="AG74:AG75" si="33">+P74*(1-A74)</f>
        <v>0</v>
      </c>
      <c r="AH74" s="1">
        <f t="shared" ref="AH74:AH75" si="34">+(1-A74)*(1-P74)</f>
        <v>1</v>
      </c>
    </row>
    <row r="75" spans="1:34" ht="14.25" customHeight="1" x14ac:dyDescent="0.25">
      <c r="A75" s="34">
        <v>0</v>
      </c>
      <c r="B75" s="34">
        <v>1</v>
      </c>
      <c r="C75" s="34">
        <v>2</v>
      </c>
      <c r="D75" s="39" t="s">
        <v>1740</v>
      </c>
      <c r="E75" s="35" t="s">
        <v>177</v>
      </c>
      <c r="F75" s="39" t="s">
        <v>1741</v>
      </c>
      <c r="G75" s="39" t="s">
        <v>209</v>
      </c>
      <c r="H75" s="39" t="s">
        <v>358</v>
      </c>
      <c r="I75" s="40" t="s">
        <v>1742</v>
      </c>
      <c r="J75" s="34"/>
      <c r="K75" s="36" t="s">
        <v>711</v>
      </c>
      <c r="L75" s="36"/>
      <c r="M75" s="37"/>
      <c r="N75" s="37" t="s">
        <v>1743</v>
      </c>
      <c r="O75" s="38">
        <v>1</v>
      </c>
      <c r="P75" s="38">
        <v>1</v>
      </c>
      <c r="R75" s="1">
        <f t="shared" si="19"/>
        <v>0</v>
      </c>
      <c r="S75" s="1">
        <f t="shared" si="20"/>
        <v>0</v>
      </c>
      <c r="T75" s="1">
        <f t="shared" si="21"/>
        <v>0</v>
      </c>
      <c r="U75" s="1">
        <f t="shared" si="22"/>
        <v>0</v>
      </c>
      <c r="V75" s="1">
        <f t="shared" si="23"/>
        <v>0</v>
      </c>
      <c r="W75" s="1">
        <f t="shared" si="24"/>
        <v>0</v>
      </c>
      <c r="X75" s="1">
        <f t="shared" si="25"/>
        <v>0</v>
      </c>
      <c r="Y75" s="1">
        <f t="shared" si="26"/>
        <v>0</v>
      </c>
      <c r="Z75" s="1">
        <f t="shared" si="27"/>
        <v>0</v>
      </c>
      <c r="AA75" s="1">
        <f t="shared" si="28"/>
        <v>0</v>
      </c>
      <c r="AC75" s="1">
        <f t="shared" si="29"/>
        <v>1</v>
      </c>
      <c r="AD75" s="1">
        <f t="shared" si="30"/>
        <v>0</v>
      </c>
      <c r="AE75" s="1">
        <f t="shared" si="31"/>
        <v>1</v>
      </c>
      <c r="AF75" s="1">
        <f t="shared" si="32"/>
        <v>0</v>
      </c>
      <c r="AG75" s="1">
        <f t="shared" si="33"/>
        <v>1</v>
      </c>
      <c r="AH75" s="1">
        <f t="shared" si="34"/>
        <v>0</v>
      </c>
    </row>
    <row r="76" spans="1:34" ht="14.25" customHeight="1" x14ac:dyDescent="0.25">
      <c r="A76" s="34">
        <v>0</v>
      </c>
      <c r="B76" s="34">
        <v>1</v>
      </c>
      <c r="C76" s="34">
        <v>2</v>
      </c>
      <c r="D76" s="39" t="s">
        <v>1069</v>
      </c>
      <c r="E76" s="35" t="s">
        <v>177</v>
      </c>
      <c r="F76" s="39" t="s">
        <v>1108</v>
      </c>
      <c r="G76" s="39" t="s">
        <v>39</v>
      </c>
      <c r="H76" s="39" t="s">
        <v>1070</v>
      </c>
      <c r="I76" s="40" t="s">
        <v>1175</v>
      </c>
      <c r="J76" s="34">
        <v>13</v>
      </c>
      <c r="K76" s="36" t="s">
        <v>710</v>
      </c>
      <c r="L76" s="36" t="s">
        <v>697</v>
      </c>
      <c r="M76" s="37" t="s">
        <v>1457</v>
      </c>
      <c r="N76" s="37" t="s">
        <v>1765</v>
      </c>
      <c r="O76" s="38">
        <v>1</v>
      </c>
      <c r="P76" s="38"/>
      <c r="R76" s="1">
        <f t="shared" ref="R76:R140" si="35">IF(J76=$R$7,1,0)</f>
        <v>0</v>
      </c>
      <c r="S76" s="1">
        <f t="shared" ref="S76:S140" si="36">IF(J76=$S$7,1,0)</f>
        <v>0</v>
      </c>
      <c r="T76" s="1">
        <f t="shared" ref="T76:T140" si="37">IF(J76=$T$7,1,0)</f>
        <v>0</v>
      </c>
      <c r="U76" s="1">
        <f t="shared" ref="U76:U140" si="38">IF(J76=$U$7,1,0)</f>
        <v>0</v>
      </c>
      <c r="V76" s="1">
        <f t="shared" ref="V76:V140" si="39">IF(J76=$V$7,1,0)</f>
        <v>0</v>
      </c>
      <c r="W76" s="1">
        <f t="shared" ref="W76:W140" si="40">IF(J76=$W$7,1,0)</f>
        <v>0</v>
      </c>
      <c r="X76" s="1">
        <f t="shared" ref="X76:X140" si="41">IF(J76=$X$7,1,0)</f>
        <v>0</v>
      </c>
      <c r="Y76" s="1">
        <f t="shared" ref="Y76:Y140" si="42">IF(J76=$Y$7,1,0)</f>
        <v>0</v>
      </c>
      <c r="Z76" s="1">
        <f t="shared" ref="Z76:Z140" si="43">IF(J76=$Z$7,1,0)</f>
        <v>0</v>
      </c>
      <c r="AA76" s="1">
        <f t="shared" ref="AA76:AA140" si="44">IF(J76=$AA$7,1,0)</f>
        <v>0</v>
      </c>
      <c r="AC76" s="1">
        <f t="shared" ref="AC76:AC140" si="45">+O76*P76</f>
        <v>0</v>
      </c>
      <c r="AD76" s="1">
        <f t="shared" ref="AD76:AD140" si="46">O76*(1-P76)</f>
        <v>1</v>
      </c>
      <c r="AE76" s="1">
        <f t="shared" ref="AE76:AE140" si="47">+O76*P76*(1-A76)</f>
        <v>0</v>
      </c>
      <c r="AF76" s="1">
        <f t="shared" ref="AF76:AF140" si="48">O76*(1-P76)*(1-A76)</f>
        <v>1</v>
      </c>
      <c r="AG76" s="1">
        <f t="shared" ref="AG76:AG140" si="49">+P76*(1-A76)</f>
        <v>0</v>
      </c>
      <c r="AH76" s="1">
        <f t="shared" ref="AH76:AH140" si="50">+(1-A76)*(1-P76)</f>
        <v>1</v>
      </c>
    </row>
    <row r="77" spans="1:34" ht="14.25" customHeight="1" x14ac:dyDescent="0.25">
      <c r="A77" s="34">
        <v>0</v>
      </c>
      <c r="B77" s="34">
        <v>1</v>
      </c>
      <c r="C77" s="34">
        <v>2</v>
      </c>
      <c r="D77" s="39" t="s">
        <v>1611</v>
      </c>
      <c r="E77" s="35" t="s">
        <v>177</v>
      </c>
      <c r="F77" s="39" t="s">
        <v>1612</v>
      </c>
      <c r="G77" s="39" t="s">
        <v>237</v>
      </c>
      <c r="H77" s="39" t="s">
        <v>358</v>
      </c>
      <c r="I77" s="40" t="s">
        <v>1613</v>
      </c>
      <c r="J77" s="34">
        <v>99</v>
      </c>
      <c r="K77" s="36" t="s">
        <v>964</v>
      </c>
      <c r="L77" s="36">
        <v>45</v>
      </c>
      <c r="M77" s="37" t="s">
        <v>39</v>
      </c>
      <c r="N77" s="37" t="s">
        <v>1805</v>
      </c>
      <c r="O77" s="38">
        <v>1</v>
      </c>
      <c r="P77" s="38"/>
      <c r="R77" s="1">
        <f t="shared" si="35"/>
        <v>0</v>
      </c>
      <c r="S77" s="1">
        <f t="shared" si="36"/>
        <v>0</v>
      </c>
      <c r="T77" s="1">
        <f t="shared" si="37"/>
        <v>0</v>
      </c>
      <c r="U77" s="1">
        <f t="shared" si="38"/>
        <v>0</v>
      </c>
      <c r="V77" s="1">
        <f t="shared" si="39"/>
        <v>0</v>
      </c>
      <c r="W77" s="1">
        <f t="shared" si="40"/>
        <v>0</v>
      </c>
      <c r="X77" s="1">
        <f t="shared" si="41"/>
        <v>0</v>
      </c>
      <c r="Y77" s="1">
        <f t="shared" si="42"/>
        <v>0</v>
      </c>
      <c r="Z77" s="1">
        <f t="shared" si="43"/>
        <v>0</v>
      </c>
      <c r="AA77" s="1">
        <f t="shared" si="44"/>
        <v>0</v>
      </c>
      <c r="AC77" s="1">
        <f t="shared" si="45"/>
        <v>0</v>
      </c>
      <c r="AD77" s="1">
        <f t="shared" si="46"/>
        <v>1</v>
      </c>
      <c r="AE77" s="1">
        <f t="shared" si="47"/>
        <v>0</v>
      </c>
      <c r="AF77" s="1">
        <f t="shared" si="48"/>
        <v>1</v>
      </c>
      <c r="AG77" s="1">
        <f t="shared" si="49"/>
        <v>0</v>
      </c>
      <c r="AH77" s="1">
        <f t="shared" si="50"/>
        <v>1</v>
      </c>
    </row>
    <row r="78" spans="1:34" ht="14.25" customHeight="1" x14ac:dyDescent="0.25">
      <c r="A78" s="41">
        <v>0</v>
      </c>
      <c r="B78" s="41">
        <v>1</v>
      </c>
      <c r="C78" s="41">
        <v>2</v>
      </c>
      <c r="D78" s="42" t="s">
        <v>1340</v>
      </c>
      <c r="E78" s="42" t="s">
        <v>176</v>
      </c>
      <c r="F78" s="42" t="s">
        <v>1283</v>
      </c>
      <c r="G78" s="42" t="s">
        <v>209</v>
      </c>
      <c r="H78" s="42" t="s">
        <v>358</v>
      </c>
      <c r="I78" s="41" t="s">
        <v>1284</v>
      </c>
      <c r="J78" s="41">
        <v>99</v>
      </c>
      <c r="K78" s="43" t="s">
        <v>970</v>
      </c>
      <c r="L78" s="43" t="s">
        <v>39</v>
      </c>
      <c r="M78" s="44" t="s">
        <v>39</v>
      </c>
      <c r="N78" s="45"/>
      <c r="O78" s="46"/>
      <c r="P78" s="46">
        <v>1</v>
      </c>
      <c r="R78" s="1">
        <f t="shared" si="35"/>
        <v>0</v>
      </c>
      <c r="S78" s="1">
        <f t="shared" si="36"/>
        <v>0</v>
      </c>
      <c r="T78" s="1">
        <f t="shared" si="37"/>
        <v>0</v>
      </c>
      <c r="U78" s="1">
        <f t="shared" si="38"/>
        <v>0</v>
      </c>
      <c r="V78" s="1">
        <f t="shared" si="39"/>
        <v>0</v>
      </c>
      <c r="W78" s="1">
        <f t="shared" si="40"/>
        <v>0</v>
      </c>
      <c r="X78" s="1">
        <f t="shared" si="41"/>
        <v>0</v>
      </c>
      <c r="Y78" s="1">
        <f t="shared" si="42"/>
        <v>0</v>
      </c>
      <c r="Z78" s="1">
        <f t="shared" si="43"/>
        <v>0</v>
      </c>
      <c r="AA78" s="1">
        <f t="shared" si="44"/>
        <v>0</v>
      </c>
      <c r="AC78" s="1">
        <f t="shared" si="45"/>
        <v>0</v>
      </c>
      <c r="AD78" s="1">
        <f t="shared" si="46"/>
        <v>0</v>
      </c>
      <c r="AE78" s="1">
        <f t="shared" si="47"/>
        <v>0</v>
      </c>
      <c r="AF78" s="1">
        <f t="shared" si="48"/>
        <v>0</v>
      </c>
      <c r="AG78" s="1">
        <f t="shared" si="49"/>
        <v>1</v>
      </c>
      <c r="AH78" s="1">
        <f t="shared" si="50"/>
        <v>0</v>
      </c>
    </row>
    <row r="79" spans="1:34" ht="14.25" customHeight="1" x14ac:dyDescent="0.25">
      <c r="A79" s="34">
        <v>0</v>
      </c>
      <c r="B79" s="34">
        <v>1</v>
      </c>
      <c r="C79" s="34">
        <v>3</v>
      </c>
      <c r="D79" s="39" t="s">
        <v>1815</v>
      </c>
      <c r="E79" s="35" t="s">
        <v>172</v>
      </c>
      <c r="F79" s="39" t="s">
        <v>1813</v>
      </c>
      <c r="G79" s="39" t="s">
        <v>234</v>
      </c>
      <c r="H79" s="39" t="s">
        <v>358</v>
      </c>
      <c r="I79" s="40" t="s">
        <v>1814</v>
      </c>
      <c r="J79" s="34">
        <v>99</v>
      </c>
      <c r="K79" s="36" t="s">
        <v>711</v>
      </c>
      <c r="L79" s="36"/>
      <c r="M79" s="37"/>
      <c r="N79" s="37" t="s">
        <v>1743</v>
      </c>
      <c r="O79" s="38">
        <v>1</v>
      </c>
      <c r="P79" s="38">
        <v>1</v>
      </c>
      <c r="R79" s="1">
        <f t="shared" si="35"/>
        <v>0</v>
      </c>
      <c r="S79" s="1">
        <f t="shared" si="36"/>
        <v>0</v>
      </c>
      <c r="T79" s="1">
        <f t="shared" si="37"/>
        <v>0</v>
      </c>
      <c r="U79" s="1">
        <f t="shared" si="38"/>
        <v>0</v>
      </c>
      <c r="V79" s="1">
        <f t="shared" si="39"/>
        <v>0</v>
      </c>
      <c r="W79" s="1">
        <f t="shared" si="40"/>
        <v>0</v>
      </c>
      <c r="X79" s="1">
        <f t="shared" si="41"/>
        <v>0</v>
      </c>
      <c r="Y79" s="1">
        <f t="shared" si="42"/>
        <v>0</v>
      </c>
      <c r="Z79" s="1">
        <f t="shared" si="43"/>
        <v>0</v>
      </c>
      <c r="AA79" s="1">
        <f t="shared" si="44"/>
        <v>0</v>
      </c>
      <c r="AC79" s="1">
        <f t="shared" si="45"/>
        <v>1</v>
      </c>
      <c r="AD79" s="1">
        <f t="shared" si="46"/>
        <v>0</v>
      </c>
      <c r="AE79" s="1">
        <f t="shared" si="47"/>
        <v>1</v>
      </c>
      <c r="AF79" s="1">
        <f t="shared" si="48"/>
        <v>0</v>
      </c>
      <c r="AG79" s="1">
        <f t="shared" si="49"/>
        <v>1</v>
      </c>
      <c r="AH79" s="1">
        <f t="shared" si="50"/>
        <v>0</v>
      </c>
    </row>
    <row r="80" spans="1:34" ht="14.25" customHeight="1" x14ac:dyDescent="0.25">
      <c r="A80" s="34">
        <v>0</v>
      </c>
      <c r="B80" s="34">
        <v>1</v>
      </c>
      <c r="C80" s="34">
        <v>3</v>
      </c>
      <c r="D80" s="39" t="s">
        <v>1172</v>
      </c>
      <c r="E80" s="35" t="s">
        <v>172</v>
      </c>
      <c r="F80" s="39" t="s">
        <v>1173</v>
      </c>
      <c r="G80" s="39" t="s">
        <v>39</v>
      </c>
      <c r="H80" s="39" t="s">
        <v>1374</v>
      </c>
      <c r="I80" s="40" t="s">
        <v>1174</v>
      </c>
      <c r="J80" s="34">
        <v>11</v>
      </c>
      <c r="K80" s="36" t="s">
        <v>710</v>
      </c>
      <c r="L80" s="36" t="s">
        <v>1715</v>
      </c>
      <c r="M80" s="37" t="s">
        <v>1404</v>
      </c>
      <c r="N80" s="37" t="s">
        <v>1765</v>
      </c>
      <c r="O80" s="38">
        <v>1</v>
      </c>
      <c r="P80" s="38"/>
      <c r="R80" s="1">
        <f t="shared" si="35"/>
        <v>0</v>
      </c>
      <c r="S80" s="1">
        <f t="shared" si="36"/>
        <v>0</v>
      </c>
      <c r="T80" s="1">
        <f t="shared" si="37"/>
        <v>0</v>
      </c>
      <c r="U80" s="1">
        <f t="shared" si="38"/>
        <v>0</v>
      </c>
      <c r="V80" s="1">
        <f t="shared" si="39"/>
        <v>0</v>
      </c>
      <c r="W80" s="1">
        <f t="shared" si="40"/>
        <v>0</v>
      </c>
      <c r="X80" s="1">
        <f t="shared" si="41"/>
        <v>0</v>
      </c>
      <c r="Y80" s="1">
        <f t="shared" si="42"/>
        <v>0</v>
      </c>
      <c r="Z80" s="1">
        <f t="shared" si="43"/>
        <v>0</v>
      </c>
      <c r="AA80" s="1">
        <f t="shared" si="44"/>
        <v>0</v>
      </c>
      <c r="AC80" s="1">
        <f t="shared" si="45"/>
        <v>0</v>
      </c>
      <c r="AD80" s="1">
        <f t="shared" si="46"/>
        <v>1</v>
      </c>
      <c r="AE80" s="1">
        <f t="shared" si="47"/>
        <v>0</v>
      </c>
      <c r="AF80" s="1">
        <f t="shared" si="48"/>
        <v>1</v>
      </c>
      <c r="AG80" s="1">
        <f t="shared" si="49"/>
        <v>0</v>
      </c>
      <c r="AH80" s="1">
        <f t="shared" si="50"/>
        <v>1</v>
      </c>
    </row>
    <row r="81" spans="1:34" ht="14.25" customHeight="1" x14ac:dyDescent="0.25">
      <c r="A81" s="15">
        <v>0</v>
      </c>
      <c r="B81" s="15">
        <v>1</v>
      </c>
      <c r="C81" s="15">
        <v>3</v>
      </c>
      <c r="D81" s="16" t="s">
        <v>125</v>
      </c>
      <c r="E81" s="16" t="s">
        <v>172</v>
      </c>
      <c r="F81" s="16" t="s">
        <v>582</v>
      </c>
      <c r="G81" s="16" t="s">
        <v>39</v>
      </c>
      <c r="H81" s="16" t="s">
        <v>377</v>
      </c>
      <c r="I81" s="15" t="s">
        <v>476</v>
      </c>
      <c r="J81" s="15">
        <v>18</v>
      </c>
      <c r="K81" s="10" t="s">
        <v>711</v>
      </c>
      <c r="L81" s="10" t="s">
        <v>703</v>
      </c>
      <c r="M81" s="19" t="s">
        <v>699</v>
      </c>
      <c r="N81" s="17"/>
      <c r="R81" s="1">
        <f t="shared" si="35"/>
        <v>0</v>
      </c>
      <c r="S81" s="1">
        <f t="shared" si="36"/>
        <v>0</v>
      </c>
      <c r="T81" s="1">
        <f t="shared" si="37"/>
        <v>0</v>
      </c>
      <c r="U81" s="1">
        <f t="shared" si="38"/>
        <v>0</v>
      </c>
      <c r="V81" s="1">
        <f t="shared" si="39"/>
        <v>0</v>
      </c>
      <c r="W81" s="1">
        <f t="shared" si="40"/>
        <v>0</v>
      </c>
      <c r="X81" s="1">
        <f t="shared" si="41"/>
        <v>0</v>
      </c>
      <c r="Y81" s="1">
        <f t="shared" si="42"/>
        <v>0</v>
      </c>
      <c r="Z81" s="1">
        <f t="shared" si="43"/>
        <v>0</v>
      </c>
      <c r="AA81" s="1">
        <f t="shared" si="44"/>
        <v>0</v>
      </c>
      <c r="AC81" s="1">
        <f t="shared" si="45"/>
        <v>0</v>
      </c>
      <c r="AD81" s="1">
        <f t="shared" si="46"/>
        <v>0</v>
      </c>
      <c r="AE81" s="1">
        <f t="shared" si="47"/>
        <v>0</v>
      </c>
      <c r="AF81" s="1">
        <f t="shared" si="48"/>
        <v>0</v>
      </c>
      <c r="AG81" s="1">
        <f t="shared" si="49"/>
        <v>0</v>
      </c>
      <c r="AH81" s="1">
        <f t="shared" si="50"/>
        <v>1</v>
      </c>
    </row>
    <row r="82" spans="1:34" ht="14.25" customHeight="1" x14ac:dyDescent="0.25">
      <c r="A82" s="41">
        <v>0</v>
      </c>
      <c r="B82" s="41">
        <v>1</v>
      </c>
      <c r="C82" s="41">
        <v>3</v>
      </c>
      <c r="D82" s="42" t="s">
        <v>1018</v>
      </c>
      <c r="E82" s="42" t="s">
        <v>174</v>
      </c>
      <c r="F82" s="42" t="s">
        <v>1019</v>
      </c>
      <c r="G82" s="42" t="s">
        <v>1020</v>
      </c>
      <c r="H82" s="42" t="s">
        <v>358</v>
      </c>
      <c r="I82" s="41" t="s">
        <v>1021</v>
      </c>
      <c r="J82" s="41">
        <v>99</v>
      </c>
      <c r="K82" s="43" t="s">
        <v>964</v>
      </c>
      <c r="L82" s="43" t="s">
        <v>39</v>
      </c>
      <c r="M82" s="44" t="s">
        <v>39</v>
      </c>
      <c r="N82" s="45"/>
      <c r="O82" s="46"/>
      <c r="P82" s="46">
        <v>1</v>
      </c>
      <c r="R82" s="1">
        <f t="shared" si="35"/>
        <v>0</v>
      </c>
      <c r="S82" s="1">
        <f t="shared" si="36"/>
        <v>0</v>
      </c>
      <c r="T82" s="1">
        <f t="shared" si="37"/>
        <v>0</v>
      </c>
      <c r="U82" s="1">
        <f t="shared" si="38"/>
        <v>0</v>
      </c>
      <c r="V82" s="1">
        <f t="shared" si="39"/>
        <v>0</v>
      </c>
      <c r="W82" s="1">
        <f t="shared" si="40"/>
        <v>0</v>
      </c>
      <c r="X82" s="1">
        <f t="shared" si="41"/>
        <v>0</v>
      </c>
      <c r="Y82" s="1">
        <f t="shared" si="42"/>
        <v>0</v>
      </c>
      <c r="Z82" s="1">
        <f t="shared" si="43"/>
        <v>0</v>
      </c>
      <c r="AA82" s="1">
        <f t="shared" si="44"/>
        <v>0</v>
      </c>
      <c r="AC82" s="1">
        <f t="shared" si="45"/>
        <v>0</v>
      </c>
      <c r="AD82" s="1">
        <f t="shared" si="46"/>
        <v>0</v>
      </c>
      <c r="AE82" s="1">
        <f t="shared" si="47"/>
        <v>0</v>
      </c>
      <c r="AF82" s="1">
        <f t="shared" si="48"/>
        <v>0</v>
      </c>
      <c r="AG82" s="1">
        <f t="shared" si="49"/>
        <v>1</v>
      </c>
      <c r="AH82" s="1">
        <f t="shared" si="50"/>
        <v>0</v>
      </c>
    </row>
    <row r="83" spans="1:34" ht="14.25" customHeight="1" x14ac:dyDescent="0.25">
      <c r="A83" s="34">
        <v>0</v>
      </c>
      <c r="B83" s="34">
        <v>1</v>
      </c>
      <c r="C83" s="34">
        <v>3</v>
      </c>
      <c r="D83" s="39" t="s">
        <v>144</v>
      </c>
      <c r="E83" s="35" t="s">
        <v>177</v>
      </c>
      <c r="F83" s="39" t="s">
        <v>348</v>
      </c>
      <c r="G83" s="39" t="s">
        <v>349</v>
      </c>
      <c r="H83" s="39" t="s">
        <v>358</v>
      </c>
      <c r="I83" s="40" t="s">
        <v>496</v>
      </c>
      <c r="J83" s="34">
        <v>6</v>
      </c>
      <c r="K83" s="36" t="s">
        <v>965</v>
      </c>
      <c r="L83" s="36" t="s">
        <v>694</v>
      </c>
      <c r="M83" s="37" t="s">
        <v>699</v>
      </c>
      <c r="N83" s="37" t="s">
        <v>1759</v>
      </c>
      <c r="O83" s="38">
        <v>1</v>
      </c>
      <c r="P83" s="38"/>
      <c r="R83" s="1">
        <f t="shared" si="35"/>
        <v>0</v>
      </c>
      <c r="S83" s="1">
        <f t="shared" si="36"/>
        <v>0</v>
      </c>
      <c r="T83" s="1">
        <f t="shared" si="37"/>
        <v>0</v>
      </c>
      <c r="U83" s="1">
        <f t="shared" si="38"/>
        <v>0</v>
      </c>
      <c r="V83" s="1">
        <f t="shared" si="39"/>
        <v>0</v>
      </c>
      <c r="W83" s="1">
        <f t="shared" si="40"/>
        <v>1</v>
      </c>
      <c r="X83" s="1">
        <f t="shared" si="41"/>
        <v>0</v>
      </c>
      <c r="Y83" s="1">
        <f t="shared" si="42"/>
        <v>0</v>
      </c>
      <c r="Z83" s="1">
        <f t="shared" si="43"/>
        <v>0</v>
      </c>
      <c r="AA83" s="1">
        <f t="shared" si="44"/>
        <v>0</v>
      </c>
      <c r="AC83" s="1">
        <f t="shared" si="45"/>
        <v>0</v>
      </c>
      <c r="AD83" s="1">
        <f t="shared" si="46"/>
        <v>1</v>
      </c>
      <c r="AE83" s="1">
        <f t="shared" si="47"/>
        <v>0</v>
      </c>
      <c r="AF83" s="1">
        <f t="shared" si="48"/>
        <v>1</v>
      </c>
      <c r="AG83" s="1">
        <f t="shared" si="49"/>
        <v>0</v>
      </c>
      <c r="AH83" s="1">
        <f t="shared" si="50"/>
        <v>1</v>
      </c>
    </row>
    <row r="84" spans="1:34" ht="14.25" customHeight="1" x14ac:dyDescent="0.25">
      <c r="A84" s="15">
        <v>0</v>
      </c>
      <c r="B84" s="15">
        <v>1</v>
      </c>
      <c r="C84" s="15">
        <v>3</v>
      </c>
      <c r="D84" s="16" t="s">
        <v>1802</v>
      </c>
      <c r="E84" s="16" t="s">
        <v>174</v>
      </c>
      <c r="F84" s="16" t="s">
        <v>1804</v>
      </c>
      <c r="G84" s="16"/>
      <c r="H84" s="16" t="s">
        <v>368</v>
      </c>
      <c r="I84" s="15" t="s">
        <v>1803</v>
      </c>
      <c r="J84" s="15">
        <v>17</v>
      </c>
      <c r="K84" s="10" t="s">
        <v>711</v>
      </c>
      <c r="L84" s="10" t="s">
        <v>1758</v>
      </c>
      <c r="M84" s="19" t="s">
        <v>699</v>
      </c>
      <c r="N84" s="17"/>
      <c r="R84" s="1">
        <f t="shared" si="35"/>
        <v>0</v>
      </c>
      <c r="S84" s="1">
        <f t="shared" si="36"/>
        <v>0</v>
      </c>
      <c r="T84" s="1">
        <f t="shared" si="37"/>
        <v>0</v>
      </c>
      <c r="U84" s="1">
        <f t="shared" si="38"/>
        <v>0</v>
      </c>
      <c r="V84" s="1">
        <f t="shared" si="39"/>
        <v>0</v>
      </c>
      <c r="W84" s="1">
        <f t="shared" si="40"/>
        <v>0</v>
      </c>
      <c r="X84" s="1">
        <f t="shared" si="41"/>
        <v>0</v>
      </c>
      <c r="Y84" s="1">
        <f t="shared" si="42"/>
        <v>0</v>
      </c>
      <c r="Z84" s="1">
        <f t="shared" si="43"/>
        <v>0</v>
      </c>
      <c r="AA84" s="1">
        <f t="shared" si="44"/>
        <v>0</v>
      </c>
      <c r="AC84" s="1">
        <f t="shared" si="45"/>
        <v>0</v>
      </c>
      <c r="AD84" s="1">
        <f t="shared" si="46"/>
        <v>0</v>
      </c>
      <c r="AE84" s="1">
        <f t="shared" si="47"/>
        <v>0</v>
      </c>
      <c r="AF84" s="1">
        <f t="shared" si="48"/>
        <v>0</v>
      </c>
      <c r="AG84" s="1">
        <f t="shared" si="49"/>
        <v>0</v>
      </c>
      <c r="AH84" s="1">
        <f t="shared" si="50"/>
        <v>1</v>
      </c>
    </row>
    <row r="85" spans="1:34" ht="14.25" customHeight="1" x14ac:dyDescent="0.25">
      <c r="A85" s="34">
        <v>0</v>
      </c>
      <c r="B85" s="34">
        <v>1</v>
      </c>
      <c r="C85" s="34">
        <v>3</v>
      </c>
      <c r="D85" s="35" t="s">
        <v>1826</v>
      </c>
      <c r="E85" s="35" t="s">
        <v>174</v>
      </c>
      <c r="F85" s="35" t="s">
        <v>1827</v>
      </c>
      <c r="G85" s="35" t="s">
        <v>1828</v>
      </c>
      <c r="H85" s="35" t="s">
        <v>358</v>
      </c>
      <c r="I85" s="34" t="s">
        <v>1829</v>
      </c>
      <c r="J85" s="34">
        <v>1</v>
      </c>
      <c r="K85" s="36" t="s">
        <v>711</v>
      </c>
      <c r="L85" s="36">
        <v>60</v>
      </c>
      <c r="M85" s="37" t="s">
        <v>1830</v>
      </c>
      <c r="N85" s="37" t="s">
        <v>1865</v>
      </c>
      <c r="O85" s="38">
        <v>1</v>
      </c>
      <c r="P85" s="38"/>
      <c r="R85" s="1">
        <f t="shared" si="35"/>
        <v>1</v>
      </c>
      <c r="S85" s="1">
        <f t="shared" si="36"/>
        <v>0</v>
      </c>
      <c r="T85" s="1">
        <f t="shared" si="37"/>
        <v>0</v>
      </c>
      <c r="U85" s="1">
        <f t="shared" si="38"/>
        <v>0</v>
      </c>
      <c r="V85" s="1">
        <f t="shared" si="39"/>
        <v>0</v>
      </c>
      <c r="W85" s="1">
        <f t="shared" si="40"/>
        <v>0</v>
      </c>
      <c r="X85" s="1">
        <f t="shared" si="41"/>
        <v>0</v>
      </c>
      <c r="Y85" s="1">
        <f t="shared" si="42"/>
        <v>0</v>
      </c>
      <c r="Z85" s="1">
        <f t="shared" si="43"/>
        <v>0</v>
      </c>
      <c r="AA85" s="1">
        <f t="shared" si="44"/>
        <v>0</v>
      </c>
      <c r="AC85" s="1">
        <f t="shared" si="45"/>
        <v>0</v>
      </c>
      <c r="AD85" s="1">
        <f t="shared" si="46"/>
        <v>1</v>
      </c>
      <c r="AE85" s="1">
        <f t="shared" si="47"/>
        <v>0</v>
      </c>
      <c r="AF85" s="1">
        <f t="shared" si="48"/>
        <v>1</v>
      </c>
      <c r="AG85" s="1">
        <f t="shared" si="49"/>
        <v>0</v>
      </c>
      <c r="AH85" s="1">
        <f t="shared" si="50"/>
        <v>1</v>
      </c>
    </row>
    <row r="86" spans="1:34" ht="14.25" customHeight="1" x14ac:dyDescent="0.25">
      <c r="A86" s="34">
        <v>0</v>
      </c>
      <c r="B86" s="34">
        <v>1</v>
      </c>
      <c r="C86" s="34">
        <v>3</v>
      </c>
      <c r="D86" s="39" t="s">
        <v>1614</v>
      </c>
      <c r="E86" s="35" t="s">
        <v>177</v>
      </c>
      <c r="F86" s="39" t="s">
        <v>322</v>
      </c>
      <c r="G86" s="39" t="s">
        <v>272</v>
      </c>
      <c r="H86" s="39" t="s">
        <v>358</v>
      </c>
      <c r="I86" s="40" t="s">
        <v>471</v>
      </c>
      <c r="J86" s="34">
        <v>8</v>
      </c>
      <c r="K86" s="36" t="s">
        <v>710</v>
      </c>
      <c r="L86" s="36" t="s">
        <v>697</v>
      </c>
      <c r="M86" s="37" t="s">
        <v>699</v>
      </c>
      <c r="N86" s="37" t="s">
        <v>1771</v>
      </c>
      <c r="O86" s="38">
        <v>1</v>
      </c>
      <c r="P86" s="38"/>
      <c r="R86" s="1">
        <f t="shared" si="35"/>
        <v>0</v>
      </c>
      <c r="S86" s="1">
        <f t="shared" si="36"/>
        <v>0</v>
      </c>
      <c r="T86" s="1">
        <f t="shared" si="37"/>
        <v>0</v>
      </c>
      <c r="U86" s="1">
        <f t="shared" si="38"/>
        <v>0</v>
      </c>
      <c r="V86" s="1">
        <f t="shared" si="39"/>
        <v>0</v>
      </c>
      <c r="W86" s="1">
        <f t="shared" si="40"/>
        <v>0</v>
      </c>
      <c r="X86" s="1">
        <f t="shared" si="41"/>
        <v>0</v>
      </c>
      <c r="Y86" s="1">
        <f t="shared" si="42"/>
        <v>1</v>
      </c>
      <c r="Z86" s="1">
        <f t="shared" si="43"/>
        <v>0</v>
      </c>
      <c r="AA86" s="1">
        <f t="shared" si="44"/>
        <v>0</v>
      </c>
      <c r="AC86" s="1">
        <f t="shared" si="45"/>
        <v>0</v>
      </c>
      <c r="AD86" s="1">
        <f t="shared" si="46"/>
        <v>1</v>
      </c>
      <c r="AE86" s="1">
        <f t="shared" si="47"/>
        <v>0</v>
      </c>
      <c r="AF86" s="1">
        <f t="shared" si="48"/>
        <v>1</v>
      </c>
      <c r="AG86" s="1">
        <f t="shared" si="49"/>
        <v>0</v>
      </c>
      <c r="AH86" s="1">
        <f t="shared" si="50"/>
        <v>1</v>
      </c>
    </row>
    <row r="87" spans="1:34" ht="14.25" customHeight="1" x14ac:dyDescent="0.25">
      <c r="A87" s="41">
        <v>0</v>
      </c>
      <c r="B87" s="41">
        <v>1</v>
      </c>
      <c r="C87" s="41">
        <v>3</v>
      </c>
      <c r="D87" s="42" t="s">
        <v>137</v>
      </c>
      <c r="E87" s="42" t="s">
        <v>174</v>
      </c>
      <c r="F87" s="42" t="s">
        <v>340</v>
      </c>
      <c r="G87" s="42" t="s">
        <v>242</v>
      </c>
      <c r="H87" s="42" t="s">
        <v>358</v>
      </c>
      <c r="I87" s="41" t="s">
        <v>489</v>
      </c>
      <c r="J87" s="41">
        <v>1</v>
      </c>
      <c r="K87" s="43" t="s">
        <v>964</v>
      </c>
      <c r="L87" s="43" t="s">
        <v>697</v>
      </c>
      <c r="M87" s="44" t="s">
        <v>699</v>
      </c>
      <c r="N87" s="45"/>
      <c r="O87" s="46"/>
      <c r="P87" s="46">
        <v>1</v>
      </c>
      <c r="R87" s="1">
        <f t="shared" si="35"/>
        <v>1</v>
      </c>
      <c r="S87" s="1">
        <f t="shared" si="36"/>
        <v>0</v>
      </c>
      <c r="T87" s="1">
        <f t="shared" si="37"/>
        <v>0</v>
      </c>
      <c r="U87" s="1">
        <f t="shared" si="38"/>
        <v>0</v>
      </c>
      <c r="V87" s="1">
        <f t="shared" si="39"/>
        <v>0</v>
      </c>
      <c r="W87" s="1">
        <f t="shared" si="40"/>
        <v>0</v>
      </c>
      <c r="X87" s="1">
        <f t="shared" si="41"/>
        <v>0</v>
      </c>
      <c r="Y87" s="1">
        <f t="shared" si="42"/>
        <v>0</v>
      </c>
      <c r="Z87" s="1">
        <f t="shared" si="43"/>
        <v>0</v>
      </c>
      <c r="AA87" s="1">
        <f t="shared" si="44"/>
        <v>0</v>
      </c>
      <c r="AC87" s="1">
        <f t="shared" si="45"/>
        <v>0</v>
      </c>
      <c r="AD87" s="1">
        <f t="shared" si="46"/>
        <v>0</v>
      </c>
      <c r="AE87" s="1">
        <f t="shared" si="47"/>
        <v>0</v>
      </c>
      <c r="AF87" s="1">
        <f t="shared" si="48"/>
        <v>0</v>
      </c>
      <c r="AG87" s="1">
        <f t="shared" si="49"/>
        <v>1</v>
      </c>
      <c r="AH87" s="1">
        <f t="shared" si="50"/>
        <v>0</v>
      </c>
    </row>
    <row r="88" spans="1:34" ht="14.25" customHeight="1" x14ac:dyDescent="0.25">
      <c r="A88" s="47">
        <v>0</v>
      </c>
      <c r="B88" s="47">
        <v>1</v>
      </c>
      <c r="C88" s="47">
        <v>3</v>
      </c>
      <c r="D88" s="48" t="s">
        <v>798</v>
      </c>
      <c r="E88" s="48" t="s">
        <v>616</v>
      </c>
      <c r="F88" s="48" t="s">
        <v>800</v>
      </c>
      <c r="G88" s="48" t="s">
        <v>216</v>
      </c>
      <c r="H88" s="48" t="s">
        <v>358</v>
      </c>
      <c r="I88" s="47" t="s">
        <v>799</v>
      </c>
      <c r="J88" s="47">
        <v>99</v>
      </c>
      <c r="K88" s="49" t="s">
        <v>730</v>
      </c>
      <c r="L88" s="49" t="s">
        <v>1715</v>
      </c>
      <c r="M88" s="50" t="s">
        <v>1405</v>
      </c>
      <c r="N88" s="50" t="s">
        <v>1763</v>
      </c>
      <c r="O88" s="51"/>
      <c r="P88" s="51"/>
      <c r="R88" s="1">
        <f t="shared" si="35"/>
        <v>0</v>
      </c>
      <c r="S88" s="1">
        <f t="shared" si="36"/>
        <v>0</v>
      </c>
      <c r="T88" s="1">
        <f t="shared" si="37"/>
        <v>0</v>
      </c>
      <c r="U88" s="1">
        <f t="shared" si="38"/>
        <v>0</v>
      </c>
      <c r="V88" s="1">
        <f t="shared" si="39"/>
        <v>0</v>
      </c>
      <c r="W88" s="1">
        <f t="shared" si="40"/>
        <v>0</v>
      </c>
      <c r="X88" s="1">
        <f t="shared" si="41"/>
        <v>0</v>
      </c>
      <c r="Y88" s="1">
        <f t="shared" si="42"/>
        <v>0</v>
      </c>
      <c r="Z88" s="1">
        <f t="shared" si="43"/>
        <v>0</v>
      </c>
      <c r="AA88" s="1">
        <f t="shared" si="44"/>
        <v>0</v>
      </c>
      <c r="AC88" s="1">
        <f t="shared" si="45"/>
        <v>0</v>
      </c>
      <c r="AD88" s="1">
        <f t="shared" si="46"/>
        <v>0</v>
      </c>
      <c r="AE88" s="1">
        <f t="shared" si="47"/>
        <v>0</v>
      </c>
      <c r="AF88" s="1">
        <f t="shared" si="48"/>
        <v>0</v>
      </c>
      <c r="AG88" s="1">
        <f t="shared" si="49"/>
        <v>0</v>
      </c>
      <c r="AH88" s="1">
        <f t="shared" si="50"/>
        <v>1</v>
      </c>
    </row>
    <row r="89" spans="1:34" ht="14.25" customHeight="1" x14ac:dyDescent="0.25">
      <c r="A89" s="47">
        <v>0</v>
      </c>
      <c r="B89" s="47">
        <v>1</v>
      </c>
      <c r="C89" s="47">
        <v>3</v>
      </c>
      <c r="D89" s="48" t="s">
        <v>78</v>
      </c>
      <c r="E89" s="48" t="s">
        <v>174</v>
      </c>
      <c r="F89" s="48" t="s">
        <v>270</v>
      </c>
      <c r="G89" s="48" t="s">
        <v>266</v>
      </c>
      <c r="H89" s="48" t="s">
        <v>358</v>
      </c>
      <c r="I89" s="47" t="s">
        <v>429</v>
      </c>
      <c r="J89" s="47">
        <v>1</v>
      </c>
      <c r="K89" s="49" t="s">
        <v>964</v>
      </c>
      <c r="L89" s="49" t="s">
        <v>1715</v>
      </c>
      <c r="M89" s="50" t="s">
        <v>978</v>
      </c>
      <c r="N89" s="50" t="s">
        <v>1751</v>
      </c>
      <c r="O89" s="51"/>
      <c r="P89" s="51"/>
      <c r="R89" s="1">
        <f t="shared" si="35"/>
        <v>1</v>
      </c>
      <c r="S89" s="1">
        <f t="shared" si="36"/>
        <v>0</v>
      </c>
      <c r="T89" s="1">
        <f t="shared" si="37"/>
        <v>0</v>
      </c>
      <c r="U89" s="1">
        <f t="shared" si="38"/>
        <v>0</v>
      </c>
      <c r="V89" s="1">
        <f t="shared" si="39"/>
        <v>0</v>
      </c>
      <c r="W89" s="1">
        <f t="shared" si="40"/>
        <v>0</v>
      </c>
      <c r="X89" s="1">
        <f t="shared" si="41"/>
        <v>0</v>
      </c>
      <c r="Y89" s="1">
        <f t="shared" si="42"/>
        <v>0</v>
      </c>
      <c r="Z89" s="1">
        <f t="shared" si="43"/>
        <v>0</v>
      </c>
      <c r="AA89" s="1">
        <f t="shared" si="44"/>
        <v>0</v>
      </c>
      <c r="AC89" s="1">
        <f t="shared" si="45"/>
        <v>0</v>
      </c>
      <c r="AD89" s="1">
        <f t="shared" si="46"/>
        <v>0</v>
      </c>
      <c r="AE89" s="1">
        <f t="shared" si="47"/>
        <v>0</v>
      </c>
      <c r="AF89" s="1">
        <f t="shared" si="48"/>
        <v>0</v>
      </c>
      <c r="AG89" s="1">
        <f t="shared" si="49"/>
        <v>0</v>
      </c>
      <c r="AH89" s="1">
        <f t="shared" si="50"/>
        <v>1</v>
      </c>
    </row>
    <row r="90" spans="1:34" ht="14.25" customHeight="1" x14ac:dyDescent="0.25">
      <c r="A90" s="34">
        <v>0</v>
      </c>
      <c r="B90" s="34">
        <v>1</v>
      </c>
      <c r="C90" s="34">
        <v>3</v>
      </c>
      <c r="D90" s="39" t="s">
        <v>1541</v>
      </c>
      <c r="E90" s="35" t="s">
        <v>178</v>
      </c>
      <c r="F90" s="39" t="s">
        <v>1542</v>
      </c>
      <c r="G90" s="39" t="s">
        <v>39</v>
      </c>
      <c r="H90" s="39" t="s">
        <v>914</v>
      </c>
      <c r="I90" s="40" t="s">
        <v>1543</v>
      </c>
      <c r="J90" s="34">
        <v>11</v>
      </c>
      <c r="K90" s="36" t="s">
        <v>972</v>
      </c>
      <c r="L90" s="36" t="s">
        <v>39</v>
      </c>
      <c r="M90" s="37" t="s">
        <v>39</v>
      </c>
      <c r="N90" s="37" t="s">
        <v>1749</v>
      </c>
      <c r="O90" s="38">
        <v>1</v>
      </c>
      <c r="P90" s="38">
        <v>1</v>
      </c>
      <c r="R90" s="1">
        <f t="shared" si="35"/>
        <v>0</v>
      </c>
      <c r="S90" s="1">
        <f t="shared" si="36"/>
        <v>0</v>
      </c>
      <c r="T90" s="1">
        <f t="shared" si="37"/>
        <v>0</v>
      </c>
      <c r="U90" s="1">
        <f t="shared" si="38"/>
        <v>0</v>
      </c>
      <c r="V90" s="1">
        <f t="shared" si="39"/>
        <v>0</v>
      </c>
      <c r="W90" s="1">
        <f t="shared" si="40"/>
        <v>0</v>
      </c>
      <c r="X90" s="1">
        <f t="shared" si="41"/>
        <v>0</v>
      </c>
      <c r="Y90" s="1">
        <f t="shared" si="42"/>
        <v>0</v>
      </c>
      <c r="Z90" s="1">
        <f t="shared" si="43"/>
        <v>0</v>
      </c>
      <c r="AA90" s="1">
        <f t="shared" si="44"/>
        <v>0</v>
      </c>
      <c r="AC90" s="1">
        <f t="shared" si="45"/>
        <v>1</v>
      </c>
      <c r="AD90" s="1">
        <f t="shared" si="46"/>
        <v>0</v>
      </c>
      <c r="AE90" s="1">
        <f t="shared" si="47"/>
        <v>1</v>
      </c>
      <c r="AF90" s="1">
        <f t="shared" si="48"/>
        <v>0</v>
      </c>
      <c r="AG90" s="1">
        <f t="shared" si="49"/>
        <v>1</v>
      </c>
      <c r="AH90" s="1">
        <f t="shared" si="50"/>
        <v>0</v>
      </c>
    </row>
    <row r="91" spans="1:34" ht="14.25" customHeight="1" x14ac:dyDescent="0.25">
      <c r="A91" s="34">
        <v>0</v>
      </c>
      <c r="B91" s="34">
        <v>1</v>
      </c>
      <c r="C91" s="34">
        <v>3</v>
      </c>
      <c r="D91" s="39" t="s">
        <v>1870</v>
      </c>
      <c r="E91" s="39" t="s">
        <v>174</v>
      </c>
      <c r="F91" s="39" t="s">
        <v>1871</v>
      </c>
      <c r="G91" s="39"/>
      <c r="H91" s="39" t="s">
        <v>1872</v>
      </c>
      <c r="I91" s="40" t="s">
        <v>1873</v>
      </c>
      <c r="J91" s="34">
        <v>15</v>
      </c>
      <c r="K91" s="36" t="s">
        <v>711</v>
      </c>
      <c r="L91" s="36"/>
      <c r="M91" s="37"/>
      <c r="N91" s="37" t="s">
        <v>1749</v>
      </c>
      <c r="O91" s="38">
        <v>1</v>
      </c>
      <c r="P91" s="38">
        <v>1</v>
      </c>
      <c r="R91" s="1">
        <f t="shared" ref="R91:R93" si="51">IF(J91=$R$7,1,0)</f>
        <v>0</v>
      </c>
      <c r="S91" s="1">
        <f t="shared" ref="S91:S93" si="52">IF(J91=$S$7,1,0)</f>
        <v>0</v>
      </c>
      <c r="T91" s="1">
        <f t="shared" ref="T91:T93" si="53">IF(J91=$T$7,1,0)</f>
        <v>0</v>
      </c>
      <c r="U91" s="1">
        <f t="shared" ref="U91:U93" si="54">IF(J91=$U$7,1,0)</f>
        <v>0</v>
      </c>
      <c r="V91" s="1">
        <f t="shared" ref="V91:V93" si="55">IF(J91=$V$7,1,0)</f>
        <v>0</v>
      </c>
      <c r="W91" s="1">
        <f t="shared" ref="W91:W93" si="56">IF(J91=$W$7,1,0)</f>
        <v>0</v>
      </c>
      <c r="X91" s="1">
        <f t="shared" ref="X91:X93" si="57">IF(J91=$X$7,1,0)</f>
        <v>0</v>
      </c>
      <c r="Y91" s="1">
        <f t="shared" ref="Y91:Y93" si="58">IF(J91=$Y$7,1,0)</f>
        <v>0</v>
      </c>
      <c r="Z91" s="1">
        <f t="shared" ref="Z91:Z93" si="59">IF(J91=$Z$7,1,0)</f>
        <v>0</v>
      </c>
      <c r="AA91" s="1">
        <f t="shared" ref="AA91:AA93" si="60">IF(J91=$AA$7,1,0)</f>
        <v>0</v>
      </c>
      <c r="AC91" s="1">
        <f t="shared" ref="AC91:AC93" si="61">+O91*P91</f>
        <v>1</v>
      </c>
      <c r="AD91" s="1">
        <f t="shared" ref="AD91:AD93" si="62">O91*(1-P91)</f>
        <v>0</v>
      </c>
      <c r="AE91" s="1">
        <f t="shared" ref="AE91:AE93" si="63">+O91*P91*(1-A91)</f>
        <v>1</v>
      </c>
      <c r="AF91" s="1">
        <f t="shared" ref="AF91:AF93" si="64">O91*(1-P91)*(1-A91)</f>
        <v>0</v>
      </c>
      <c r="AG91" s="1">
        <f t="shared" ref="AG91:AG93" si="65">+P91*(1-A91)</f>
        <v>1</v>
      </c>
      <c r="AH91" s="1">
        <f t="shared" ref="AH91:AH93" si="66">+(1-A91)*(1-P91)</f>
        <v>0</v>
      </c>
    </row>
    <row r="92" spans="1:34" ht="14.25" customHeight="1" x14ac:dyDescent="0.25">
      <c r="A92" s="15">
        <v>0</v>
      </c>
      <c r="B92" s="15">
        <v>1</v>
      </c>
      <c r="C92" s="15">
        <v>3</v>
      </c>
      <c r="D92" s="16" t="s">
        <v>744</v>
      </c>
      <c r="E92" s="16" t="s">
        <v>1346</v>
      </c>
      <c r="F92" s="16" t="s">
        <v>1674</v>
      </c>
      <c r="G92" s="16" t="s">
        <v>39</v>
      </c>
      <c r="H92" s="16" t="s">
        <v>745</v>
      </c>
      <c r="I92" s="15" t="s">
        <v>746</v>
      </c>
      <c r="J92" s="15">
        <v>18</v>
      </c>
      <c r="K92" s="10" t="s">
        <v>710</v>
      </c>
      <c r="L92" s="10" t="s">
        <v>695</v>
      </c>
      <c r="M92" s="19" t="s">
        <v>978</v>
      </c>
      <c r="N92" s="17"/>
      <c r="R92" s="1">
        <f t="shared" si="51"/>
        <v>0</v>
      </c>
      <c r="S92" s="1">
        <f t="shared" si="52"/>
        <v>0</v>
      </c>
      <c r="T92" s="1">
        <f t="shared" si="53"/>
        <v>0</v>
      </c>
      <c r="U92" s="1">
        <f t="shared" si="54"/>
        <v>0</v>
      </c>
      <c r="V92" s="1">
        <f t="shared" si="55"/>
        <v>0</v>
      </c>
      <c r="W92" s="1">
        <f t="shared" si="56"/>
        <v>0</v>
      </c>
      <c r="X92" s="1">
        <f t="shared" si="57"/>
        <v>0</v>
      </c>
      <c r="Y92" s="1">
        <f t="shared" si="58"/>
        <v>0</v>
      </c>
      <c r="Z92" s="1">
        <f t="shared" si="59"/>
        <v>0</v>
      </c>
      <c r="AA92" s="1">
        <f t="shared" si="60"/>
        <v>0</v>
      </c>
      <c r="AC92" s="1">
        <f t="shared" si="61"/>
        <v>0</v>
      </c>
      <c r="AD92" s="1">
        <f t="shared" si="62"/>
        <v>0</v>
      </c>
      <c r="AE92" s="1">
        <f t="shared" si="63"/>
        <v>0</v>
      </c>
      <c r="AF92" s="1">
        <f t="shared" si="64"/>
        <v>0</v>
      </c>
      <c r="AG92" s="1">
        <f t="shared" si="65"/>
        <v>0</v>
      </c>
      <c r="AH92" s="1">
        <f t="shared" si="66"/>
        <v>1</v>
      </c>
    </row>
    <row r="93" spans="1:34" ht="14.25" customHeight="1" x14ac:dyDescent="0.25">
      <c r="A93" s="15">
        <v>0</v>
      </c>
      <c r="B93" s="15">
        <v>1</v>
      </c>
      <c r="C93" s="15">
        <v>3</v>
      </c>
      <c r="D93" s="16" t="s">
        <v>1562</v>
      </c>
      <c r="E93" s="16" t="s">
        <v>174</v>
      </c>
      <c r="F93" s="16" t="s">
        <v>1563</v>
      </c>
      <c r="G93" s="16" t="s">
        <v>39</v>
      </c>
      <c r="H93" s="16" t="s">
        <v>368</v>
      </c>
      <c r="I93" s="15" t="s">
        <v>1564</v>
      </c>
      <c r="J93" s="15">
        <v>17</v>
      </c>
      <c r="K93" s="10" t="s">
        <v>730</v>
      </c>
      <c r="L93" s="10" t="s">
        <v>695</v>
      </c>
      <c r="M93" s="19" t="s">
        <v>39</v>
      </c>
      <c r="N93" s="17"/>
      <c r="R93" s="1">
        <f t="shared" si="51"/>
        <v>0</v>
      </c>
      <c r="S93" s="1">
        <f t="shared" si="52"/>
        <v>0</v>
      </c>
      <c r="T93" s="1">
        <f t="shared" si="53"/>
        <v>0</v>
      </c>
      <c r="U93" s="1">
        <f t="shared" si="54"/>
        <v>0</v>
      </c>
      <c r="V93" s="1">
        <f t="shared" si="55"/>
        <v>0</v>
      </c>
      <c r="W93" s="1">
        <f t="shared" si="56"/>
        <v>0</v>
      </c>
      <c r="X93" s="1">
        <f t="shared" si="57"/>
        <v>0</v>
      </c>
      <c r="Y93" s="1">
        <f t="shared" si="58"/>
        <v>0</v>
      </c>
      <c r="Z93" s="1">
        <f t="shared" si="59"/>
        <v>0</v>
      </c>
      <c r="AA93" s="1">
        <f t="shared" si="60"/>
        <v>0</v>
      </c>
      <c r="AC93" s="1">
        <f t="shared" si="61"/>
        <v>0</v>
      </c>
      <c r="AD93" s="1">
        <f t="shared" si="62"/>
        <v>0</v>
      </c>
      <c r="AE93" s="1">
        <f t="shared" si="63"/>
        <v>0</v>
      </c>
      <c r="AF93" s="1">
        <f t="shared" si="64"/>
        <v>0</v>
      </c>
      <c r="AG93" s="1">
        <f t="shared" si="65"/>
        <v>0</v>
      </c>
      <c r="AH93" s="1">
        <f t="shared" si="66"/>
        <v>1</v>
      </c>
    </row>
    <row r="94" spans="1:34" ht="14.25" customHeight="1" x14ac:dyDescent="0.25">
      <c r="A94" s="47">
        <v>0</v>
      </c>
      <c r="B94" s="47">
        <v>1</v>
      </c>
      <c r="C94" s="47">
        <v>3</v>
      </c>
      <c r="D94" s="48" t="s">
        <v>120</v>
      </c>
      <c r="E94" s="48" t="s">
        <v>174</v>
      </c>
      <c r="F94" s="48" t="s">
        <v>323</v>
      </c>
      <c r="G94" s="48" t="s">
        <v>39</v>
      </c>
      <c r="H94" s="48" t="s">
        <v>374</v>
      </c>
      <c r="I94" s="47" t="s">
        <v>472</v>
      </c>
      <c r="J94" s="47">
        <v>14</v>
      </c>
      <c r="K94" s="49" t="s">
        <v>964</v>
      </c>
      <c r="L94" s="49" t="s">
        <v>702</v>
      </c>
      <c r="M94" s="50" t="s">
        <v>699</v>
      </c>
      <c r="N94" s="50" t="s">
        <v>1755</v>
      </c>
      <c r="O94" s="51"/>
      <c r="P94" s="51"/>
      <c r="R94" s="1">
        <f t="shared" si="35"/>
        <v>0</v>
      </c>
      <c r="S94" s="1">
        <f t="shared" si="36"/>
        <v>0</v>
      </c>
      <c r="T94" s="1">
        <f t="shared" si="37"/>
        <v>0</v>
      </c>
      <c r="U94" s="1">
        <f t="shared" si="38"/>
        <v>0</v>
      </c>
      <c r="V94" s="1">
        <f t="shared" si="39"/>
        <v>0</v>
      </c>
      <c r="W94" s="1">
        <f t="shared" si="40"/>
        <v>0</v>
      </c>
      <c r="X94" s="1">
        <f t="shared" si="41"/>
        <v>0</v>
      </c>
      <c r="Y94" s="1">
        <f t="shared" si="42"/>
        <v>0</v>
      </c>
      <c r="Z94" s="1">
        <f t="shared" si="43"/>
        <v>0</v>
      </c>
      <c r="AA94" s="1">
        <f t="shared" si="44"/>
        <v>0</v>
      </c>
      <c r="AC94" s="1">
        <f t="shared" si="45"/>
        <v>0</v>
      </c>
      <c r="AD94" s="1">
        <f t="shared" si="46"/>
        <v>0</v>
      </c>
      <c r="AE94" s="1">
        <f t="shared" si="47"/>
        <v>0</v>
      </c>
      <c r="AF94" s="1">
        <f t="shared" si="48"/>
        <v>0</v>
      </c>
      <c r="AG94" s="1">
        <f t="shared" si="49"/>
        <v>0</v>
      </c>
      <c r="AH94" s="1">
        <f t="shared" si="50"/>
        <v>1</v>
      </c>
    </row>
    <row r="95" spans="1:34" ht="14.25" customHeight="1" x14ac:dyDescent="0.25">
      <c r="A95" s="41">
        <v>0</v>
      </c>
      <c r="B95" s="41">
        <v>1</v>
      </c>
      <c r="C95" s="41">
        <v>3</v>
      </c>
      <c r="D95" s="42" t="s">
        <v>116</v>
      </c>
      <c r="E95" s="42" t="s">
        <v>172</v>
      </c>
      <c r="F95" s="42" t="s">
        <v>329</v>
      </c>
      <c r="G95" s="42" t="s">
        <v>232</v>
      </c>
      <c r="H95" s="42" t="s">
        <v>358</v>
      </c>
      <c r="I95" s="41" t="s">
        <v>479</v>
      </c>
      <c r="J95" s="41">
        <v>7</v>
      </c>
      <c r="K95" s="43" t="s">
        <v>710</v>
      </c>
      <c r="L95" s="43" t="s">
        <v>39</v>
      </c>
      <c r="M95" s="44" t="s">
        <v>39</v>
      </c>
      <c r="N95" s="45"/>
      <c r="O95" s="46"/>
      <c r="P95" s="46">
        <v>1</v>
      </c>
      <c r="R95" s="1">
        <f t="shared" si="35"/>
        <v>0</v>
      </c>
      <c r="S95" s="1">
        <f t="shared" si="36"/>
        <v>0</v>
      </c>
      <c r="T95" s="1">
        <f t="shared" si="37"/>
        <v>0</v>
      </c>
      <c r="U95" s="1">
        <f t="shared" si="38"/>
        <v>0</v>
      </c>
      <c r="V95" s="1">
        <f t="shared" si="39"/>
        <v>0</v>
      </c>
      <c r="W95" s="1">
        <f t="shared" si="40"/>
        <v>0</v>
      </c>
      <c r="X95" s="1">
        <f t="shared" si="41"/>
        <v>1</v>
      </c>
      <c r="Y95" s="1">
        <f t="shared" si="42"/>
        <v>0</v>
      </c>
      <c r="Z95" s="1">
        <f t="shared" si="43"/>
        <v>0</v>
      </c>
      <c r="AA95" s="1">
        <f t="shared" si="44"/>
        <v>0</v>
      </c>
      <c r="AC95" s="1">
        <f t="shared" si="45"/>
        <v>0</v>
      </c>
      <c r="AD95" s="1">
        <f t="shared" si="46"/>
        <v>0</v>
      </c>
      <c r="AE95" s="1">
        <f t="shared" si="47"/>
        <v>0</v>
      </c>
      <c r="AF95" s="1">
        <f t="shared" si="48"/>
        <v>0</v>
      </c>
      <c r="AG95" s="1">
        <f t="shared" si="49"/>
        <v>1</v>
      </c>
      <c r="AH95" s="1">
        <f t="shared" si="50"/>
        <v>0</v>
      </c>
    </row>
    <row r="96" spans="1:34" ht="14.25" customHeight="1" x14ac:dyDescent="0.25">
      <c r="A96" s="47">
        <v>0</v>
      </c>
      <c r="B96" s="47">
        <v>1</v>
      </c>
      <c r="C96" s="47">
        <v>3</v>
      </c>
      <c r="D96" s="48" t="s">
        <v>1222</v>
      </c>
      <c r="E96" s="48" t="s">
        <v>177</v>
      </c>
      <c r="F96" s="48" t="s">
        <v>1354</v>
      </c>
      <c r="G96" s="48" t="s">
        <v>39</v>
      </c>
      <c r="H96" s="48" t="s">
        <v>617</v>
      </c>
      <c r="I96" s="47" t="s">
        <v>1223</v>
      </c>
      <c r="J96" s="47">
        <v>14</v>
      </c>
      <c r="K96" s="49" t="s">
        <v>964</v>
      </c>
      <c r="L96" s="49" t="s">
        <v>1715</v>
      </c>
      <c r="M96" s="50" t="s">
        <v>1406</v>
      </c>
      <c r="N96" s="50" t="s">
        <v>1818</v>
      </c>
      <c r="O96" s="51"/>
      <c r="P96" s="51"/>
      <c r="R96" s="1">
        <f t="shared" si="35"/>
        <v>0</v>
      </c>
      <c r="S96" s="1">
        <f t="shared" si="36"/>
        <v>0</v>
      </c>
      <c r="T96" s="1">
        <f t="shared" si="37"/>
        <v>0</v>
      </c>
      <c r="U96" s="1">
        <f t="shared" si="38"/>
        <v>0</v>
      </c>
      <c r="V96" s="1">
        <f t="shared" si="39"/>
        <v>0</v>
      </c>
      <c r="W96" s="1">
        <f t="shared" si="40"/>
        <v>0</v>
      </c>
      <c r="X96" s="1">
        <f t="shared" si="41"/>
        <v>0</v>
      </c>
      <c r="Y96" s="1">
        <f t="shared" si="42"/>
        <v>0</v>
      </c>
      <c r="Z96" s="1">
        <f t="shared" si="43"/>
        <v>0</v>
      </c>
      <c r="AA96" s="1">
        <f t="shared" si="44"/>
        <v>0</v>
      </c>
      <c r="AC96" s="1">
        <f t="shared" si="45"/>
        <v>0</v>
      </c>
      <c r="AD96" s="1">
        <f t="shared" si="46"/>
        <v>0</v>
      </c>
      <c r="AE96" s="1">
        <f t="shared" si="47"/>
        <v>0</v>
      </c>
      <c r="AF96" s="1">
        <f t="shared" si="48"/>
        <v>0</v>
      </c>
      <c r="AG96" s="1">
        <f t="shared" si="49"/>
        <v>0</v>
      </c>
      <c r="AH96" s="1">
        <f t="shared" si="50"/>
        <v>1</v>
      </c>
    </row>
    <row r="97" spans="1:34" ht="14.25" customHeight="1" x14ac:dyDescent="0.25">
      <c r="A97" s="34">
        <v>0</v>
      </c>
      <c r="B97" s="34">
        <v>1</v>
      </c>
      <c r="C97" s="34">
        <v>3</v>
      </c>
      <c r="D97" s="39" t="s">
        <v>829</v>
      </c>
      <c r="E97" s="35" t="s">
        <v>178</v>
      </c>
      <c r="F97" s="39" t="s">
        <v>935</v>
      </c>
      <c r="G97" s="39" t="s">
        <v>39</v>
      </c>
      <c r="H97" s="39" t="s">
        <v>376</v>
      </c>
      <c r="I97" s="40" t="s">
        <v>830</v>
      </c>
      <c r="J97" s="34">
        <v>16</v>
      </c>
      <c r="K97" s="36" t="s">
        <v>965</v>
      </c>
      <c r="L97" s="36" t="s">
        <v>695</v>
      </c>
      <c r="M97" s="37" t="s">
        <v>978</v>
      </c>
      <c r="N97" s="37" t="s">
        <v>1743</v>
      </c>
      <c r="O97" s="38">
        <v>1</v>
      </c>
      <c r="P97" s="38">
        <v>1</v>
      </c>
      <c r="R97" s="1">
        <f t="shared" si="35"/>
        <v>0</v>
      </c>
      <c r="S97" s="1">
        <f t="shared" si="36"/>
        <v>0</v>
      </c>
      <c r="T97" s="1">
        <f t="shared" si="37"/>
        <v>0</v>
      </c>
      <c r="U97" s="1">
        <f t="shared" si="38"/>
        <v>0</v>
      </c>
      <c r="V97" s="1">
        <f t="shared" si="39"/>
        <v>0</v>
      </c>
      <c r="W97" s="1">
        <f t="shared" si="40"/>
        <v>0</v>
      </c>
      <c r="X97" s="1">
        <f t="shared" si="41"/>
        <v>0</v>
      </c>
      <c r="Y97" s="1">
        <f t="shared" si="42"/>
        <v>0</v>
      </c>
      <c r="Z97" s="1">
        <f t="shared" si="43"/>
        <v>0</v>
      </c>
      <c r="AA97" s="1">
        <f t="shared" si="44"/>
        <v>0</v>
      </c>
      <c r="AC97" s="1">
        <f t="shared" si="45"/>
        <v>1</v>
      </c>
      <c r="AD97" s="1">
        <f t="shared" si="46"/>
        <v>0</v>
      </c>
      <c r="AE97" s="1">
        <f t="shared" si="47"/>
        <v>1</v>
      </c>
      <c r="AF97" s="1">
        <f t="shared" si="48"/>
        <v>0</v>
      </c>
      <c r="AG97" s="1">
        <f t="shared" si="49"/>
        <v>1</v>
      </c>
      <c r="AH97" s="1">
        <f t="shared" si="50"/>
        <v>0</v>
      </c>
    </row>
    <row r="98" spans="1:34" ht="14.25" customHeight="1" x14ac:dyDescent="0.25">
      <c r="A98" s="15">
        <v>0</v>
      </c>
      <c r="B98" s="15">
        <v>1</v>
      </c>
      <c r="C98" s="15">
        <v>3</v>
      </c>
      <c r="D98" s="16" t="s">
        <v>105</v>
      </c>
      <c r="E98" s="16" t="s">
        <v>172</v>
      </c>
      <c r="F98" s="16" t="s">
        <v>306</v>
      </c>
      <c r="G98" s="16" t="s">
        <v>39</v>
      </c>
      <c r="H98" s="16" t="s">
        <v>361</v>
      </c>
      <c r="I98" s="15" t="s">
        <v>456</v>
      </c>
      <c r="J98" s="15">
        <v>18</v>
      </c>
      <c r="K98" s="10" t="s">
        <v>710</v>
      </c>
      <c r="L98" s="10" t="s">
        <v>695</v>
      </c>
      <c r="M98" s="19" t="s">
        <v>699</v>
      </c>
      <c r="N98" s="17"/>
      <c r="R98" s="1">
        <f t="shared" si="35"/>
        <v>0</v>
      </c>
      <c r="S98" s="1">
        <f t="shared" si="36"/>
        <v>0</v>
      </c>
      <c r="T98" s="1">
        <f t="shared" si="37"/>
        <v>0</v>
      </c>
      <c r="U98" s="1">
        <f t="shared" si="38"/>
        <v>0</v>
      </c>
      <c r="V98" s="1">
        <f t="shared" si="39"/>
        <v>0</v>
      </c>
      <c r="W98" s="1">
        <f t="shared" si="40"/>
        <v>0</v>
      </c>
      <c r="X98" s="1">
        <f t="shared" si="41"/>
        <v>0</v>
      </c>
      <c r="Y98" s="1">
        <f t="shared" si="42"/>
        <v>0</v>
      </c>
      <c r="Z98" s="1">
        <f t="shared" si="43"/>
        <v>0</v>
      </c>
      <c r="AA98" s="1">
        <f t="shared" si="44"/>
        <v>0</v>
      </c>
      <c r="AC98" s="1">
        <f t="shared" si="45"/>
        <v>0</v>
      </c>
      <c r="AD98" s="1">
        <f t="shared" si="46"/>
        <v>0</v>
      </c>
      <c r="AE98" s="1">
        <f t="shared" si="47"/>
        <v>0</v>
      </c>
      <c r="AF98" s="1">
        <f t="shared" si="48"/>
        <v>0</v>
      </c>
      <c r="AG98" s="1">
        <f t="shared" si="49"/>
        <v>0</v>
      </c>
      <c r="AH98" s="1">
        <f t="shared" si="50"/>
        <v>1</v>
      </c>
    </row>
    <row r="99" spans="1:34" ht="14.25" customHeight="1" x14ac:dyDescent="0.25">
      <c r="A99" s="47">
        <v>0</v>
      </c>
      <c r="B99" s="47">
        <v>1</v>
      </c>
      <c r="C99" s="47">
        <v>3</v>
      </c>
      <c r="D99" s="48" t="s">
        <v>522</v>
      </c>
      <c r="E99" s="48" t="s">
        <v>172</v>
      </c>
      <c r="F99" s="48" t="s">
        <v>523</v>
      </c>
      <c r="G99" s="48" t="s">
        <v>510</v>
      </c>
      <c r="H99" s="48" t="s">
        <v>358</v>
      </c>
      <c r="I99" s="47" t="s">
        <v>524</v>
      </c>
      <c r="J99" s="47">
        <v>99</v>
      </c>
      <c r="K99" s="49" t="s">
        <v>964</v>
      </c>
      <c r="L99" s="49" t="s">
        <v>702</v>
      </c>
      <c r="M99" s="50" t="s">
        <v>699</v>
      </c>
      <c r="N99" s="50" t="s">
        <v>1763</v>
      </c>
      <c r="O99" s="51"/>
      <c r="P99" s="51"/>
      <c r="R99" s="1">
        <f t="shared" si="35"/>
        <v>0</v>
      </c>
      <c r="S99" s="1">
        <f t="shared" si="36"/>
        <v>0</v>
      </c>
      <c r="T99" s="1">
        <f t="shared" si="37"/>
        <v>0</v>
      </c>
      <c r="U99" s="1">
        <f t="shared" si="38"/>
        <v>0</v>
      </c>
      <c r="V99" s="1">
        <f t="shared" si="39"/>
        <v>0</v>
      </c>
      <c r="W99" s="1">
        <f t="shared" si="40"/>
        <v>0</v>
      </c>
      <c r="X99" s="1">
        <f t="shared" si="41"/>
        <v>0</v>
      </c>
      <c r="Y99" s="1">
        <f t="shared" si="42"/>
        <v>0</v>
      </c>
      <c r="Z99" s="1">
        <f t="shared" si="43"/>
        <v>0</v>
      </c>
      <c r="AA99" s="1">
        <f t="shared" si="44"/>
        <v>0</v>
      </c>
      <c r="AC99" s="1">
        <f t="shared" si="45"/>
        <v>0</v>
      </c>
      <c r="AD99" s="1">
        <f t="shared" si="46"/>
        <v>0</v>
      </c>
      <c r="AE99" s="1">
        <f t="shared" si="47"/>
        <v>0</v>
      </c>
      <c r="AF99" s="1">
        <f t="shared" si="48"/>
        <v>0</v>
      </c>
      <c r="AG99" s="1">
        <f t="shared" si="49"/>
        <v>0</v>
      </c>
      <c r="AH99" s="1">
        <f t="shared" si="50"/>
        <v>1</v>
      </c>
    </row>
    <row r="100" spans="1:34" ht="14.25" customHeight="1" x14ac:dyDescent="0.25">
      <c r="A100" s="15">
        <v>0</v>
      </c>
      <c r="B100" s="15">
        <v>1</v>
      </c>
      <c r="C100" s="15">
        <v>3</v>
      </c>
      <c r="D100" s="16" t="s">
        <v>1661</v>
      </c>
      <c r="E100" s="16" t="s">
        <v>1098</v>
      </c>
      <c r="F100" s="16" t="s">
        <v>1234</v>
      </c>
      <c r="G100" s="16" t="s">
        <v>39</v>
      </c>
      <c r="H100" s="16" t="s">
        <v>1235</v>
      </c>
      <c r="I100" s="15" t="s">
        <v>1236</v>
      </c>
      <c r="J100" s="15">
        <v>18</v>
      </c>
      <c r="K100" s="10" t="s">
        <v>966</v>
      </c>
      <c r="L100" s="10" t="s">
        <v>695</v>
      </c>
      <c r="M100" s="19" t="s">
        <v>978</v>
      </c>
      <c r="N100" s="17"/>
      <c r="R100" s="1">
        <f t="shared" si="35"/>
        <v>0</v>
      </c>
      <c r="S100" s="1">
        <f t="shared" si="36"/>
        <v>0</v>
      </c>
      <c r="T100" s="1">
        <f t="shared" si="37"/>
        <v>0</v>
      </c>
      <c r="U100" s="1">
        <f t="shared" si="38"/>
        <v>0</v>
      </c>
      <c r="V100" s="1">
        <f t="shared" si="39"/>
        <v>0</v>
      </c>
      <c r="W100" s="1">
        <f t="shared" si="40"/>
        <v>0</v>
      </c>
      <c r="X100" s="1">
        <f t="shared" si="41"/>
        <v>0</v>
      </c>
      <c r="Y100" s="1">
        <f t="shared" si="42"/>
        <v>0</v>
      </c>
      <c r="Z100" s="1">
        <f t="shared" si="43"/>
        <v>0</v>
      </c>
      <c r="AA100" s="1">
        <f t="shared" si="44"/>
        <v>0</v>
      </c>
      <c r="AC100" s="1">
        <f t="shared" si="45"/>
        <v>0</v>
      </c>
      <c r="AD100" s="1">
        <f t="shared" si="46"/>
        <v>0</v>
      </c>
      <c r="AE100" s="1">
        <f t="shared" si="47"/>
        <v>0</v>
      </c>
      <c r="AF100" s="1">
        <f t="shared" si="48"/>
        <v>0</v>
      </c>
      <c r="AG100" s="1">
        <f t="shared" si="49"/>
        <v>0</v>
      </c>
      <c r="AH100" s="1">
        <f t="shared" si="50"/>
        <v>1</v>
      </c>
    </row>
    <row r="101" spans="1:34" ht="14.25" customHeight="1" x14ac:dyDescent="0.25">
      <c r="A101" s="15">
        <v>0</v>
      </c>
      <c r="B101" s="15">
        <v>1</v>
      </c>
      <c r="C101" s="15">
        <v>3</v>
      </c>
      <c r="D101" s="16" t="s">
        <v>1574</v>
      </c>
      <c r="E101" s="16" t="s">
        <v>172</v>
      </c>
      <c r="F101" s="16" t="s">
        <v>1693</v>
      </c>
      <c r="G101" s="16" t="s">
        <v>39</v>
      </c>
      <c r="H101" s="16" t="s">
        <v>361</v>
      </c>
      <c r="I101" s="15" t="s">
        <v>1575</v>
      </c>
      <c r="J101" s="15">
        <v>18</v>
      </c>
      <c r="K101" s="10" t="s">
        <v>730</v>
      </c>
      <c r="L101" s="10" t="s">
        <v>695</v>
      </c>
      <c r="M101" s="19" t="s">
        <v>699</v>
      </c>
      <c r="N101" s="17"/>
      <c r="R101" s="1">
        <f t="shared" si="35"/>
        <v>0</v>
      </c>
      <c r="S101" s="1">
        <f t="shared" si="36"/>
        <v>0</v>
      </c>
      <c r="T101" s="1">
        <f t="shared" si="37"/>
        <v>0</v>
      </c>
      <c r="U101" s="1">
        <f t="shared" si="38"/>
        <v>0</v>
      </c>
      <c r="V101" s="1">
        <f t="shared" si="39"/>
        <v>0</v>
      </c>
      <c r="W101" s="1">
        <f t="shared" si="40"/>
        <v>0</v>
      </c>
      <c r="X101" s="1">
        <f t="shared" si="41"/>
        <v>0</v>
      </c>
      <c r="Y101" s="1">
        <f t="shared" si="42"/>
        <v>0</v>
      </c>
      <c r="Z101" s="1">
        <f t="shared" si="43"/>
        <v>0</v>
      </c>
      <c r="AA101" s="1">
        <f t="shared" si="44"/>
        <v>0</v>
      </c>
      <c r="AC101" s="1">
        <f t="shared" si="45"/>
        <v>0</v>
      </c>
      <c r="AD101" s="1">
        <f t="shared" si="46"/>
        <v>0</v>
      </c>
      <c r="AE101" s="1">
        <f t="shared" si="47"/>
        <v>0</v>
      </c>
      <c r="AF101" s="1">
        <f t="shared" si="48"/>
        <v>0</v>
      </c>
      <c r="AG101" s="1">
        <f t="shared" si="49"/>
        <v>0</v>
      </c>
      <c r="AH101" s="1">
        <f t="shared" si="50"/>
        <v>1</v>
      </c>
    </row>
    <row r="102" spans="1:34" ht="14.25" customHeight="1" x14ac:dyDescent="0.25">
      <c r="A102" s="34">
        <v>0</v>
      </c>
      <c r="B102" s="34">
        <v>1</v>
      </c>
      <c r="C102" s="34">
        <v>3</v>
      </c>
      <c r="D102" s="35" t="s">
        <v>1334</v>
      </c>
      <c r="E102" s="35" t="s">
        <v>177</v>
      </c>
      <c r="F102" s="35" t="s">
        <v>1355</v>
      </c>
      <c r="G102" s="35" t="s">
        <v>39</v>
      </c>
      <c r="H102" s="35" t="s">
        <v>358</v>
      </c>
      <c r="I102" s="34" t="s">
        <v>1147</v>
      </c>
      <c r="J102" s="34">
        <v>99</v>
      </c>
      <c r="K102" s="36" t="s">
        <v>710</v>
      </c>
      <c r="L102" s="36" t="s">
        <v>1715</v>
      </c>
      <c r="M102" s="37" t="s">
        <v>1407</v>
      </c>
      <c r="N102" s="37" t="s">
        <v>1765</v>
      </c>
      <c r="O102" s="38">
        <v>1</v>
      </c>
      <c r="P102" s="38"/>
      <c r="R102" s="1">
        <f t="shared" si="35"/>
        <v>0</v>
      </c>
      <c r="S102" s="1">
        <f t="shared" si="36"/>
        <v>0</v>
      </c>
      <c r="T102" s="1">
        <f t="shared" si="37"/>
        <v>0</v>
      </c>
      <c r="U102" s="1">
        <f t="shared" si="38"/>
        <v>0</v>
      </c>
      <c r="V102" s="1">
        <f t="shared" si="39"/>
        <v>0</v>
      </c>
      <c r="W102" s="1">
        <f t="shared" si="40"/>
        <v>0</v>
      </c>
      <c r="X102" s="1">
        <f t="shared" si="41"/>
        <v>0</v>
      </c>
      <c r="Y102" s="1">
        <f t="shared" si="42"/>
        <v>0</v>
      </c>
      <c r="Z102" s="1">
        <f t="shared" si="43"/>
        <v>0</v>
      </c>
      <c r="AA102" s="1">
        <f t="shared" si="44"/>
        <v>0</v>
      </c>
      <c r="AC102" s="1">
        <f t="shared" si="45"/>
        <v>0</v>
      </c>
      <c r="AD102" s="1">
        <f t="shared" si="46"/>
        <v>1</v>
      </c>
      <c r="AE102" s="1">
        <f t="shared" si="47"/>
        <v>0</v>
      </c>
      <c r="AF102" s="1">
        <f t="shared" si="48"/>
        <v>1</v>
      </c>
      <c r="AG102" s="1">
        <f t="shared" si="49"/>
        <v>0</v>
      </c>
      <c r="AH102" s="1">
        <f t="shared" si="50"/>
        <v>1</v>
      </c>
    </row>
    <row r="103" spans="1:34" ht="14.25" customHeight="1" x14ac:dyDescent="0.25">
      <c r="A103" s="34">
        <v>0</v>
      </c>
      <c r="B103" s="34">
        <v>1</v>
      </c>
      <c r="C103" s="34">
        <v>3</v>
      </c>
      <c r="D103" s="35" t="s">
        <v>1278</v>
      </c>
      <c r="E103" s="35" t="s">
        <v>172</v>
      </c>
      <c r="F103" s="35" t="s">
        <v>1356</v>
      </c>
      <c r="G103" s="35" t="s">
        <v>1209</v>
      </c>
      <c r="H103" s="35" t="s">
        <v>358</v>
      </c>
      <c r="I103" s="34" t="s">
        <v>1210</v>
      </c>
      <c r="J103" s="34">
        <v>99</v>
      </c>
      <c r="K103" s="36" t="s">
        <v>730</v>
      </c>
      <c r="L103" s="36">
        <v>50</v>
      </c>
      <c r="M103" s="37" t="s">
        <v>39</v>
      </c>
      <c r="N103" s="37" t="s">
        <v>1817</v>
      </c>
      <c r="O103" s="38">
        <v>1</v>
      </c>
      <c r="P103" s="38"/>
      <c r="R103" s="1">
        <f t="shared" si="35"/>
        <v>0</v>
      </c>
      <c r="S103" s="1">
        <f t="shared" si="36"/>
        <v>0</v>
      </c>
      <c r="T103" s="1">
        <f t="shared" si="37"/>
        <v>0</v>
      </c>
      <c r="U103" s="1">
        <f t="shared" si="38"/>
        <v>0</v>
      </c>
      <c r="V103" s="1">
        <f t="shared" si="39"/>
        <v>0</v>
      </c>
      <c r="W103" s="1">
        <f t="shared" si="40"/>
        <v>0</v>
      </c>
      <c r="X103" s="1">
        <f t="shared" si="41"/>
        <v>0</v>
      </c>
      <c r="Y103" s="1">
        <f t="shared" si="42"/>
        <v>0</v>
      </c>
      <c r="Z103" s="1">
        <f t="shared" si="43"/>
        <v>0</v>
      </c>
      <c r="AA103" s="1">
        <f t="shared" si="44"/>
        <v>0</v>
      </c>
      <c r="AC103" s="1">
        <f t="shared" si="45"/>
        <v>0</v>
      </c>
      <c r="AD103" s="1">
        <f t="shared" si="46"/>
        <v>1</v>
      </c>
      <c r="AE103" s="1">
        <f t="shared" si="47"/>
        <v>0</v>
      </c>
      <c r="AF103" s="1">
        <f t="shared" si="48"/>
        <v>1</v>
      </c>
      <c r="AG103" s="1">
        <f t="shared" si="49"/>
        <v>0</v>
      </c>
      <c r="AH103" s="1">
        <f t="shared" si="50"/>
        <v>1</v>
      </c>
    </row>
    <row r="104" spans="1:34" ht="14.25" customHeight="1" x14ac:dyDescent="0.25">
      <c r="A104" s="34">
        <v>0</v>
      </c>
      <c r="B104" s="34">
        <v>1</v>
      </c>
      <c r="C104" s="34">
        <v>3</v>
      </c>
      <c r="D104" s="35" t="s">
        <v>1027</v>
      </c>
      <c r="E104" s="35" t="s">
        <v>616</v>
      </c>
      <c r="F104" s="35" t="s">
        <v>1028</v>
      </c>
      <c r="G104" s="35" t="s">
        <v>1029</v>
      </c>
      <c r="H104" s="35" t="s">
        <v>358</v>
      </c>
      <c r="I104" s="34" t="s">
        <v>1030</v>
      </c>
      <c r="J104" s="34">
        <v>99</v>
      </c>
      <c r="K104" s="36" t="s">
        <v>964</v>
      </c>
      <c r="L104" s="36" t="s">
        <v>39</v>
      </c>
      <c r="M104" s="37" t="s">
        <v>39</v>
      </c>
      <c r="N104" s="37" t="s">
        <v>1749</v>
      </c>
      <c r="O104" s="38">
        <v>1</v>
      </c>
      <c r="P104" s="38">
        <v>1</v>
      </c>
      <c r="R104" s="1">
        <f t="shared" si="35"/>
        <v>0</v>
      </c>
      <c r="S104" s="1">
        <f t="shared" si="36"/>
        <v>0</v>
      </c>
      <c r="T104" s="1">
        <f t="shared" si="37"/>
        <v>0</v>
      </c>
      <c r="U104" s="1">
        <f t="shared" si="38"/>
        <v>0</v>
      </c>
      <c r="V104" s="1">
        <f t="shared" si="39"/>
        <v>0</v>
      </c>
      <c r="W104" s="1">
        <f t="shared" si="40"/>
        <v>0</v>
      </c>
      <c r="X104" s="1">
        <f t="shared" si="41"/>
        <v>0</v>
      </c>
      <c r="Y104" s="1">
        <f t="shared" si="42"/>
        <v>0</v>
      </c>
      <c r="Z104" s="1">
        <f t="shared" si="43"/>
        <v>0</v>
      </c>
      <c r="AA104" s="1">
        <f t="shared" si="44"/>
        <v>0</v>
      </c>
      <c r="AC104" s="1">
        <f t="shared" si="45"/>
        <v>1</v>
      </c>
      <c r="AD104" s="1">
        <f t="shared" si="46"/>
        <v>0</v>
      </c>
      <c r="AE104" s="1">
        <f t="shared" si="47"/>
        <v>1</v>
      </c>
      <c r="AF104" s="1">
        <f t="shared" si="48"/>
        <v>0</v>
      </c>
      <c r="AG104" s="1">
        <f t="shared" si="49"/>
        <v>1</v>
      </c>
      <c r="AH104" s="1">
        <f t="shared" si="50"/>
        <v>0</v>
      </c>
    </row>
    <row r="105" spans="1:34" ht="14.25" customHeight="1" x14ac:dyDescent="0.25">
      <c r="A105" s="47">
        <v>0</v>
      </c>
      <c r="B105" s="47">
        <v>1</v>
      </c>
      <c r="C105" s="47">
        <v>3</v>
      </c>
      <c r="D105" s="48" t="s">
        <v>142</v>
      </c>
      <c r="E105" s="48" t="s">
        <v>177</v>
      </c>
      <c r="F105" s="48" t="s">
        <v>346</v>
      </c>
      <c r="G105" s="48" t="s">
        <v>39</v>
      </c>
      <c r="H105" s="48" t="s">
        <v>380</v>
      </c>
      <c r="I105" s="47" t="s">
        <v>494</v>
      </c>
      <c r="J105" s="47">
        <v>16</v>
      </c>
      <c r="K105" s="49" t="s">
        <v>710</v>
      </c>
      <c r="L105" s="49" t="s">
        <v>695</v>
      </c>
      <c r="M105" s="50" t="s">
        <v>1408</v>
      </c>
      <c r="N105" s="50" t="s">
        <v>1755</v>
      </c>
      <c r="O105" s="51"/>
      <c r="P105" s="51"/>
      <c r="R105" s="1">
        <f t="shared" si="35"/>
        <v>0</v>
      </c>
      <c r="S105" s="1">
        <f t="shared" si="36"/>
        <v>0</v>
      </c>
      <c r="T105" s="1">
        <f t="shared" si="37"/>
        <v>0</v>
      </c>
      <c r="U105" s="1">
        <f t="shared" si="38"/>
        <v>0</v>
      </c>
      <c r="V105" s="1">
        <f t="shared" si="39"/>
        <v>0</v>
      </c>
      <c r="W105" s="1">
        <f t="shared" si="40"/>
        <v>0</v>
      </c>
      <c r="X105" s="1">
        <f t="shared" si="41"/>
        <v>0</v>
      </c>
      <c r="Y105" s="1">
        <f t="shared" si="42"/>
        <v>0</v>
      </c>
      <c r="Z105" s="1">
        <f t="shared" si="43"/>
        <v>0</v>
      </c>
      <c r="AA105" s="1">
        <f t="shared" si="44"/>
        <v>0</v>
      </c>
      <c r="AC105" s="1">
        <f t="shared" si="45"/>
        <v>0</v>
      </c>
      <c r="AD105" s="1">
        <f t="shared" si="46"/>
        <v>0</v>
      </c>
      <c r="AE105" s="1">
        <f t="shared" si="47"/>
        <v>0</v>
      </c>
      <c r="AF105" s="1">
        <f t="shared" si="48"/>
        <v>0</v>
      </c>
      <c r="AG105" s="1">
        <f t="shared" si="49"/>
        <v>0</v>
      </c>
      <c r="AH105" s="1">
        <f t="shared" si="50"/>
        <v>1</v>
      </c>
    </row>
    <row r="106" spans="1:34" ht="14.25" customHeight="1" x14ac:dyDescent="0.25">
      <c r="A106" s="34">
        <v>0</v>
      </c>
      <c r="B106" s="34">
        <v>1</v>
      </c>
      <c r="C106" s="34">
        <v>3</v>
      </c>
      <c r="D106" s="35" t="s">
        <v>825</v>
      </c>
      <c r="E106" s="35" t="s">
        <v>174</v>
      </c>
      <c r="F106" s="35" t="s">
        <v>826</v>
      </c>
      <c r="G106" s="35" t="s">
        <v>39</v>
      </c>
      <c r="H106" s="35" t="s">
        <v>827</v>
      </c>
      <c r="I106" s="34" t="s">
        <v>828</v>
      </c>
      <c r="J106" s="34">
        <v>16</v>
      </c>
      <c r="K106" s="36" t="s">
        <v>710</v>
      </c>
      <c r="L106" s="36" t="s">
        <v>695</v>
      </c>
      <c r="M106" s="37" t="s">
        <v>1408</v>
      </c>
      <c r="N106" s="37" t="s">
        <v>1743</v>
      </c>
      <c r="O106" s="38">
        <v>1</v>
      </c>
      <c r="P106" s="38">
        <v>1</v>
      </c>
      <c r="R106" s="1">
        <f t="shared" si="35"/>
        <v>0</v>
      </c>
      <c r="S106" s="1">
        <f t="shared" si="36"/>
        <v>0</v>
      </c>
      <c r="T106" s="1">
        <f t="shared" si="37"/>
        <v>0</v>
      </c>
      <c r="U106" s="1">
        <f t="shared" si="38"/>
        <v>0</v>
      </c>
      <c r="V106" s="1">
        <f t="shared" si="39"/>
        <v>0</v>
      </c>
      <c r="W106" s="1">
        <f t="shared" si="40"/>
        <v>0</v>
      </c>
      <c r="X106" s="1">
        <f t="shared" si="41"/>
        <v>0</v>
      </c>
      <c r="Y106" s="1">
        <f t="shared" si="42"/>
        <v>0</v>
      </c>
      <c r="Z106" s="1">
        <f t="shared" si="43"/>
        <v>0</v>
      </c>
      <c r="AA106" s="1">
        <f t="shared" si="44"/>
        <v>0</v>
      </c>
      <c r="AC106" s="1">
        <f t="shared" si="45"/>
        <v>1</v>
      </c>
      <c r="AD106" s="1">
        <f t="shared" si="46"/>
        <v>0</v>
      </c>
      <c r="AE106" s="1">
        <f t="shared" si="47"/>
        <v>1</v>
      </c>
      <c r="AF106" s="1">
        <f t="shared" si="48"/>
        <v>0</v>
      </c>
      <c r="AG106" s="1">
        <f t="shared" si="49"/>
        <v>1</v>
      </c>
      <c r="AH106" s="1">
        <f t="shared" si="50"/>
        <v>0</v>
      </c>
    </row>
    <row r="107" spans="1:34" ht="14.25" customHeight="1" x14ac:dyDescent="0.25">
      <c r="A107" s="15">
        <v>0</v>
      </c>
      <c r="B107" s="15">
        <v>1</v>
      </c>
      <c r="C107" s="15">
        <v>3</v>
      </c>
      <c r="D107" s="16" t="s">
        <v>109</v>
      </c>
      <c r="E107" s="16" t="s">
        <v>172</v>
      </c>
      <c r="F107" s="16" t="s">
        <v>309</v>
      </c>
      <c r="G107" s="16" t="s">
        <v>39</v>
      </c>
      <c r="H107" s="16" t="s">
        <v>365</v>
      </c>
      <c r="I107" s="15" t="s">
        <v>460</v>
      </c>
      <c r="J107" s="15">
        <v>18</v>
      </c>
      <c r="K107" s="10" t="s">
        <v>711</v>
      </c>
      <c r="L107" s="10" t="s">
        <v>695</v>
      </c>
      <c r="M107" s="19" t="s">
        <v>699</v>
      </c>
      <c r="N107" s="17"/>
      <c r="R107" s="1">
        <f t="shared" si="35"/>
        <v>0</v>
      </c>
      <c r="S107" s="1">
        <f t="shared" si="36"/>
        <v>0</v>
      </c>
      <c r="T107" s="1">
        <f t="shared" si="37"/>
        <v>0</v>
      </c>
      <c r="U107" s="1">
        <f t="shared" si="38"/>
        <v>0</v>
      </c>
      <c r="V107" s="1">
        <f t="shared" si="39"/>
        <v>0</v>
      </c>
      <c r="W107" s="1">
        <f t="shared" si="40"/>
        <v>0</v>
      </c>
      <c r="X107" s="1">
        <f t="shared" si="41"/>
        <v>0</v>
      </c>
      <c r="Y107" s="1">
        <f t="shared" si="42"/>
        <v>0</v>
      </c>
      <c r="Z107" s="1">
        <f t="shared" si="43"/>
        <v>0</v>
      </c>
      <c r="AA107" s="1">
        <f t="shared" si="44"/>
        <v>0</v>
      </c>
      <c r="AC107" s="1">
        <f t="shared" si="45"/>
        <v>0</v>
      </c>
      <c r="AD107" s="1">
        <f t="shared" si="46"/>
        <v>0</v>
      </c>
      <c r="AE107" s="1">
        <f t="shared" si="47"/>
        <v>0</v>
      </c>
      <c r="AF107" s="1">
        <f t="shared" si="48"/>
        <v>0</v>
      </c>
      <c r="AG107" s="1">
        <f t="shared" si="49"/>
        <v>0</v>
      </c>
      <c r="AH107" s="1">
        <f t="shared" si="50"/>
        <v>1</v>
      </c>
    </row>
    <row r="108" spans="1:34" ht="14.25" customHeight="1" x14ac:dyDescent="0.25">
      <c r="A108" s="47">
        <v>0</v>
      </c>
      <c r="B108" s="47">
        <v>1</v>
      </c>
      <c r="C108" s="47">
        <v>3</v>
      </c>
      <c r="D108" s="48" t="s">
        <v>1521</v>
      </c>
      <c r="E108" s="48" t="s">
        <v>172</v>
      </c>
      <c r="F108" s="48" t="s">
        <v>1522</v>
      </c>
      <c r="G108" s="48" t="s">
        <v>39</v>
      </c>
      <c r="H108" s="48" t="s">
        <v>378</v>
      </c>
      <c r="I108" s="47" t="s">
        <v>1523</v>
      </c>
      <c r="J108" s="47">
        <v>11</v>
      </c>
      <c r="K108" s="49" t="s">
        <v>730</v>
      </c>
      <c r="L108" s="49">
        <v>50</v>
      </c>
      <c r="M108" s="50" t="s">
        <v>39</v>
      </c>
      <c r="N108" s="50" t="s">
        <v>1750</v>
      </c>
      <c r="O108" s="51"/>
      <c r="P108" s="51"/>
      <c r="R108" s="1">
        <f t="shared" si="35"/>
        <v>0</v>
      </c>
      <c r="S108" s="1">
        <f t="shared" si="36"/>
        <v>0</v>
      </c>
      <c r="T108" s="1">
        <f t="shared" si="37"/>
        <v>0</v>
      </c>
      <c r="U108" s="1">
        <f t="shared" si="38"/>
        <v>0</v>
      </c>
      <c r="V108" s="1">
        <f t="shared" si="39"/>
        <v>0</v>
      </c>
      <c r="W108" s="1">
        <f t="shared" si="40"/>
        <v>0</v>
      </c>
      <c r="X108" s="1">
        <f t="shared" si="41"/>
        <v>0</v>
      </c>
      <c r="Y108" s="1">
        <f t="shared" si="42"/>
        <v>0</v>
      </c>
      <c r="Z108" s="1">
        <f t="shared" si="43"/>
        <v>0</v>
      </c>
      <c r="AA108" s="1">
        <f t="shared" si="44"/>
        <v>0</v>
      </c>
      <c r="AC108" s="1">
        <f t="shared" si="45"/>
        <v>0</v>
      </c>
      <c r="AD108" s="1">
        <f t="shared" si="46"/>
        <v>0</v>
      </c>
      <c r="AE108" s="1">
        <f t="shared" si="47"/>
        <v>0</v>
      </c>
      <c r="AF108" s="1">
        <f t="shared" si="48"/>
        <v>0</v>
      </c>
      <c r="AG108" s="1">
        <f t="shared" si="49"/>
        <v>0</v>
      </c>
      <c r="AH108" s="1">
        <f t="shared" si="50"/>
        <v>1</v>
      </c>
    </row>
    <row r="109" spans="1:34" ht="14.25" customHeight="1" x14ac:dyDescent="0.25">
      <c r="A109" s="47">
        <v>0</v>
      </c>
      <c r="B109" s="47">
        <v>1</v>
      </c>
      <c r="C109" s="47">
        <v>3</v>
      </c>
      <c r="D109" s="48" t="s">
        <v>108</v>
      </c>
      <c r="E109" s="48" t="s">
        <v>172</v>
      </c>
      <c r="F109" s="48" t="s">
        <v>308</v>
      </c>
      <c r="G109" s="48" t="s">
        <v>39</v>
      </c>
      <c r="H109" s="48" t="s">
        <v>364</v>
      </c>
      <c r="I109" s="47" t="s">
        <v>459</v>
      </c>
      <c r="J109" s="47">
        <v>18</v>
      </c>
      <c r="K109" s="49" t="s">
        <v>710</v>
      </c>
      <c r="L109" s="49">
        <v>55</v>
      </c>
      <c r="M109" s="50" t="s">
        <v>699</v>
      </c>
      <c r="N109" s="50" t="s">
        <v>1750</v>
      </c>
      <c r="O109" s="51"/>
      <c r="P109" s="51"/>
      <c r="R109" s="1">
        <f t="shared" si="35"/>
        <v>0</v>
      </c>
      <c r="S109" s="1">
        <f t="shared" si="36"/>
        <v>0</v>
      </c>
      <c r="T109" s="1">
        <f t="shared" si="37"/>
        <v>0</v>
      </c>
      <c r="U109" s="1">
        <f t="shared" si="38"/>
        <v>0</v>
      </c>
      <c r="V109" s="1">
        <f t="shared" si="39"/>
        <v>0</v>
      </c>
      <c r="W109" s="1">
        <f t="shared" si="40"/>
        <v>0</v>
      </c>
      <c r="X109" s="1">
        <f t="shared" si="41"/>
        <v>0</v>
      </c>
      <c r="Y109" s="1">
        <f t="shared" si="42"/>
        <v>0</v>
      </c>
      <c r="Z109" s="1">
        <f t="shared" si="43"/>
        <v>0</v>
      </c>
      <c r="AA109" s="1">
        <f t="shared" si="44"/>
        <v>0</v>
      </c>
      <c r="AC109" s="1">
        <f t="shared" si="45"/>
        <v>0</v>
      </c>
      <c r="AD109" s="1">
        <f t="shared" si="46"/>
        <v>0</v>
      </c>
      <c r="AE109" s="1">
        <f t="shared" si="47"/>
        <v>0</v>
      </c>
      <c r="AF109" s="1">
        <f t="shared" si="48"/>
        <v>0</v>
      </c>
      <c r="AG109" s="1">
        <f t="shared" si="49"/>
        <v>0</v>
      </c>
      <c r="AH109" s="1">
        <f t="shared" si="50"/>
        <v>1</v>
      </c>
    </row>
    <row r="110" spans="1:34" ht="14.25" customHeight="1" x14ac:dyDescent="0.25">
      <c r="A110" s="34">
        <v>0</v>
      </c>
      <c r="B110" s="34">
        <v>1</v>
      </c>
      <c r="C110" s="34">
        <v>3</v>
      </c>
      <c r="D110" s="35" t="s">
        <v>129</v>
      </c>
      <c r="E110" s="35" t="s">
        <v>177</v>
      </c>
      <c r="F110" s="35" t="s">
        <v>332</v>
      </c>
      <c r="G110" s="35" t="s">
        <v>39</v>
      </c>
      <c r="H110" s="35" t="s">
        <v>379</v>
      </c>
      <c r="I110" s="34" t="s">
        <v>482</v>
      </c>
      <c r="J110" s="34">
        <v>12</v>
      </c>
      <c r="K110" s="36" t="s">
        <v>710</v>
      </c>
      <c r="L110" s="36">
        <v>35</v>
      </c>
      <c r="M110" s="37" t="s">
        <v>699</v>
      </c>
      <c r="N110" s="37" t="s">
        <v>1765</v>
      </c>
      <c r="O110" s="38">
        <v>1</v>
      </c>
      <c r="P110" s="38"/>
      <c r="R110" s="1">
        <f t="shared" si="35"/>
        <v>0</v>
      </c>
      <c r="S110" s="1">
        <f t="shared" si="36"/>
        <v>0</v>
      </c>
      <c r="T110" s="1">
        <f t="shared" si="37"/>
        <v>0</v>
      </c>
      <c r="U110" s="1">
        <f t="shared" si="38"/>
        <v>0</v>
      </c>
      <c r="V110" s="1">
        <f t="shared" si="39"/>
        <v>0</v>
      </c>
      <c r="W110" s="1">
        <f t="shared" si="40"/>
        <v>0</v>
      </c>
      <c r="X110" s="1">
        <f t="shared" si="41"/>
        <v>0</v>
      </c>
      <c r="Y110" s="1">
        <f t="shared" si="42"/>
        <v>0</v>
      </c>
      <c r="Z110" s="1">
        <f t="shared" si="43"/>
        <v>0</v>
      </c>
      <c r="AA110" s="1">
        <f t="shared" si="44"/>
        <v>0</v>
      </c>
      <c r="AC110" s="1">
        <f t="shared" si="45"/>
        <v>0</v>
      </c>
      <c r="AD110" s="1">
        <f t="shared" si="46"/>
        <v>1</v>
      </c>
      <c r="AE110" s="1">
        <f t="shared" si="47"/>
        <v>0</v>
      </c>
      <c r="AF110" s="1">
        <f t="shared" si="48"/>
        <v>1</v>
      </c>
      <c r="AG110" s="1">
        <f t="shared" si="49"/>
        <v>0</v>
      </c>
      <c r="AH110" s="1">
        <f t="shared" si="50"/>
        <v>1</v>
      </c>
    </row>
    <row r="111" spans="1:34" ht="14.25" customHeight="1" x14ac:dyDescent="0.25">
      <c r="A111" s="47">
        <v>0</v>
      </c>
      <c r="B111" s="47">
        <v>1</v>
      </c>
      <c r="C111" s="47">
        <v>3</v>
      </c>
      <c r="D111" s="48" t="s">
        <v>1002</v>
      </c>
      <c r="E111" s="48" t="s">
        <v>172</v>
      </c>
      <c r="F111" s="48" t="s">
        <v>1104</v>
      </c>
      <c r="G111" s="48" t="s">
        <v>234</v>
      </c>
      <c r="H111" s="48" t="s">
        <v>358</v>
      </c>
      <c r="I111" s="47" t="s">
        <v>1003</v>
      </c>
      <c r="J111" s="47">
        <v>99</v>
      </c>
      <c r="K111" s="49" t="s">
        <v>964</v>
      </c>
      <c r="L111" s="49">
        <v>40</v>
      </c>
      <c r="M111" s="50" t="s">
        <v>39</v>
      </c>
      <c r="N111" s="50" t="s">
        <v>1763</v>
      </c>
      <c r="O111" s="51"/>
      <c r="P111" s="51"/>
      <c r="R111" s="1">
        <f t="shared" si="35"/>
        <v>0</v>
      </c>
      <c r="S111" s="1">
        <f t="shared" si="36"/>
        <v>0</v>
      </c>
      <c r="T111" s="1">
        <f t="shared" si="37"/>
        <v>0</v>
      </c>
      <c r="U111" s="1">
        <f t="shared" si="38"/>
        <v>0</v>
      </c>
      <c r="V111" s="1">
        <f t="shared" si="39"/>
        <v>0</v>
      </c>
      <c r="W111" s="1">
        <f t="shared" si="40"/>
        <v>0</v>
      </c>
      <c r="X111" s="1">
        <f t="shared" si="41"/>
        <v>0</v>
      </c>
      <c r="Y111" s="1">
        <f t="shared" si="42"/>
        <v>0</v>
      </c>
      <c r="Z111" s="1">
        <f t="shared" si="43"/>
        <v>0</v>
      </c>
      <c r="AA111" s="1">
        <f t="shared" si="44"/>
        <v>0</v>
      </c>
      <c r="AC111" s="1">
        <f t="shared" si="45"/>
        <v>0</v>
      </c>
      <c r="AD111" s="1">
        <f t="shared" si="46"/>
        <v>0</v>
      </c>
      <c r="AE111" s="1">
        <f t="shared" si="47"/>
        <v>0</v>
      </c>
      <c r="AF111" s="1">
        <f t="shared" si="48"/>
        <v>0</v>
      </c>
      <c r="AG111" s="1">
        <f t="shared" si="49"/>
        <v>0</v>
      </c>
      <c r="AH111" s="1">
        <f t="shared" si="50"/>
        <v>1</v>
      </c>
    </row>
    <row r="112" spans="1:34" ht="14.25" customHeight="1" x14ac:dyDescent="0.25">
      <c r="A112" s="41">
        <v>0</v>
      </c>
      <c r="B112" s="41">
        <v>1</v>
      </c>
      <c r="C112" s="41">
        <v>3</v>
      </c>
      <c r="D112" s="42" t="s">
        <v>130</v>
      </c>
      <c r="E112" s="42" t="s">
        <v>172</v>
      </c>
      <c r="F112" s="42" t="s">
        <v>333</v>
      </c>
      <c r="G112" s="42" t="s">
        <v>39</v>
      </c>
      <c r="H112" s="42" t="s">
        <v>375</v>
      </c>
      <c r="I112" s="41" t="s">
        <v>483</v>
      </c>
      <c r="J112" s="41">
        <v>11</v>
      </c>
      <c r="K112" s="43" t="s">
        <v>710</v>
      </c>
      <c r="L112" s="43" t="s">
        <v>39</v>
      </c>
      <c r="M112" s="44" t="s">
        <v>39</v>
      </c>
      <c r="N112" s="45"/>
      <c r="O112" s="46"/>
      <c r="P112" s="46">
        <v>1</v>
      </c>
      <c r="R112" s="1">
        <f t="shared" si="35"/>
        <v>0</v>
      </c>
      <c r="S112" s="1">
        <f t="shared" si="36"/>
        <v>0</v>
      </c>
      <c r="T112" s="1">
        <f t="shared" si="37"/>
        <v>0</v>
      </c>
      <c r="U112" s="1">
        <f t="shared" si="38"/>
        <v>0</v>
      </c>
      <c r="V112" s="1">
        <f t="shared" si="39"/>
        <v>0</v>
      </c>
      <c r="W112" s="1">
        <f t="shared" si="40"/>
        <v>0</v>
      </c>
      <c r="X112" s="1">
        <f t="shared" si="41"/>
        <v>0</v>
      </c>
      <c r="Y112" s="1">
        <f t="shared" si="42"/>
        <v>0</v>
      </c>
      <c r="Z112" s="1">
        <f t="shared" si="43"/>
        <v>0</v>
      </c>
      <c r="AA112" s="1">
        <f t="shared" si="44"/>
        <v>0</v>
      </c>
      <c r="AC112" s="1">
        <f t="shared" si="45"/>
        <v>0</v>
      </c>
      <c r="AD112" s="1">
        <f t="shared" si="46"/>
        <v>0</v>
      </c>
      <c r="AE112" s="1">
        <f t="shared" si="47"/>
        <v>0</v>
      </c>
      <c r="AF112" s="1">
        <f t="shared" si="48"/>
        <v>0</v>
      </c>
      <c r="AG112" s="1">
        <f t="shared" si="49"/>
        <v>1</v>
      </c>
      <c r="AH112" s="1">
        <f t="shared" si="50"/>
        <v>0</v>
      </c>
    </row>
    <row r="113" spans="1:34" ht="14.25" customHeight="1" x14ac:dyDescent="0.25">
      <c r="A113" s="15">
        <v>0</v>
      </c>
      <c r="B113" s="15">
        <v>1</v>
      </c>
      <c r="C113" s="15">
        <v>3</v>
      </c>
      <c r="D113" s="16" t="s">
        <v>1335</v>
      </c>
      <c r="E113" s="16" t="s">
        <v>174</v>
      </c>
      <c r="F113" s="16" t="s">
        <v>1358</v>
      </c>
      <c r="G113" s="16" t="s">
        <v>39</v>
      </c>
      <c r="H113" s="16" t="s">
        <v>996</v>
      </c>
      <c r="I113" s="15" t="s">
        <v>997</v>
      </c>
      <c r="J113" s="15">
        <v>14</v>
      </c>
      <c r="K113" s="10" t="s">
        <v>711</v>
      </c>
      <c r="L113" s="10">
        <v>30</v>
      </c>
      <c r="M113" s="19" t="s">
        <v>979</v>
      </c>
      <c r="N113" s="17"/>
      <c r="R113" s="1">
        <f t="shared" si="35"/>
        <v>0</v>
      </c>
      <c r="S113" s="1">
        <f t="shared" si="36"/>
        <v>0</v>
      </c>
      <c r="T113" s="1">
        <f t="shared" si="37"/>
        <v>0</v>
      </c>
      <c r="U113" s="1">
        <f t="shared" si="38"/>
        <v>0</v>
      </c>
      <c r="V113" s="1">
        <f t="shared" si="39"/>
        <v>0</v>
      </c>
      <c r="W113" s="1">
        <f t="shared" si="40"/>
        <v>0</v>
      </c>
      <c r="X113" s="1">
        <f t="shared" si="41"/>
        <v>0</v>
      </c>
      <c r="Y113" s="1">
        <f t="shared" si="42"/>
        <v>0</v>
      </c>
      <c r="Z113" s="1">
        <f t="shared" si="43"/>
        <v>0</v>
      </c>
      <c r="AA113" s="1">
        <f t="shared" si="44"/>
        <v>0</v>
      </c>
      <c r="AC113" s="1">
        <f t="shared" si="45"/>
        <v>0</v>
      </c>
      <c r="AD113" s="1">
        <f t="shared" si="46"/>
        <v>0</v>
      </c>
      <c r="AE113" s="1">
        <f t="shared" si="47"/>
        <v>0</v>
      </c>
      <c r="AF113" s="1">
        <f t="shared" si="48"/>
        <v>0</v>
      </c>
      <c r="AG113" s="1">
        <f t="shared" si="49"/>
        <v>0</v>
      </c>
      <c r="AH113" s="1">
        <f t="shared" si="50"/>
        <v>1</v>
      </c>
    </row>
    <row r="114" spans="1:34" ht="14.25" customHeight="1" x14ac:dyDescent="0.25">
      <c r="A114" s="47">
        <v>0</v>
      </c>
      <c r="B114" s="47">
        <v>1</v>
      </c>
      <c r="C114" s="47">
        <v>3</v>
      </c>
      <c r="D114" s="48" t="s">
        <v>707</v>
      </c>
      <c r="E114" s="48" t="s">
        <v>177</v>
      </c>
      <c r="F114" s="48" t="s">
        <v>708</v>
      </c>
      <c r="G114" s="48" t="s">
        <v>39</v>
      </c>
      <c r="H114" s="48" t="s">
        <v>709</v>
      </c>
      <c r="I114" s="47" t="s">
        <v>1126</v>
      </c>
      <c r="J114" s="47">
        <v>13</v>
      </c>
      <c r="K114" s="49" t="s">
        <v>710</v>
      </c>
      <c r="L114" s="49" t="s">
        <v>1715</v>
      </c>
      <c r="M114" s="50" t="s">
        <v>978</v>
      </c>
      <c r="N114" s="50" t="s">
        <v>1818</v>
      </c>
      <c r="O114" s="51"/>
      <c r="P114" s="51"/>
      <c r="R114" s="1">
        <f t="shared" si="35"/>
        <v>0</v>
      </c>
      <c r="S114" s="1">
        <f t="shared" si="36"/>
        <v>0</v>
      </c>
      <c r="T114" s="1">
        <f t="shared" si="37"/>
        <v>0</v>
      </c>
      <c r="U114" s="1">
        <f t="shared" si="38"/>
        <v>0</v>
      </c>
      <c r="V114" s="1">
        <f t="shared" si="39"/>
        <v>0</v>
      </c>
      <c r="W114" s="1">
        <f t="shared" si="40"/>
        <v>0</v>
      </c>
      <c r="X114" s="1">
        <f t="shared" si="41"/>
        <v>0</v>
      </c>
      <c r="Y114" s="1">
        <f t="shared" si="42"/>
        <v>0</v>
      </c>
      <c r="Z114" s="1">
        <f t="shared" si="43"/>
        <v>0</v>
      </c>
      <c r="AA114" s="1">
        <f t="shared" si="44"/>
        <v>0</v>
      </c>
      <c r="AC114" s="1">
        <f t="shared" si="45"/>
        <v>0</v>
      </c>
      <c r="AD114" s="1">
        <f t="shared" si="46"/>
        <v>0</v>
      </c>
      <c r="AE114" s="1">
        <f t="shared" si="47"/>
        <v>0</v>
      </c>
      <c r="AF114" s="1">
        <f t="shared" si="48"/>
        <v>0</v>
      </c>
      <c r="AG114" s="1">
        <f t="shared" si="49"/>
        <v>0</v>
      </c>
      <c r="AH114" s="1">
        <f t="shared" si="50"/>
        <v>1</v>
      </c>
    </row>
    <row r="115" spans="1:34" ht="14.25" customHeight="1" x14ac:dyDescent="0.25">
      <c r="A115" s="34">
        <v>0</v>
      </c>
      <c r="B115" s="34">
        <v>1</v>
      </c>
      <c r="C115" s="34">
        <v>3</v>
      </c>
      <c r="D115" s="35" t="s">
        <v>1536</v>
      </c>
      <c r="E115" s="35" t="s">
        <v>172</v>
      </c>
      <c r="F115" s="35" t="s">
        <v>1683</v>
      </c>
      <c r="G115" s="35" t="s">
        <v>39</v>
      </c>
      <c r="H115" s="35" t="s">
        <v>1537</v>
      </c>
      <c r="I115" s="34" t="s">
        <v>1538</v>
      </c>
      <c r="J115" s="34">
        <v>11</v>
      </c>
      <c r="K115" s="36" t="s">
        <v>730</v>
      </c>
      <c r="L115" s="36">
        <v>40</v>
      </c>
      <c r="M115" s="37" t="s">
        <v>39</v>
      </c>
      <c r="N115" s="37" t="s">
        <v>1743</v>
      </c>
      <c r="O115" s="38">
        <v>1</v>
      </c>
      <c r="P115" s="38">
        <v>1</v>
      </c>
      <c r="R115" s="1">
        <f t="shared" si="35"/>
        <v>0</v>
      </c>
      <c r="S115" s="1">
        <f t="shared" si="36"/>
        <v>0</v>
      </c>
      <c r="T115" s="1">
        <f t="shared" si="37"/>
        <v>0</v>
      </c>
      <c r="U115" s="1">
        <f t="shared" si="38"/>
        <v>0</v>
      </c>
      <c r="V115" s="1">
        <f t="shared" si="39"/>
        <v>0</v>
      </c>
      <c r="W115" s="1">
        <f t="shared" si="40"/>
        <v>0</v>
      </c>
      <c r="X115" s="1">
        <f t="shared" si="41"/>
        <v>0</v>
      </c>
      <c r="Y115" s="1">
        <f t="shared" si="42"/>
        <v>0</v>
      </c>
      <c r="Z115" s="1">
        <f t="shared" si="43"/>
        <v>0</v>
      </c>
      <c r="AA115" s="1">
        <f t="shared" si="44"/>
        <v>0</v>
      </c>
      <c r="AC115" s="1">
        <f t="shared" si="45"/>
        <v>1</v>
      </c>
      <c r="AD115" s="1">
        <f t="shared" si="46"/>
        <v>0</v>
      </c>
      <c r="AE115" s="1">
        <f t="shared" si="47"/>
        <v>1</v>
      </c>
      <c r="AF115" s="1">
        <f t="shared" si="48"/>
        <v>0</v>
      </c>
      <c r="AG115" s="1">
        <f t="shared" si="49"/>
        <v>1</v>
      </c>
      <c r="AH115" s="1">
        <f t="shared" si="50"/>
        <v>0</v>
      </c>
    </row>
    <row r="116" spans="1:34" ht="14.25" customHeight="1" x14ac:dyDescent="0.25">
      <c r="A116" s="15">
        <v>0</v>
      </c>
      <c r="B116" s="15">
        <v>1</v>
      </c>
      <c r="C116" s="15">
        <v>3</v>
      </c>
      <c r="D116" s="16" t="s">
        <v>147</v>
      </c>
      <c r="E116" s="16" t="s">
        <v>174</v>
      </c>
      <c r="F116" s="16" t="s">
        <v>352</v>
      </c>
      <c r="G116" s="16" t="s">
        <v>39</v>
      </c>
      <c r="H116" s="16" t="s">
        <v>371</v>
      </c>
      <c r="I116" s="15" t="s">
        <v>498</v>
      </c>
      <c r="J116" s="15">
        <v>18</v>
      </c>
      <c r="K116" s="10" t="s">
        <v>964</v>
      </c>
      <c r="L116" s="10" t="s">
        <v>705</v>
      </c>
      <c r="M116" s="19" t="s">
        <v>978</v>
      </c>
      <c r="N116" s="17"/>
      <c r="R116" s="1">
        <f t="shared" si="35"/>
        <v>0</v>
      </c>
      <c r="S116" s="1">
        <f t="shared" si="36"/>
        <v>0</v>
      </c>
      <c r="T116" s="1">
        <f t="shared" si="37"/>
        <v>0</v>
      </c>
      <c r="U116" s="1">
        <f t="shared" si="38"/>
        <v>0</v>
      </c>
      <c r="V116" s="1">
        <f t="shared" si="39"/>
        <v>0</v>
      </c>
      <c r="W116" s="1">
        <f t="shared" si="40"/>
        <v>0</v>
      </c>
      <c r="X116" s="1">
        <f t="shared" si="41"/>
        <v>0</v>
      </c>
      <c r="Y116" s="1">
        <f t="shared" si="42"/>
        <v>0</v>
      </c>
      <c r="Z116" s="1">
        <f t="shared" si="43"/>
        <v>0</v>
      </c>
      <c r="AA116" s="1">
        <f t="shared" si="44"/>
        <v>0</v>
      </c>
      <c r="AC116" s="1">
        <f t="shared" si="45"/>
        <v>0</v>
      </c>
      <c r="AD116" s="1">
        <f t="shared" si="46"/>
        <v>0</v>
      </c>
      <c r="AE116" s="1">
        <f t="shared" si="47"/>
        <v>0</v>
      </c>
      <c r="AF116" s="1">
        <f t="shared" si="48"/>
        <v>0</v>
      </c>
      <c r="AG116" s="1">
        <f t="shared" si="49"/>
        <v>0</v>
      </c>
      <c r="AH116" s="1">
        <f t="shared" si="50"/>
        <v>1</v>
      </c>
    </row>
    <row r="117" spans="1:34" ht="14.25" customHeight="1" x14ac:dyDescent="0.25">
      <c r="A117" s="47">
        <v>0</v>
      </c>
      <c r="B117" s="47">
        <v>1</v>
      </c>
      <c r="C117" s="47">
        <v>3</v>
      </c>
      <c r="D117" s="48" t="s">
        <v>1008</v>
      </c>
      <c r="E117" s="48" t="s">
        <v>174</v>
      </c>
      <c r="F117" s="68" t="s">
        <v>1883</v>
      </c>
      <c r="G117" s="48" t="s">
        <v>39</v>
      </c>
      <c r="H117" s="48" t="s">
        <v>1009</v>
      </c>
      <c r="I117" s="47" t="s">
        <v>1127</v>
      </c>
      <c r="J117" s="47">
        <v>16</v>
      </c>
      <c r="K117" s="49" t="s">
        <v>730</v>
      </c>
      <c r="L117" s="49" t="s">
        <v>1758</v>
      </c>
      <c r="M117" s="50" t="s">
        <v>1409</v>
      </c>
      <c r="N117" s="50" t="s">
        <v>1818</v>
      </c>
      <c r="O117" s="51"/>
      <c r="P117" s="51"/>
      <c r="R117" s="1">
        <f t="shared" si="35"/>
        <v>0</v>
      </c>
      <c r="S117" s="1">
        <f t="shared" si="36"/>
        <v>0</v>
      </c>
      <c r="T117" s="1">
        <f t="shared" si="37"/>
        <v>0</v>
      </c>
      <c r="U117" s="1">
        <f t="shared" si="38"/>
        <v>0</v>
      </c>
      <c r="V117" s="1">
        <f t="shared" si="39"/>
        <v>0</v>
      </c>
      <c r="W117" s="1">
        <f t="shared" si="40"/>
        <v>0</v>
      </c>
      <c r="X117" s="1">
        <f t="shared" si="41"/>
        <v>0</v>
      </c>
      <c r="Y117" s="1">
        <f t="shared" si="42"/>
        <v>0</v>
      </c>
      <c r="Z117" s="1">
        <f t="shared" si="43"/>
        <v>0</v>
      </c>
      <c r="AA117" s="1">
        <f t="shared" si="44"/>
        <v>0</v>
      </c>
      <c r="AC117" s="1">
        <f t="shared" si="45"/>
        <v>0</v>
      </c>
      <c r="AD117" s="1">
        <f t="shared" si="46"/>
        <v>0</v>
      </c>
      <c r="AE117" s="1">
        <f t="shared" si="47"/>
        <v>0</v>
      </c>
      <c r="AF117" s="1">
        <f t="shared" si="48"/>
        <v>0</v>
      </c>
      <c r="AG117" s="1">
        <f t="shared" si="49"/>
        <v>0</v>
      </c>
      <c r="AH117" s="1">
        <f t="shared" si="50"/>
        <v>1</v>
      </c>
    </row>
    <row r="118" spans="1:34" ht="14.25" customHeight="1" x14ac:dyDescent="0.25">
      <c r="A118" s="15">
        <v>0</v>
      </c>
      <c r="B118" s="15">
        <v>1</v>
      </c>
      <c r="C118" s="15">
        <v>3</v>
      </c>
      <c r="D118" s="16" t="s">
        <v>1138</v>
      </c>
      <c r="E118" s="16" t="s">
        <v>174</v>
      </c>
      <c r="F118" s="16" t="s">
        <v>1359</v>
      </c>
      <c r="G118" s="16" t="s">
        <v>39</v>
      </c>
      <c r="H118" s="16" t="s">
        <v>1140</v>
      </c>
      <c r="I118" s="15" t="s">
        <v>1139</v>
      </c>
      <c r="J118" s="15">
        <v>14</v>
      </c>
      <c r="K118" s="10" t="s">
        <v>966</v>
      </c>
      <c r="L118" s="10" t="s">
        <v>1715</v>
      </c>
      <c r="M118" s="19" t="s">
        <v>1410</v>
      </c>
      <c r="N118" s="17"/>
      <c r="R118" s="1">
        <f t="shared" si="35"/>
        <v>0</v>
      </c>
      <c r="S118" s="1">
        <f t="shared" si="36"/>
        <v>0</v>
      </c>
      <c r="T118" s="1">
        <f t="shared" si="37"/>
        <v>0</v>
      </c>
      <c r="U118" s="1">
        <f t="shared" si="38"/>
        <v>0</v>
      </c>
      <c r="V118" s="1">
        <f t="shared" si="39"/>
        <v>0</v>
      </c>
      <c r="W118" s="1">
        <f t="shared" si="40"/>
        <v>0</v>
      </c>
      <c r="X118" s="1">
        <f t="shared" si="41"/>
        <v>0</v>
      </c>
      <c r="Y118" s="1">
        <f t="shared" si="42"/>
        <v>0</v>
      </c>
      <c r="Z118" s="1">
        <f t="shared" si="43"/>
        <v>0</v>
      </c>
      <c r="AA118" s="1">
        <f t="shared" si="44"/>
        <v>0</v>
      </c>
      <c r="AC118" s="1">
        <f t="shared" si="45"/>
        <v>0</v>
      </c>
      <c r="AD118" s="1">
        <f t="shared" si="46"/>
        <v>0</v>
      </c>
      <c r="AE118" s="1">
        <f t="shared" si="47"/>
        <v>0</v>
      </c>
      <c r="AF118" s="1">
        <f t="shared" si="48"/>
        <v>0</v>
      </c>
      <c r="AG118" s="1">
        <f t="shared" si="49"/>
        <v>0</v>
      </c>
      <c r="AH118" s="1">
        <f t="shared" si="50"/>
        <v>1</v>
      </c>
    </row>
    <row r="119" spans="1:34" ht="14.25" customHeight="1" x14ac:dyDescent="0.25">
      <c r="A119" s="34">
        <v>0</v>
      </c>
      <c r="B119" s="34">
        <v>1</v>
      </c>
      <c r="C119" s="34">
        <v>3</v>
      </c>
      <c r="D119" s="35" t="s">
        <v>1089</v>
      </c>
      <c r="E119" s="35" t="s">
        <v>174</v>
      </c>
      <c r="F119" s="35" t="s">
        <v>1051</v>
      </c>
      <c r="G119" s="35" t="s">
        <v>1115</v>
      </c>
      <c r="H119" s="35" t="s">
        <v>358</v>
      </c>
      <c r="I119" s="34" t="s">
        <v>1052</v>
      </c>
      <c r="J119" s="34">
        <v>1</v>
      </c>
      <c r="K119" s="36" t="s">
        <v>966</v>
      </c>
      <c r="L119" s="36" t="s">
        <v>694</v>
      </c>
      <c r="M119" s="37" t="s">
        <v>979</v>
      </c>
      <c r="N119" s="37" t="s">
        <v>1771</v>
      </c>
      <c r="O119" s="38">
        <v>1</v>
      </c>
      <c r="P119" s="38"/>
      <c r="R119" s="1">
        <f t="shared" si="35"/>
        <v>1</v>
      </c>
      <c r="S119" s="1">
        <f t="shared" si="36"/>
        <v>0</v>
      </c>
      <c r="T119" s="1">
        <f t="shared" si="37"/>
        <v>0</v>
      </c>
      <c r="U119" s="1">
        <f t="shared" si="38"/>
        <v>0</v>
      </c>
      <c r="V119" s="1">
        <f t="shared" si="39"/>
        <v>0</v>
      </c>
      <c r="W119" s="1">
        <f t="shared" si="40"/>
        <v>0</v>
      </c>
      <c r="X119" s="1">
        <f t="shared" si="41"/>
        <v>0</v>
      </c>
      <c r="Y119" s="1">
        <f t="shared" si="42"/>
        <v>0</v>
      </c>
      <c r="Z119" s="1">
        <f t="shared" si="43"/>
        <v>0</v>
      </c>
      <c r="AA119" s="1">
        <f t="shared" si="44"/>
        <v>0</v>
      </c>
      <c r="AC119" s="1">
        <f t="shared" si="45"/>
        <v>0</v>
      </c>
      <c r="AD119" s="1">
        <f t="shared" si="46"/>
        <v>1</v>
      </c>
      <c r="AE119" s="1">
        <f t="shared" si="47"/>
        <v>0</v>
      </c>
      <c r="AF119" s="1">
        <f t="shared" si="48"/>
        <v>1</v>
      </c>
      <c r="AG119" s="1">
        <f t="shared" si="49"/>
        <v>0</v>
      </c>
      <c r="AH119" s="1">
        <f t="shared" si="50"/>
        <v>1</v>
      </c>
    </row>
    <row r="120" spans="1:34" ht="14.25" customHeight="1" x14ac:dyDescent="0.25">
      <c r="A120" s="34">
        <v>0</v>
      </c>
      <c r="B120" s="34">
        <v>1</v>
      </c>
      <c r="C120" s="34">
        <v>3</v>
      </c>
      <c r="D120" s="35" t="s">
        <v>1645</v>
      </c>
      <c r="E120" s="35" t="s">
        <v>1098</v>
      </c>
      <c r="F120" s="35" t="s">
        <v>1646</v>
      </c>
      <c r="G120" s="35" t="s">
        <v>39</v>
      </c>
      <c r="H120" s="35" t="s">
        <v>1647</v>
      </c>
      <c r="I120" s="34" t="s">
        <v>1648</v>
      </c>
      <c r="J120" s="34">
        <v>15</v>
      </c>
      <c r="K120" s="36" t="s">
        <v>966</v>
      </c>
      <c r="L120" s="36" t="s">
        <v>39</v>
      </c>
      <c r="M120" s="37" t="s">
        <v>39</v>
      </c>
      <c r="N120" s="37" t="s">
        <v>1764</v>
      </c>
      <c r="O120" s="38">
        <v>1</v>
      </c>
      <c r="P120" s="38"/>
      <c r="R120" s="1">
        <f t="shared" si="35"/>
        <v>0</v>
      </c>
      <c r="S120" s="1">
        <f t="shared" si="36"/>
        <v>0</v>
      </c>
      <c r="T120" s="1">
        <f t="shared" si="37"/>
        <v>0</v>
      </c>
      <c r="U120" s="1">
        <f t="shared" si="38"/>
        <v>0</v>
      </c>
      <c r="V120" s="1">
        <f t="shared" si="39"/>
        <v>0</v>
      </c>
      <c r="W120" s="1">
        <f t="shared" si="40"/>
        <v>0</v>
      </c>
      <c r="X120" s="1">
        <f t="shared" si="41"/>
        <v>0</v>
      </c>
      <c r="Y120" s="1">
        <f t="shared" si="42"/>
        <v>0</v>
      </c>
      <c r="Z120" s="1">
        <f t="shared" si="43"/>
        <v>0</v>
      </c>
      <c r="AA120" s="1">
        <f t="shared" si="44"/>
        <v>0</v>
      </c>
      <c r="AC120" s="1">
        <f t="shared" si="45"/>
        <v>0</v>
      </c>
      <c r="AD120" s="1">
        <f t="shared" si="46"/>
        <v>1</v>
      </c>
      <c r="AE120" s="1">
        <f t="shared" si="47"/>
        <v>0</v>
      </c>
      <c r="AF120" s="1">
        <f t="shared" si="48"/>
        <v>1</v>
      </c>
      <c r="AG120" s="1">
        <f t="shared" si="49"/>
        <v>0</v>
      </c>
      <c r="AH120" s="1">
        <f t="shared" si="50"/>
        <v>1</v>
      </c>
    </row>
    <row r="121" spans="1:34" ht="14.25" customHeight="1" x14ac:dyDescent="0.25">
      <c r="A121" s="15">
        <v>0</v>
      </c>
      <c r="B121" s="15">
        <v>1</v>
      </c>
      <c r="C121" s="15">
        <v>3</v>
      </c>
      <c r="D121" s="16" t="s">
        <v>619</v>
      </c>
      <c r="E121" s="16" t="s">
        <v>172</v>
      </c>
      <c r="F121" s="16" t="s">
        <v>620</v>
      </c>
      <c r="G121" s="16" t="s">
        <v>39</v>
      </c>
      <c r="H121" s="16" t="s">
        <v>370</v>
      </c>
      <c r="I121" s="15" t="s">
        <v>621</v>
      </c>
      <c r="J121" s="15">
        <v>18</v>
      </c>
      <c r="K121" s="10" t="s">
        <v>730</v>
      </c>
      <c r="L121" s="10" t="s">
        <v>1758</v>
      </c>
      <c r="M121" s="19" t="s">
        <v>39</v>
      </c>
      <c r="N121" s="17"/>
      <c r="R121" s="1">
        <f t="shared" si="35"/>
        <v>0</v>
      </c>
      <c r="S121" s="1">
        <f t="shared" si="36"/>
        <v>0</v>
      </c>
      <c r="T121" s="1">
        <f t="shared" si="37"/>
        <v>0</v>
      </c>
      <c r="U121" s="1">
        <f t="shared" si="38"/>
        <v>0</v>
      </c>
      <c r="V121" s="1">
        <f t="shared" si="39"/>
        <v>0</v>
      </c>
      <c r="W121" s="1">
        <f t="shared" si="40"/>
        <v>0</v>
      </c>
      <c r="X121" s="1">
        <f t="shared" si="41"/>
        <v>0</v>
      </c>
      <c r="Y121" s="1">
        <f t="shared" si="42"/>
        <v>0</v>
      </c>
      <c r="Z121" s="1">
        <f t="shared" si="43"/>
        <v>0</v>
      </c>
      <c r="AA121" s="1">
        <f t="shared" si="44"/>
        <v>0</v>
      </c>
      <c r="AC121" s="1">
        <f t="shared" si="45"/>
        <v>0</v>
      </c>
      <c r="AD121" s="1">
        <f t="shared" si="46"/>
        <v>0</v>
      </c>
      <c r="AE121" s="1">
        <f t="shared" si="47"/>
        <v>0</v>
      </c>
      <c r="AF121" s="1">
        <f t="shared" si="48"/>
        <v>0</v>
      </c>
      <c r="AG121" s="1">
        <f t="shared" si="49"/>
        <v>0</v>
      </c>
      <c r="AH121" s="1">
        <f t="shared" si="50"/>
        <v>1</v>
      </c>
    </row>
    <row r="122" spans="1:34" ht="14.25" customHeight="1" x14ac:dyDescent="0.25">
      <c r="A122" s="41">
        <v>0</v>
      </c>
      <c r="B122" s="41">
        <v>1</v>
      </c>
      <c r="C122" s="41">
        <v>3</v>
      </c>
      <c r="D122" s="42" t="s">
        <v>928</v>
      </c>
      <c r="E122" s="42" t="s">
        <v>174</v>
      </c>
      <c r="F122" s="42" t="s">
        <v>1171</v>
      </c>
      <c r="G122" s="42" t="s">
        <v>39</v>
      </c>
      <c r="H122" s="42" t="s">
        <v>367</v>
      </c>
      <c r="I122" s="41" t="s">
        <v>899</v>
      </c>
      <c r="J122" s="41">
        <v>14</v>
      </c>
      <c r="K122" s="43" t="s">
        <v>965</v>
      </c>
      <c r="L122" s="43" t="s">
        <v>39</v>
      </c>
      <c r="M122" s="44" t="s">
        <v>39</v>
      </c>
      <c r="N122" s="45"/>
      <c r="O122" s="46"/>
      <c r="P122" s="46">
        <v>1</v>
      </c>
      <c r="R122" s="1">
        <f t="shared" si="35"/>
        <v>0</v>
      </c>
      <c r="S122" s="1">
        <f t="shared" si="36"/>
        <v>0</v>
      </c>
      <c r="T122" s="1">
        <f t="shared" si="37"/>
        <v>0</v>
      </c>
      <c r="U122" s="1">
        <f t="shared" si="38"/>
        <v>0</v>
      </c>
      <c r="V122" s="1">
        <f t="shared" si="39"/>
        <v>0</v>
      </c>
      <c r="W122" s="1">
        <f t="shared" si="40"/>
        <v>0</v>
      </c>
      <c r="X122" s="1">
        <f t="shared" si="41"/>
        <v>0</v>
      </c>
      <c r="Y122" s="1">
        <f t="shared" si="42"/>
        <v>0</v>
      </c>
      <c r="Z122" s="1">
        <f t="shared" si="43"/>
        <v>0</v>
      </c>
      <c r="AA122" s="1">
        <f t="shared" si="44"/>
        <v>0</v>
      </c>
      <c r="AC122" s="1">
        <f t="shared" si="45"/>
        <v>0</v>
      </c>
      <c r="AD122" s="1">
        <f t="shared" si="46"/>
        <v>0</v>
      </c>
      <c r="AE122" s="1">
        <f t="shared" si="47"/>
        <v>0</v>
      </c>
      <c r="AF122" s="1">
        <f t="shared" si="48"/>
        <v>0</v>
      </c>
      <c r="AG122" s="1">
        <f t="shared" si="49"/>
        <v>1</v>
      </c>
      <c r="AH122" s="1">
        <f t="shared" si="50"/>
        <v>0</v>
      </c>
    </row>
    <row r="123" spans="1:34" ht="14.25" customHeight="1" x14ac:dyDescent="0.25">
      <c r="A123" s="15">
        <v>0</v>
      </c>
      <c r="B123" s="15">
        <v>1</v>
      </c>
      <c r="C123" s="15">
        <v>3</v>
      </c>
      <c r="D123" s="16" t="s">
        <v>106</v>
      </c>
      <c r="E123" s="16" t="s">
        <v>174</v>
      </c>
      <c r="F123" s="16" t="s">
        <v>939</v>
      </c>
      <c r="G123" s="16" t="s">
        <v>39</v>
      </c>
      <c r="H123" s="16" t="s">
        <v>362</v>
      </c>
      <c r="I123" s="15" t="s">
        <v>457</v>
      </c>
      <c r="J123" s="15">
        <v>18</v>
      </c>
      <c r="K123" s="10" t="s">
        <v>964</v>
      </c>
      <c r="L123" s="10" t="s">
        <v>705</v>
      </c>
      <c r="M123" s="19" t="s">
        <v>699</v>
      </c>
      <c r="N123" s="17"/>
      <c r="R123" s="1">
        <f t="shared" si="35"/>
        <v>0</v>
      </c>
      <c r="S123" s="1">
        <f t="shared" si="36"/>
        <v>0</v>
      </c>
      <c r="T123" s="1">
        <f t="shared" si="37"/>
        <v>0</v>
      </c>
      <c r="U123" s="1">
        <f t="shared" si="38"/>
        <v>0</v>
      </c>
      <c r="V123" s="1">
        <f t="shared" si="39"/>
        <v>0</v>
      </c>
      <c r="W123" s="1">
        <f t="shared" si="40"/>
        <v>0</v>
      </c>
      <c r="X123" s="1">
        <f t="shared" si="41"/>
        <v>0</v>
      </c>
      <c r="Y123" s="1">
        <f t="shared" si="42"/>
        <v>0</v>
      </c>
      <c r="Z123" s="1">
        <f t="shared" si="43"/>
        <v>0</v>
      </c>
      <c r="AA123" s="1">
        <f t="shared" si="44"/>
        <v>0</v>
      </c>
      <c r="AC123" s="1">
        <f t="shared" si="45"/>
        <v>0</v>
      </c>
      <c r="AD123" s="1">
        <f t="shared" si="46"/>
        <v>0</v>
      </c>
      <c r="AE123" s="1">
        <f t="shared" si="47"/>
        <v>0</v>
      </c>
      <c r="AF123" s="1">
        <f t="shared" si="48"/>
        <v>0</v>
      </c>
      <c r="AG123" s="1">
        <f t="shared" si="49"/>
        <v>0</v>
      </c>
      <c r="AH123" s="1">
        <f t="shared" si="50"/>
        <v>1</v>
      </c>
    </row>
    <row r="124" spans="1:34" ht="14.25" customHeight="1" x14ac:dyDescent="0.25">
      <c r="A124" s="41">
        <v>0</v>
      </c>
      <c r="B124" s="41">
        <v>1</v>
      </c>
      <c r="C124" s="41">
        <v>3</v>
      </c>
      <c r="D124" s="42" t="s">
        <v>1524</v>
      </c>
      <c r="E124" s="42" t="s">
        <v>1668</v>
      </c>
      <c r="F124" s="42" t="s">
        <v>1526</v>
      </c>
      <c r="G124" s="42" t="s">
        <v>39</v>
      </c>
      <c r="H124" s="42" t="s">
        <v>1527</v>
      </c>
      <c r="I124" s="41" t="s">
        <v>1525</v>
      </c>
      <c r="J124" s="41">
        <v>14</v>
      </c>
      <c r="K124" s="43" t="s">
        <v>970</v>
      </c>
      <c r="L124" s="43" t="s">
        <v>694</v>
      </c>
      <c r="M124" s="44" t="s">
        <v>1411</v>
      </c>
      <c r="N124" s="45"/>
      <c r="O124" s="46"/>
      <c r="P124" s="46">
        <v>1</v>
      </c>
      <c r="R124" s="1">
        <f t="shared" si="35"/>
        <v>0</v>
      </c>
      <c r="S124" s="1">
        <f t="shared" si="36"/>
        <v>0</v>
      </c>
      <c r="T124" s="1">
        <f t="shared" si="37"/>
        <v>0</v>
      </c>
      <c r="U124" s="1">
        <f t="shared" si="38"/>
        <v>0</v>
      </c>
      <c r="V124" s="1">
        <f t="shared" si="39"/>
        <v>0</v>
      </c>
      <c r="W124" s="1">
        <f t="shared" si="40"/>
        <v>0</v>
      </c>
      <c r="X124" s="1">
        <f t="shared" si="41"/>
        <v>0</v>
      </c>
      <c r="Y124" s="1">
        <f t="shared" si="42"/>
        <v>0</v>
      </c>
      <c r="Z124" s="1">
        <f t="shared" si="43"/>
        <v>0</v>
      </c>
      <c r="AA124" s="1">
        <f t="shared" si="44"/>
        <v>0</v>
      </c>
      <c r="AC124" s="1">
        <f t="shared" si="45"/>
        <v>0</v>
      </c>
      <c r="AD124" s="1">
        <f t="shared" si="46"/>
        <v>0</v>
      </c>
      <c r="AE124" s="1">
        <f t="shared" si="47"/>
        <v>0</v>
      </c>
      <c r="AF124" s="1">
        <f t="shared" si="48"/>
        <v>0</v>
      </c>
      <c r="AG124" s="1">
        <f t="shared" si="49"/>
        <v>1</v>
      </c>
      <c r="AH124" s="1">
        <f t="shared" si="50"/>
        <v>0</v>
      </c>
    </row>
    <row r="125" spans="1:34" ht="14.25" customHeight="1" x14ac:dyDescent="0.25">
      <c r="A125" s="47">
        <v>0</v>
      </c>
      <c r="B125" s="47">
        <v>1</v>
      </c>
      <c r="C125" s="47">
        <v>3</v>
      </c>
      <c r="D125" s="48" t="s">
        <v>1271</v>
      </c>
      <c r="E125" s="48" t="s">
        <v>174</v>
      </c>
      <c r="F125" s="48" t="s">
        <v>1272</v>
      </c>
      <c r="G125" s="48" t="s">
        <v>1274</v>
      </c>
      <c r="H125" s="48" t="s">
        <v>358</v>
      </c>
      <c r="I125" s="47" t="s">
        <v>1273</v>
      </c>
      <c r="J125" s="47">
        <v>99</v>
      </c>
      <c r="K125" s="49" t="s">
        <v>966</v>
      </c>
      <c r="L125" s="49" t="s">
        <v>701</v>
      </c>
      <c r="M125" s="50" t="s">
        <v>979</v>
      </c>
      <c r="N125" s="50" t="s">
        <v>1818</v>
      </c>
      <c r="O125" s="51"/>
      <c r="P125" s="51"/>
      <c r="R125" s="1">
        <f t="shared" si="35"/>
        <v>0</v>
      </c>
      <c r="S125" s="1">
        <f t="shared" si="36"/>
        <v>0</v>
      </c>
      <c r="T125" s="1">
        <f t="shared" si="37"/>
        <v>0</v>
      </c>
      <c r="U125" s="1">
        <f t="shared" si="38"/>
        <v>0</v>
      </c>
      <c r="V125" s="1">
        <f t="shared" si="39"/>
        <v>0</v>
      </c>
      <c r="W125" s="1">
        <f t="shared" si="40"/>
        <v>0</v>
      </c>
      <c r="X125" s="1">
        <f t="shared" si="41"/>
        <v>0</v>
      </c>
      <c r="Y125" s="1">
        <f t="shared" si="42"/>
        <v>0</v>
      </c>
      <c r="Z125" s="1">
        <f t="shared" si="43"/>
        <v>0</v>
      </c>
      <c r="AA125" s="1">
        <f t="shared" si="44"/>
        <v>0</v>
      </c>
      <c r="AC125" s="1">
        <f t="shared" si="45"/>
        <v>0</v>
      </c>
      <c r="AD125" s="1">
        <f t="shared" si="46"/>
        <v>0</v>
      </c>
      <c r="AE125" s="1">
        <f t="shared" si="47"/>
        <v>0</v>
      </c>
      <c r="AF125" s="1">
        <f t="shared" si="48"/>
        <v>0</v>
      </c>
      <c r="AG125" s="1">
        <f t="shared" si="49"/>
        <v>0</v>
      </c>
      <c r="AH125" s="1">
        <f t="shared" si="50"/>
        <v>1</v>
      </c>
    </row>
    <row r="126" spans="1:34" ht="14.25" customHeight="1" x14ac:dyDescent="0.25">
      <c r="A126" s="15">
        <v>0</v>
      </c>
      <c r="B126" s="15">
        <v>1</v>
      </c>
      <c r="C126" s="15">
        <v>3</v>
      </c>
      <c r="D126" s="16" t="s">
        <v>1518</v>
      </c>
      <c r="E126" s="16" t="s">
        <v>174</v>
      </c>
      <c r="F126" s="16" t="s">
        <v>1519</v>
      </c>
      <c r="G126" s="16" t="s">
        <v>39</v>
      </c>
      <c r="H126" s="16" t="s">
        <v>369</v>
      </c>
      <c r="I126" s="15" t="s">
        <v>1520</v>
      </c>
      <c r="J126" s="15">
        <v>18</v>
      </c>
      <c r="K126" s="10" t="s">
        <v>964</v>
      </c>
      <c r="L126" s="10" t="s">
        <v>1758</v>
      </c>
      <c r="M126" s="19" t="s">
        <v>39</v>
      </c>
      <c r="N126" s="17"/>
      <c r="R126" s="1">
        <f t="shared" si="35"/>
        <v>0</v>
      </c>
      <c r="S126" s="1">
        <f t="shared" si="36"/>
        <v>0</v>
      </c>
      <c r="T126" s="1">
        <f t="shared" si="37"/>
        <v>0</v>
      </c>
      <c r="U126" s="1">
        <f t="shared" si="38"/>
        <v>0</v>
      </c>
      <c r="V126" s="1">
        <f t="shared" si="39"/>
        <v>0</v>
      </c>
      <c r="W126" s="1">
        <f t="shared" si="40"/>
        <v>0</v>
      </c>
      <c r="X126" s="1">
        <f t="shared" si="41"/>
        <v>0</v>
      </c>
      <c r="Y126" s="1">
        <f t="shared" si="42"/>
        <v>0</v>
      </c>
      <c r="Z126" s="1">
        <f t="shared" si="43"/>
        <v>0</v>
      </c>
      <c r="AA126" s="1">
        <f t="shared" si="44"/>
        <v>0</v>
      </c>
      <c r="AC126" s="1">
        <f t="shared" si="45"/>
        <v>0</v>
      </c>
      <c r="AD126" s="1">
        <f t="shared" si="46"/>
        <v>0</v>
      </c>
      <c r="AE126" s="1">
        <f t="shared" si="47"/>
        <v>0</v>
      </c>
      <c r="AF126" s="1">
        <f t="shared" si="48"/>
        <v>0</v>
      </c>
      <c r="AG126" s="1">
        <f t="shared" si="49"/>
        <v>0</v>
      </c>
      <c r="AH126" s="1">
        <f t="shared" si="50"/>
        <v>1</v>
      </c>
    </row>
    <row r="127" spans="1:34" ht="14.25" customHeight="1" x14ac:dyDescent="0.25">
      <c r="A127" s="15">
        <v>0</v>
      </c>
      <c r="B127" s="15">
        <v>1</v>
      </c>
      <c r="C127" s="15">
        <v>3</v>
      </c>
      <c r="D127" s="16" t="s">
        <v>1639</v>
      </c>
      <c r="E127" s="16" t="s">
        <v>174</v>
      </c>
      <c r="F127" s="16" t="s">
        <v>1642</v>
      </c>
      <c r="G127" s="16" t="s">
        <v>39</v>
      </c>
      <c r="H127" s="16" t="s">
        <v>1640</v>
      </c>
      <c r="I127" s="15" t="s">
        <v>1641</v>
      </c>
      <c r="J127" s="15">
        <v>15</v>
      </c>
      <c r="K127" s="10" t="s">
        <v>730</v>
      </c>
      <c r="L127" s="10" t="s">
        <v>39</v>
      </c>
      <c r="M127" s="19" t="s">
        <v>39</v>
      </c>
      <c r="N127" s="17"/>
      <c r="R127" s="1">
        <f t="shared" si="35"/>
        <v>0</v>
      </c>
      <c r="S127" s="1">
        <f t="shared" si="36"/>
        <v>0</v>
      </c>
      <c r="T127" s="1">
        <f t="shared" si="37"/>
        <v>0</v>
      </c>
      <c r="U127" s="1">
        <f t="shared" si="38"/>
        <v>0</v>
      </c>
      <c r="V127" s="1">
        <f t="shared" si="39"/>
        <v>0</v>
      </c>
      <c r="W127" s="1">
        <f t="shared" si="40"/>
        <v>0</v>
      </c>
      <c r="X127" s="1">
        <f t="shared" si="41"/>
        <v>0</v>
      </c>
      <c r="Y127" s="1">
        <f t="shared" si="42"/>
        <v>0</v>
      </c>
      <c r="Z127" s="1">
        <f t="shared" si="43"/>
        <v>0</v>
      </c>
      <c r="AA127" s="1">
        <f t="shared" si="44"/>
        <v>0</v>
      </c>
      <c r="AC127" s="1">
        <f t="shared" si="45"/>
        <v>0</v>
      </c>
      <c r="AD127" s="1">
        <f t="shared" si="46"/>
        <v>0</v>
      </c>
      <c r="AE127" s="1">
        <f t="shared" si="47"/>
        <v>0</v>
      </c>
      <c r="AF127" s="1">
        <f t="shared" si="48"/>
        <v>0</v>
      </c>
      <c r="AG127" s="1">
        <f t="shared" si="49"/>
        <v>0</v>
      </c>
      <c r="AH127" s="1">
        <f t="shared" si="50"/>
        <v>1</v>
      </c>
    </row>
    <row r="128" spans="1:34" ht="14.25" customHeight="1" x14ac:dyDescent="0.25">
      <c r="A128" s="15">
        <v>0</v>
      </c>
      <c r="B128" s="15">
        <v>1</v>
      </c>
      <c r="C128" s="15">
        <v>3</v>
      </c>
      <c r="D128" s="16" t="s">
        <v>1259</v>
      </c>
      <c r="E128" s="16" t="s">
        <v>1261</v>
      </c>
      <c r="F128" s="16" t="s">
        <v>1262</v>
      </c>
      <c r="G128" s="16" t="s">
        <v>39</v>
      </c>
      <c r="H128" s="16" t="s">
        <v>373</v>
      </c>
      <c r="I128" s="15" t="s">
        <v>1260</v>
      </c>
      <c r="J128" s="15">
        <v>14</v>
      </c>
      <c r="K128" s="10" t="s">
        <v>966</v>
      </c>
      <c r="L128" s="10" t="s">
        <v>694</v>
      </c>
      <c r="M128" s="19" t="s">
        <v>1411</v>
      </c>
      <c r="N128" s="17"/>
      <c r="R128" s="1">
        <f t="shared" si="35"/>
        <v>0</v>
      </c>
      <c r="S128" s="1">
        <f t="shared" si="36"/>
        <v>0</v>
      </c>
      <c r="T128" s="1">
        <f t="shared" si="37"/>
        <v>0</v>
      </c>
      <c r="U128" s="1">
        <f t="shared" si="38"/>
        <v>0</v>
      </c>
      <c r="V128" s="1">
        <f t="shared" si="39"/>
        <v>0</v>
      </c>
      <c r="W128" s="1">
        <f t="shared" si="40"/>
        <v>0</v>
      </c>
      <c r="X128" s="1">
        <f t="shared" si="41"/>
        <v>0</v>
      </c>
      <c r="Y128" s="1">
        <f t="shared" si="42"/>
        <v>0</v>
      </c>
      <c r="Z128" s="1">
        <f t="shared" si="43"/>
        <v>0</v>
      </c>
      <c r="AA128" s="1">
        <f t="shared" si="44"/>
        <v>0</v>
      </c>
      <c r="AC128" s="1">
        <f t="shared" si="45"/>
        <v>0</v>
      </c>
      <c r="AD128" s="1">
        <f t="shared" si="46"/>
        <v>0</v>
      </c>
      <c r="AE128" s="1">
        <f t="shared" si="47"/>
        <v>0</v>
      </c>
      <c r="AF128" s="1">
        <f t="shared" si="48"/>
        <v>0</v>
      </c>
      <c r="AG128" s="1">
        <f t="shared" si="49"/>
        <v>0</v>
      </c>
      <c r="AH128" s="1">
        <f t="shared" si="50"/>
        <v>1</v>
      </c>
    </row>
    <row r="129" spans="1:34" ht="14.25" customHeight="1" x14ac:dyDescent="0.25">
      <c r="A129" s="34">
        <v>0</v>
      </c>
      <c r="B129" s="34">
        <v>1</v>
      </c>
      <c r="C129" s="34">
        <v>3</v>
      </c>
      <c r="D129" s="35" t="s">
        <v>131</v>
      </c>
      <c r="E129" s="35" t="s">
        <v>178</v>
      </c>
      <c r="F129" s="35" t="s">
        <v>334</v>
      </c>
      <c r="G129" s="35" t="s">
        <v>184</v>
      </c>
      <c r="H129" s="35" t="s">
        <v>358</v>
      </c>
      <c r="I129" s="34" t="s">
        <v>484</v>
      </c>
      <c r="J129" s="34">
        <v>99</v>
      </c>
      <c r="K129" s="36" t="s">
        <v>965</v>
      </c>
      <c r="L129" s="36" t="s">
        <v>39</v>
      </c>
      <c r="M129" s="37" t="s">
        <v>39</v>
      </c>
      <c r="N129" s="37" t="s">
        <v>1749</v>
      </c>
      <c r="O129" s="38">
        <v>1</v>
      </c>
      <c r="P129" s="38">
        <v>1</v>
      </c>
      <c r="R129" s="1">
        <f t="shared" si="35"/>
        <v>0</v>
      </c>
      <c r="S129" s="1">
        <f t="shared" si="36"/>
        <v>0</v>
      </c>
      <c r="T129" s="1">
        <f t="shared" si="37"/>
        <v>0</v>
      </c>
      <c r="U129" s="1">
        <f t="shared" si="38"/>
        <v>0</v>
      </c>
      <c r="V129" s="1">
        <f t="shared" si="39"/>
        <v>0</v>
      </c>
      <c r="W129" s="1">
        <f t="shared" si="40"/>
        <v>0</v>
      </c>
      <c r="X129" s="1">
        <f t="shared" si="41"/>
        <v>0</v>
      </c>
      <c r="Y129" s="1">
        <f t="shared" si="42"/>
        <v>0</v>
      </c>
      <c r="Z129" s="1">
        <f t="shared" si="43"/>
        <v>0</v>
      </c>
      <c r="AA129" s="1">
        <f t="shared" si="44"/>
        <v>0</v>
      </c>
      <c r="AC129" s="1">
        <f t="shared" si="45"/>
        <v>1</v>
      </c>
      <c r="AD129" s="1">
        <f t="shared" si="46"/>
        <v>0</v>
      </c>
      <c r="AE129" s="1">
        <f t="shared" si="47"/>
        <v>1</v>
      </c>
      <c r="AF129" s="1">
        <f t="shared" si="48"/>
        <v>0</v>
      </c>
      <c r="AG129" s="1">
        <f t="shared" si="49"/>
        <v>1</v>
      </c>
      <c r="AH129" s="1">
        <f t="shared" si="50"/>
        <v>0</v>
      </c>
    </row>
    <row r="130" spans="1:34" ht="14.25" customHeight="1" x14ac:dyDescent="0.25">
      <c r="A130" s="34">
        <v>0</v>
      </c>
      <c r="B130" s="34">
        <v>1</v>
      </c>
      <c r="C130" s="34">
        <v>3</v>
      </c>
      <c r="D130" s="35" t="s">
        <v>929</v>
      </c>
      <c r="E130" s="35" t="s">
        <v>174</v>
      </c>
      <c r="F130" s="35" t="s">
        <v>941</v>
      </c>
      <c r="G130" s="35" t="s">
        <v>237</v>
      </c>
      <c r="H130" s="35" t="s">
        <v>358</v>
      </c>
      <c r="I130" s="34" t="s">
        <v>955</v>
      </c>
      <c r="J130" s="34">
        <v>99</v>
      </c>
      <c r="K130" s="36" t="s">
        <v>730</v>
      </c>
      <c r="L130" s="36">
        <v>45</v>
      </c>
      <c r="M130" s="37" t="s">
        <v>39</v>
      </c>
      <c r="N130" s="37" t="s">
        <v>1817</v>
      </c>
      <c r="O130" s="38">
        <v>1</v>
      </c>
      <c r="P130" s="38"/>
      <c r="R130" s="1">
        <f t="shared" si="35"/>
        <v>0</v>
      </c>
      <c r="S130" s="1">
        <f t="shared" si="36"/>
        <v>0</v>
      </c>
      <c r="T130" s="1">
        <f t="shared" si="37"/>
        <v>0</v>
      </c>
      <c r="U130" s="1">
        <f t="shared" si="38"/>
        <v>0</v>
      </c>
      <c r="V130" s="1">
        <f t="shared" si="39"/>
        <v>0</v>
      </c>
      <c r="W130" s="1">
        <f t="shared" si="40"/>
        <v>0</v>
      </c>
      <c r="X130" s="1">
        <f t="shared" si="41"/>
        <v>0</v>
      </c>
      <c r="Y130" s="1">
        <f t="shared" si="42"/>
        <v>0</v>
      </c>
      <c r="Z130" s="1">
        <f t="shared" si="43"/>
        <v>0</v>
      </c>
      <c r="AA130" s="1">
        <f t="shared" si="44"/>
        <v>0</v>
      </c>
      <c r="AC130" s="1">
        <f t="shared" si="45"/>
        <v>0</v>
      </c>
      <c r="AD130" s="1">
        <f t="shared" si="46"/>
        <v>1</v>
      </c>
      <c r="AE130" s="1">
        <f t="shared" si="47"/>
        <v>0</v>
      </c>
      <c r="AF130" s="1">
        <f t="shared" si="48"/>
        <v>1</v>
      </c>
      <c r="AG130" s="1">
        <f t="shared" si="49"/>
        <v>0</v>
      </c>
      <c r="AH130" s="1">
        <f t="shared" si="50"/>
        <v>1</v>
      </c>
    </row>
    <row r="131" spans="1:34" ht="14.25" customHeight="1" x14ac:dyDescent="0.25">
      <c r="A131" s="47">
        <v>0</v>
      </c>
      <c r="B131" s="47">
        <v>1</v>
      </c>
      <c r="C131" s="47">
        <v>3</v>
      </c>
      <c r="D131" s="48" t="s">
        <v>79</v>
      </c>
      <c r="E131" s="48" t="s">
        <v>616</v>
      </c>
      <c r="F131" s="48" t="s">
        <v>311</v>
      </c>
      <c r="G131" s="48" t="s">
        <v>39</v>
      </c>
      <c r="H131" s="48" t="s">
        <v>366</v>
      </c>
      <c r="I131" s="47" t="s">
        <v>462</v>
      </c>
      <c r="J131" s="47">
        <v>12</v>
      </c>
      <c r="K131" s="49" t="s">
        <v>711</v>
      </c>
      <c r="L131" s="49">
        <v>40</v>
      </c>
      <c r="M131" s="50" t="s">
        <v>979</v>
      </c>
      <c r="N131" s="50" t="s">
        <v>1818</v>
      </c>
      <c r="O131" s="51"/>
      <c r="P131" s="51"/>
      <c r="R131" s="1">
        <f t="shared" si="35"/>
        <v>0</v>
      </c>
      <c r="S131" s="1">
        <f t="shared" si="36"/>
        <v>0</v>
      </c>
      <c r="T131" s="1">
        <f t="shared" si="37"/>
        <v>0</v>
      </c>
      <c r="U131" s="1">
        <f t="shared" si="38"/>
        <v>0</v>
      </c>
      <c r="V131" s="1">
        <f t="shared" si="39"/>
        <v>0</v>
      </c>
      <c r="W131" s="1">
        <f t="shared" si="40"/>
        <v>0</v>
      </c>
      <c r="X131" s="1">
        <f t="shared" si="41"/>
        <v>0</v>
      </c>
      <c r="Y131" s="1">
        <f t="shared" si="42"/>
        <v>0</v>
      </c>
      <c r="Z131" s="1">
        <f t="shared" si="43"/>
        <v>0</v>
      </c>
      <c r="AA131" s="1">
        <f t="shared" si="44"/>
        <v>0</v>
      </c>
      <c r="AC131" s="1">
        <f t="shared" si="45"/>
        <v>0</v>
      </c>
      <c r="AD131" s="1">
        <f t="shared" si="46"/>
        <v>0</v>
      </c>
      <c r="AE131" s="1">
        <f t="shared" si="47"/>
        <v>0</v>
      </c>
      <c r="AF131" s="1">
        <f t="shared" si="48"/>
        <v>0</v>
      </c>
      <c r="AG131" s="1">
        <f t="shared" si="49"/>
        <v>0</v>
      </c>
      <c r="AH131" s="1">
        <f t="shared" si="50"/>
        <v>1</v>
      </c>
    </row>
    <row r="132" spans="1:34" ht="14.25" customHeight="1" x14ac:dyDescent="0.25">
      <c r="A132" s="15">
        <v>0</v>
      </c>
      <c r="B132" s="15">
        <v>1</v>
      </c>
      <c r="C132" s="15">
        <v>3</v>
      </c>
      <c r="D132" s="16" t="s">
        <v>1598</v>
      </c>
      <c r="E132" s="16" t="s">
        <v>172</v>
      </c>
      <c r="F132" s="16" t="s">
        <v>1600</v>
      </c>
      <c r="G132" s="16"/>
      <c r="H132" s="16" t="s">
        <v>369</v>
      </c>
      <c r="I132" s="15" t="s">
        <v>1599</v>
      </c>
      <c r="J132" s="15">
        <v>18</v>
      </c>
      <c r="K132" s="10" t="s">
        <v>711</v>
      </c>
      <c r="L132" s="10" t="s">
        <v>695</v>
      </c>
      <c r="M132" s="19" t="s">
        <v>979</v>
      </c>
      <c r="N132" s="17"/>
      <c r="R132" s="1">
        <f t="shared" si="35"/>
        <v>0</v>
      </c>
      <c r="S132" s="1">
        <f t="shared" si="36"/>
        <v>0</v>
      </c>
      <c r="T132" s="1">
        <f t="shared" si="37"/>
        <v>0</v>
      </c>
      <c r="U132" s="1">
        <f t="shared" si="38"/>
        <v>0</v>
      </c>
      <c r="V132" s="1">
        <f t="shared" si="39"/>
        <v>0</v>
      </c>
      <c r="W132" s="1">
        <f t="shared" si="40"/>
        <v>0</v>
      </c>
      <c r="X132" s="1">
        <f t="shared" si="41"/>
        <v>0</v>
      </c>
      <c r="Y132" s="1">
        <f t="shared" si="42"/>
        <v>0</v>
      </c>
      <c r="Z132" s="1">
        <f t="shared" si="43"/>
        <v>0</v>
      </c>
      <c r="AA132" s="1">
        <f t="shared" si="44"/>
        <v>0</v>
      </c>
      <c r="AC132" s="1">
        <f t="shared" si="45"/>
        <v>0</v>
      </c>
      <c r="AD132" s="1">
        <f t="shared" si="46"/>
        <v>0</v>
      </c>
      <c r="AE132" s="1">
        <f t="shared" si="47"/>
        <v>0</v>
      </c>
      <c r="AF132" s="1">
        <f t="shared" si="48"/>
        <v>0</v>
      </c>
      <c r="AG132" s="1">
        <f t="shared" si="49"/>
        <v>0</v>
      </c>
      <c r="AH132" s="1">
        <f t="shared" si="50"/>
        <v>1</v>
      </c>
    </row>
    <row r="133" spans="1:34" ht="14.25" customHeight="1" x14ac:dyDescent="0.25">
      <c r="A133" s="34">
        <v>0</v>
      </c>
      <c r="B133" s="34">
        <v>1</v>
      </c>
      <c r="C133" s="34">
        <v>3</v>
      </c>
      <c r="D133" s="35" t="s">
        <v>1302</v>
      </c>
      <c r="E133" s="35" t="s">
        <v>174</v>
      </c>
      <c r="F133" s="35" t="s">
        <v>1303</v>
      </c>
      <c r="G133" s="35" t="s">
        <v>240</v>
      </c>
      <c r="H133" s="35" t="s">
        <v>358</v>
      </c>
      <c r="I133" s="34" t="s">
        <v>1304</v>
      </c>
      <c r="J133" s="34">
        <v>4</v>
      </c>
      <c r="K133" s="36" t="s">
        <v>965</v>
      </c>
      <c r="L133" s="36" t="s">
        <v>39</v>
      </c>
      <c r="M133" s="37" t="s">
        <v>39</v>
      </c>
      <c r="N133" s="37" t="s">
        <v>1743</v>
      </c>
      <c r="O133" s="38">
        <v>1</v>
      </c>
      <c r="P133" s="38">
        <v>1</v>
      </c>
      <c r="R133" s="1">
        <f t="shared" si="35"/>
        <v>0</v>
      </c>
      <c r="S133" s="1">
        <f t="shared" si="36"/>
        <v>0</v>
      </c>
      <c r="T133" s="1">
        <f t="shared" si="37"/>
        <v>0</v>
      </c>
      <c r="U133" s="1">
        <f t="shared" si="38"/>
        <v>1</v>
      </c>
      <c r="V133" s="1">
        <f t="shared" si="39"/>
        <v>0</v>
      </c>
      <c r="W133" s="1">
        <f t="shared" si="40"/>
        <v>0</v>
      </c>
      <c r="X133" s="1">
        <f t="shared" si="41"/>
        <v>0</v>
      </c>
      <c r="Y133" s="1">
        <f t="shared" si="42"/>
        <v>0</v>
      </c>
      <c r="Z133" s="1">
        <f t="shared" si="43"/>
        <v>0</v>
      </c>
      <c r="AA133" s="1">
        <f t="shared" si="44"/>
        <v>0</v>
      </c>
      <c r="AC133" s="1">
        <f t="shared" si="45"/>
        <v>1</v>
      </c>
      <c r="AD133" s="1">
        <f t="shared" si="46"/>
        <v>0</v>
      </c>
      <c r="AE133" s="1">
        <f t="shared" si="47"/>
        <v>1</v>
      </c>
      <c r="AF133" s="1">
        <f t="shared" si="48"/>
        <v>0</v>
      </c>
      <c r="AG133" s="1">
        <f t="shared" si="49"/>
        <v>1</v>
      </c>
      <c r="AH133" s="1">
        <f t="shared" si="50"/>
        <v>0</v>
      </c>
    </row>
    <row r="134" spans="1:34" ht="14.25" customHeight="1" x14ac:dyDescent="0.25">
      <c r="A134" s="34">
        <v>0</v>
      </c>
      <c r="B134" s="34">
        <v>1</v>
      </c>
      <c r="C134" s="34">
        <v>3</v>
      </c>
      <c r="D134" s="35" t="s">
        <v>654</v>
      </c>
      <c r="E134" s="35" t="s">
        <v>174</v>
      </c>
      <c r="F134" s="35" t="s">
        <v>664</v>
      </c>
      <c r="G134" s="35" t="s">
        <v>234</v>
      </c>
      <c r="H134" s="35" t="s">
        <v>358</v>
      </c>
      <c r="I134" s="34" t="s">
        <v>618</v>
      </c>
      <c r="J134" s="34">
        <v>99</v>
      </c>
      <c r="K134" s="36" t="s">
        <v>710</v>
      </c>
      <c r="L134" s="36" t="s">
        <v>39</v>
      </c>
      <c r="M134" s="37" t="s">
        <v>39</v>
      </c>
      <c r="N134" s="37" t="s">
        <v>1749</v>
      </c>
      <c r="O134" s="38">
        <v>1</v>
      </c>
      <c r="P134" s="38">
        <v>1</v>
      </c>
      <c r="R134" s="1">
        <f t="shared" si="35"/>
        <v>0</v>
      </c>
      <c r="S134" s="1">
        <f t="shared" si="36"/>
        <v>0</v>
      </c>
      <c r="T134" s="1">
        <f t="shared" si="37"/>
        <v>0</v>
      </c>
      <c r="U134" s="1">
        <f t="shared" si="38"/>
        <v>0</v>
      </c>
      <c r="V134" s="1">
        <f t="shared" si="39"/>
        <v>0</v>
      </c>
      <c r="W134" s="1">
        <f t="shared" si="40"/>
        <v>0</v>
      </c>
      <c r="X134" s="1">
        <f t="shared" si="41"/>
        <v>0</v>
      </c>
      <c r="Y134" s="1">
        <f t="shared" si="42"/>
        <v>0</v>
      </c>
      <c r="Z134" s="1">
        <f t="shared" si="43"/>
        <v>0</v>
      </c>
      <c r="AA134" s="1">
        <f t="shared" si="44"/>
        <v>0</v>
      </c>
      <c r="AC134" s="1">
        <f t="shared" si="45"/>
        <v>1</v>
      </c>
      <c r="AD134" s="1">
        <f t="shared" si="46"/>
        <v>0</v>
      </c>
      <c r="AE134" s="1">
        <f t="shared" si="47"/>
        <v>1</v>
      </c>
      <c r="AF134" s="1">
        <f t="shared" si="48"/>
        <v>0</v>
      </c>
      <c r="AG134" s="1">
        <f t="shared" si="49"/>
        <v>1</v>
      </c>
      <c r="AH134" s="1">
        <f t="shared" si="50"/>
        <v>0</v>
      </c>
    </row>
    <row r="135" spans="1:34" ht="14.25" customHeight="1" x14ac:dyDescent="0.25">
      <c r="A135" s="41">
        <v>0</v>
      </c>
      <c r="B135" s="41">
        <v>1</v>
      </c>
      <c r="C135" s="41">
        <v>3</v>
      </c>
      <c r="D135" s="42" t="s">
        <v>881</v>
      </c>
      <c r="E135" s="42" t="s">
        <v>882</v>
      </c>
      <c r="F135" s="42" t="s">
        <v>883</v>
      </c>
      <c r="G135" s="42" t="s">
        <v>39</v>
      </c>
      <c r="H135" s="42" t="s">
        <v>370</v>
      </c>
      <c r="I135" s="41" t="s">
        <v>884</v>
      </c>
      <c r="J135" s="41">
        <v>18</v>
      </c>
      <c r="K135" s="43" t="s">
        <v>964</v>
      </c>
      <c r="L135" s="43" t="s">
        <v>39</v>
      </c>
      <c r="M135" s="44" t="s">
        <v>39</v>
      </c>
      <c r="N135" s="45"/>
      <c r="O135" s="46"/>
      <c r="P135" s="46">
        <v>1</v>
      </c>
      <c r="R135" s="1">
        <f t="shared" si="35"/>
        <v>0</v>
      </c>
      <c r="S135" s="1">
        <f t="shared" si="36"/>
        <v>0</v>
      </c>
      <c r="T135" s="1">
        <f t="shared" si="37"/>
        <v>0</v>
      </c>
      <c r="U135" s="1">
        <f t="shared" si="38"/>
        <v>0</v>
      </c>
      <c r="V135" s="1">
        <f t="shared" si="39"/>
        <v>0</v>
      </c>
      <c r="W135" s="1">
        <f t="shared" si="40"/>
        <v>0</v>
      </c>
      <c r="X135" s="1">
        <f t="shared" si="41"/>
        <v>0</v>
      </c>
      <c r="Y135" s="1">
        <f t="shared" si="42"/>
        <v>0</v>
      </c>
      <c r="Z135" s="1">
        <f t="shared" si="43"/>
        <v>0</v>
      </c>
      <c r="AA135" s="1">
        <f t="shared" si="44"/>
        <v>0</v>
      </c>
      <c r="AC135" s="1">
        <f t="shared" si="45"/>
        <v>0</v>
      </c>
      <c r="AD135" s="1">
        <f t="shared" si="46"/>
        <v>0</v>
      </c>
      <c r="AE135" s="1">
        <f t="shared" si="47"/>
        <v>0</v>
      </c>
      <c r="AF135" s="1">
        <f t="shared" si="48"/>
        <v>0</v>
      </c>
      <c r="AG135" s="1">
        <f t="shared" si="49"/>
        <v>1</v>
      </c>
      <c r="AH135" s="1">
        <f t="shared" si="50"/>
        <v>0</v>
      </c>
    </row>
    <row r="136" spans="1:34" ht="14.25" customHeight="1" x14ac:dyDescent="0.25">
      <c r="A136" s="34">
        <v>0</v>
      </c>
      <c r="B136" s="34">
        <v>1</v>
      </c>
      <c r="C136" s="34">
        <v>3</v>
      </c>
      <c r="D136" s="35" t="s">
        <v>1322</v>
      </c>
      <c r="E136" s="35" t="s">
        <v>174</v>
      </c>
      <c r="F136" s="35" t="s">
        <v>1323</v>
      </c>
      <c r="G136" s="35" t="s">
        <v>210</v>
      </c>
      <c r="H136" s="35" t="s">
        <v>358</v>
      </c>
      <c r="I136" s="34" t="s">
        <v>1324</v>
      </c>
      <c r="J136" s="34">
        <v>3</v>
      </c>
      <c r="K136" s="36" t="s">
        <v>964</v>
      </c>
      <c r="L136" s="36" t="s">
        <v>39</v>
      </c>
      <c r="M136" s="37" t="s">
        <v>39</v>
      </c>
      <c r="N136" s="37" t="s">
        <v>1749</v>
      </c>
      <c r="O136" s="38">
        <v>1</v>
      </c>
      <c r="P136" s="38">
        <v>1</v>
      </c>
      <c r="R136" s="1">
        <f t="shared" si="35"/>
        <v>0</v>
      </c>
      <c r="S136" s="1">
        <f t="shared" si="36"/>
        <v>0</v>
      </c>
      <c r="T136" s="1">
        <f t="shared" si="37"/>
        <v>1</v>
      </c>
      <c r="U136" s="1">
        <f t="shared" si="38"/>
        <v>0</v>
      </c>
      <c r="V136" s="1">
        <f t="shared" si="39"/>
        <v>0</v>
      </c>
      <c r="W136" s="1">
        <f t="shared" si="40"/>
        <v>0</v>
      </c>
      <c r="X136" s="1">
        <f t="shared" si="41"/>
        <v>0</v>
      </c>
      <c r="Y136" s="1">
        <f t="shared" si="42"/>
        <v>0</v>
      </c>
      <c r="Z136" s="1">
        <f t="shared" si="43"/>
        <v>0</v>
      </c>
      <c r="AA136" s="1">
        <f t="shared" si="44"/>
        <v>0</v>
      </c>
      <c r="AC136" s="1">
        <f t="shared" si="45"/>
        <v>1</v>
      </c>
      <c r="AD136" s="1">
        <f t="shared" si="46"/>
        <v>0</v>
      </c>
      <c r="AE136" s="1">
        <f t="shared" si="47"/>
        <v>1</v>
      </c>
      <c r="AF136" s="1">
        <f t="shared" si="48"/>
        <v>0</v>
      </c>
      <c r="AG136" s="1">
        <f t="shared" si="49"/>
        <v>1</v>
      </c>
      <c r="AH136" s="1">
        <f t="shared" si="50"/>
        <v>0</v>
      </c>
    </row>
    <row r="137" spans="1:34" ht="14.25" customHeight="1" x14ac:dyDescent="0.25">
      <c r="A137" s="47">
        <v>0</v>
      </c>
      <c r="B137" s="47">
        <v>1</v>
      </c>
      <c r="C137" s="47">
        <v>3</v>
      </c>
      <c r="D137" s="48" t="s">
        <v>875</v>
      </c>
      <c r="E137" s="48" t="s">
        <v>172</v>
      </c>
      <c r="F137" s="48" t="s">
        <v>876</v>
      </c>
      <c r="G137" s="48" t="s">
        <v>39</v>
      </c>
      <c r="H137" s="48" t="s">
        <v>877</v>
      </c>
      <c r="I137" s="47" t="s">
        <v>956</v>
      </c>
      <c r="J137" s="47">
        <v>11</v>
      </c>
      <c r="K137" s="49" t="s">
        <v>710</v>
      </c>
      <c r="L137" s="49" t="s">
        <v>697</v>
      </c>
      <c r="M137" s="50" t="s">
        <v>979</v>
      </c>
      <c r="N137" s="50" t="s">
        <v>1757</v>
      </c>
      <c r="O137" s="51"/>
      <c r="P137" s="51"/>
      <c r="R137" s="1">
        <f t="shared" si="35"/>
        <v>0</v>
      </c>
      <c r="S137" s="1">
        <f t="shared" si="36"/>
        <v>0</v>
      </c>
      <c r="T137" s="1">
        <f t="shared" si="37"/>
        <v>0</v>
      </c>
      <c r="U137" s="1">
        <f t="shared" si="38"/>
        <v>0</v>
      </c>
      <c r="V137" s="1">
        <f t="shared" si="39"/>
        <v>0</v>
      </c>
      <c r="W137" s="1">
        <f t="shared" si="40"/>
        <v>0</v>
      </c>
      <c r="X137" s="1">
        <f t="shared" si="41"/>
        <v>0</v>
      </c>
      <c r="Y137" s="1">
        <f t="shared" si="42"/>
        <v>0</v>
      </c>
      <c r="Z137" s="1">
        <f t="shared" si="43"/>
        <v>0</v>
      </c>
      <c r="AA137" s="1">
        <f t="shared" si="44"/>
        <v>0</v>
      </c>
      <c r="AC137" s="1">
        <f t="shared" si="45"/>
        <v>0</v>
      </c>
      <c r="AD137" s="1">
        <f t="shared" si="46"/>
        <v>0</v>
      </c>
      <c r="AE137" s="1">
        <f t="shared" si="47"/>
        <v>0</v>
      </c>
      <c r="AF137" s="1">
        <f t="shared" si="48"/>
        <v>0</v>
      </c>
      <c r="AG137" s="1">
        <f t="shared" si="49"/>
        <v>0</v>
      </c>
      <c r="AH137" s="1">
        <f t="shared" si="50"/>
        <v>1</v>
      </c>
    </row>
    <row r="138" spans="1:34" ht="14.25" customHeight="1" x14ac:dyDescent="0.25">
      <c r="A138" s="47">
        <v>0</v>
      </c>
      <c r="B138" s="47">
        <v>1</v>
      </c>
      <c r="C138" s="47">
        <v>3</v>
      </c>
      <c r="D138" s="48" t="s">
        <v>512</v>
      </c>
      <c r="E138" s="48" t="s">
        <v>172</v>
      </c>
      <c r="F138" s="48" t="s">
        <v>513</v>
      </c>
      <c r="G138" s="48" t="s">
        <v>510</v>
      </c>
      <c r="H138" s="48" t="s">
        <v>358</v>
      </c>
      <c r="I138" s="47" t="s">
        <v>514</v>
      </c>
      <c r="J138" s="47">
        <v>99</v>
      </c>
      <c r="K138" s="49" t="s">
        <v>711</v>
      </c>
      <c r="L138" s="49">
        <v>40</v>
      </c>
      <c r="M138" s="50" t="s">
        <v>979</v>
      </c>
      <c r="N138" s="50" t="s">
        <v>1763</v>
      </c>
      <c r="O138" s="51"/>
      <c r="P138" s="51"/>
      <c r="R138" s="1">
        <f t="shared" si="35"/>
        <v>0</v>
      </c>
      <c r="S138" s="1">
        <f t="shared" si="36"/>
        <v>0</v>
      </c>
      <c r="T138" s="1">
        <f t="shared" si="37"/>
        <v>0</v>
      </c>
      <c r="U138" s="1">
        <f t="shared" si="38"/>
        <v>0</v>
      </c>
      <c r="V138" s="1">
        <f t="shared" si="39"/>
        <v>0</v>
      </c>
      <c r="W138" s="1">
        <f t="shared" si="40"/>
        <v>0</v>
      </c>
      <c r="X138" s="1">
        <f t="shared" si="41"/>
        <v>0</v>
      </c>
      <c r="Y138" s="1">
        <f t="shared" si="42"/>
        <v>0</v>
      </c>
      <c r="Z138" s="1">
        <f t="shared" si="43"/>
        <v>0</v>
      </c>
      <c r="AA138" s="1">
        <f t="shared" si="44"/>
        <v>0</v>
      </c>
      <c r="AC138" s="1">
        <f t="shared" si="45"/>
        <v>0</v>
      </c>
      <c r="AD138" s="1">
        <f t="shared" si="46"/>
        <v>0</v>
      </c>
      <c r="AE138" s="1">
        <f t="shared" si="47"/>
        <v>0</v>
      </c>
      <c r="AF138" s="1">
        <f t="shared" si="48"/>
        <v>0</v>
      </c>
      <c r="AG138" s="1">
        <f t="shared" si="49"/>
        <v>0</v>
      </c>
      <c r="AH138" s="1">
        <f t="shared" si="50"/>
        <v>1</v>
      </c>
    </row>
    <row r="139" spans="1:34" ht="14.25" customHeight="1" x14ac:dyDescent="0.25">
      <c r="A139" s="34">
        <v>0</v>
      </c>
      <c r="B139" s="34">
        <v>1</v>
      </c>
      <c r="C139" s="34">
        <v>3</v>
      </c>
      <c r="D139" s="39" t="s">
        <v>1808</v>
      </c>
      <c r="E139" s="39" t="s">
        <v>1809</v>
      </c>
      <c r="F139" s="39" t="s">
        <v>1810</v>
      </c>
      <c r="G139" s="39" t="s">
        <v>1811</v>
      </c>
      <c r="H139" s="39" t="s">
        <v>358</v>
      </c>
      <c r="I139" s="40" t="s">
        <v>1812</v>
      </c>
      <c r="J139" s="34">
        <v>99</v>
      </c>
      <c r="K139" s="36" t="s">
        <v>711</v>
      </c>
      <c r="L139" s="36"/>
      <c r="M139" s="37"/>
      <c r="N139" s="37" t="s">
        <v>1749</v>
      </c>
      <c r="O139" s="38">
        <v>1</v>
      </c>
      <c r="P139" s="38">
        <v>1</v>
      </c>
      <c r="R139" s="1">
        <f t="shared" si="35"/>
        <v>0</v>
      </c>
      <c r="S139" s="1">
        <f t="shared" si="36"/>
        <v>0</v>
      </c>
      <c r="T139" s="1">
        <f t="shared" si="37"/>
        <v>0</v>
      </c>
      <c r="U139" s="1">
        <f t="shared" si="38"/>
        <v>0</v>
      </c>
      <c r="V139" s="1">
        <f t="shared" si="39"/>
        <v>0</v>
      </c>
      <c r="W139" s="1">
        <f t="shared" si="40"/>
        <v>0</v>
      </c>
      <c r="X139" s="1">
        <f t="shared" si="41"/>
        <v>0</v>
      </c>
      <c r="Y139" s="1">
        <f t="shared" si="42"/>
        <v>0</v>
      </c>
      <c r="Z139" s="1">
        <f t="shared" si="43"/>
        <v>0</v>
      </c>
      <c r="AA139" s="1">
        <f t="shared" si="44"/>
        <v>0</v>
      </c>
      <c r="AC139" s="1">
        <f t="shared" si="45"/>
        <v>1</v>
      </c>
      <c r="AD139" s="1">
        <f t="shared" si="46"/>
        <v>0</v>
      </c>
      <c r="AE139" s="1">
        <f t="shared" si="47"/>
        <v>1</v>
      </c>
      <c r="AF139" s="1">
        <f t="shared" si="48"/>
        <v>0</v>
      </c>
      <c r="AG139" s="1">
        <f t="shared" si="49"/>
        <v>1</v>
      </c>
      <c r="AH139" s="1">
        <f t="shared" si="50"/>
        <v>0</v>
      </c>
    </row>
    <row r="140" spans="1:34" ht="14.25" customHeight="1" x14ac:dyDescent="0.25">
      <c r="A140" s="34">
        <v>0</v>
      </c>
      <c r="B140" s="34">
        <v>1</v>
      </c>
      <c r="C140" s="34">
        <v>3</v>
      </c>
      <c r="D140" s="35" t="s">
        <v>535</v>
      </c>
      <c r="E140" s="35" t="s">
        <v>172</v>
      </c>
      <c r="F140" s="35" t="s">
        <v>665</v>
      </c>
      <c r="G140" s="35" t="s">
        <v>39</v>
      </c>
      <c r="H140" s="35" t="s">
        <v>536</v>
      </c>
      <c r="I140" s="34" t="s">
        <v>537</v>
      </c>
      <c r="J140" s="34">
        <v>18</v>
      </c>
      <c r="K140" s="36" t="s">
        <v>964</v>
      </c>
      <c r="L140" s="36" t="s">
        <v>1758</v>
      </c>
      <c r="M140" s="37" t="s">
        <v>978</v>
      </c>
      <c r="N140" s="37" t="s">
        <v>1749</v>
      </c>
      <c r="O140" s="38">
        <v>1</v>
      </c>
      <c r="P140" s="38">
        <v>1</v>
      </c>
      <c r="R140" s="1">
        <f t="shared" si="35"/>
        <v>0</v>
      </c>
      <c r="S140" s="1">
        <f t="shared" si="36"/>
        <v>0</v>
      </c>
      <c r="T140" s="1">
        <f t="shared" si="37"/>
        <v>0</v>
      </c>
      <c r="U140" s="1">
        <f t="shared" si="38"/>
        <v>0</v>
      </c>
      <c r="V140" s="1">
        <f t="shared" si="39"/>
        <v>0</v>
      </c>
      <c r="W140" s="1">
        <f t="shared" si="40"/>
        <v>0</v>
      </c>
      <c r="X140" s="1">
        <f t="shared" si="41"/>
        <v>0</v>
      </c>
      <c r="Y140" s="1">
        <f t="shared" si="42"/>
        <v>0</v>
      </c>
      <c r="Z140" s="1">
        <f t="shared" si="43"/>
        <v>0</v>
      </c>
      <c r="AA140" s="1">
        <f t="shared" si="44"/>
        <v>0</v>
      </c>
      <c r="AC140" s="1">
        <f t="shared" si="45"/>
        <v>1</v>
      </c>
      <c r="AD140" s="1">
        <f t="shared" si="46"/>
        <v>0</v>
      </c>
      <c r="AE140" s="1">
        <f t="shared" si="47"/>
        <v>1</v>
      </c>
      <c r="AF140" s="1">
        <f t="shared" si="48"/>
        <v>0</v>
      </c>
      <c r="AG140" s="1">
        <f t="shared" si="49"/>
        <v>1</v>
      </c>
      <c r="AH140" s="1">
        <f t="shared" si="50"/>
        <v>0</v>
      </c>
    </row>
    <row r="141" spans="1:34" ht="14.25" customHeight="1" x14ac:dyDescent="0.25">
      <c r="A141" s="47">
        <v>0</v>
      </c>
      <c r="B141" s="47">
        <v>1</v>
      </c>
      <c r="C141" s="47">
        <v>3</v>
      </c>
      <c r="D141" s="48" t="s">
        <v>983</v>
      </c>
      <c r="E141" s="48" t="s">
        <v>177</v>
      </c>
      <c r="F141" s="48" t="s">
        <v>813</v>
      </c>
      <c r="G141" s="48" t="s">
        <v>39</v>
      </c>
      <c r="H141" s="48" t="s">
        <v>814</v>
      </c>
      <c r="I141" s="47" t="s">
        <v>815</v>
      </c>
      <c r="J141" s="47">
        <v>16</v>
      </c>
      <c r="K141" s="49" t="s">
        <v>965</v>
      </c>
      <c r="L141" s="49" t="s">
        <v>1154</v>
      </c>
      <c r="M141" s="50" t="s">
        <v>978</v>
      </c>
      <c r="N141" s="50" t="s">
        <v>1755</v>
      </c>
      <c r="O141" s="51"/>
      <c r="P141" s="51"/>
      <c r="R141" s="1">
        <f t="shared" ref="R141:R204" si="67">IF(J141=$R$7,1,0)</f>
        <v>0</v>
      </c>
      <c r="S141" s="1">
        <f t="shared" ref="S141:S204" si="68">IF(J141=$S$7,1,0)</f>
        <v>0</v>
      </c>
      <c r="T141" s="1">
        <f t="shared" ref="T141:T204" si="69">IF(J141=$T$7,1,0)</f>
        <v>0</v>
      </c>
      <c r="U141" s="1">
        <f t="shared" ref="U141:U204" si="70">IF(J141=$U$7,1,0)</f>
        <v>0</v>
      </c>
      <c r="V141" s="1">
        <f t="shared" ref="V141:V204" si="71">IF(J141=$V$7,1,0)</f>
        <v>0</v>
      </c>
      <c r="W141" s="1">
        <f t="shared" ref="W141:W204" si="72">IF(J141=$W$7,1,0)</f>
        <v>0</v>
      </c>
      <c r="X141" s="1">
        <f t="shared" ref="X141:X204" si="73">IF(J141=$X$7,1,0)</f>
        <v>0</v>
      </c>
      <c r="Y141" s="1">
        <f t="shared" ref="Y141:Y204" si="74">IF(J141=$Y$7,1,0)</f>
        <v>0</v>
      </c>
      <c r="Z141" s="1">
        <f t="shared" ref="Z141:Z204" si="75">IF(J141=$Z$7,1,0)</f>
        <v>0</v>
      </c>
      <c r="AA141" s="1">
        <f t="shared" ref="AA141:AA204" si="76">IF(J141=$AA$7,1,0)</f>
        <v>0</v>
      </c>
      <c r="AC141" s="1">
        <f t="shared" ref="AC141:AC204" si="77">+O141*P141</f>
        <v>0</v>
      </c>
      <c r="AD141" s="1">
        <f t="shared" ref="AD141:AD204" si="78">O141*(1-P141)</f>
        <v>0</v>
      </c>
      <c r="AE141" s="1">
        <f t="shared" ref="AE141:AE204" si="79">+O141*P141*(1-A141)</f>
        <v>0</v>
      </c>
      <c r="AF141" s="1">
        <f t="shared" ref="AF141:AF204" si="80">O141*(1-P141)*(1-A141)</f>
        <v>0</v>
      </c>
      <c r="AG141" s="1">
        <f t="shared" ref="AG141:AG204" si="81">+P141*(1-A141)</f>
        <v>0</v>
      </c>
      <c r="AH141" s="1">
        <f t="shared" ref="AH141:AH204" si="82">+(1-A141)*(1-P141)</f>
        <v>1</v>
      </c>
    </row>
    <row r="142" spans="1:34" ht="14.25" customHeight="1" x14ac:dyDescent="0.25">
      <c r="A142" s="34">
        <v>0</v>
      </c>
      <c r="B142" s="34">
        <v>1</v>
      </c>
      <c r="C142" s="34">
        <v>3</v>
      </c>
      <c r="D142" s="35" t="s">
        <v>1213</v>
      </c>
      <c r="E142" s="35" t="s">
        <v>174</v>
      </c>
      <c r="F142" s="35" t="s">
        <v>1214</v>
      </c>
      <c r="G142" s="35" t="s">
        <v>240</v>
      </c>
      <c r="H142" s="35" t="s">
        <v>358</v>
      </c>
      <c r="I142" s="34" t="s">
        <v>1215</v>
      </c>
      <c r="J142" s="34">
        <v>4</v>
      </c>
      <c r="K142" s="36" t="s">
        <v>971</v>
      </c>
      <c r="L142" s="36" t="s">
        <v>1715</v>
      </c>
      <c r="M142" s="37" t="s">
        <v>1620</v>
      </c>
      <c r="N142" s="37" t="s">
        <v>1743</v>
      </c>
      <c r="O142" s="38">
        <v>1</v>
      </c>
      <c r="P142" s="38">
        <v>1</v>
      </c>
      <c r="R142" s="1">
        <f t="shared" si="67"/>
        <v>0</v>
      </c>
      <c r="S142" s="1">
        <f t="shared" si="68"/>
        <v>0</v>
      </c>
      <c r="T142" s="1">
        <f t="shared" si="69"/>
        <v>0</v>
      </c>
      <c r="U142" s="1">
        <f t="shared" si="70"/>
        <v>1</v>
      </c>
      <c r="V142" s="1">
        <f t="shared" si="71"/>
        <v>0</v>
      </c>
      <c r="W142" s="1">
        <f t="shared" si="72"/>
        <v>0</v>
      </c>
      <c r="X142" s="1">
        <f t="shared" si="73"/>
        <v>0</v>
      </c>
      <c r="Y142" s="1">
        <f t="shared" si="74"/>
        <v>0</v>
      </c>
      <c r="Z142" s="1">
        <f t="shared" si="75"/>
        <v>0</v>
      </c>
      <c r="AA142" s="1">
        <f t="shared" si="76"/>
        <v>0</v>
      </c>
      <c r="AC142" s="1">
        <f t="shared" si="77"/>
        <v>1</v>
      </c>
      <c r="AD142" s="1">
        <f t="shared" si="78"/>
        <v>0</v>
      </c>
      <c r="AE142" s="1">
        <f t="shared" si="79"/>
        <v>1</v>
      </c>
      <c r="AF142" s="1">
        <f t="shared" si="80"/>
        <v>0</v>
      </c>
      <c r="AG142" s="1">
        <f t="shared" si="81"/>
        <v>1</v>
      </c>
      <c r="AH142" s="1">
        <f t="shared" si="82"/>
        <v>0</v>
      </c>
    </row>
    <row r="143" spans="1:34" ht="14.25" customHeight="1" x14ac:dyDescent="0.25">
      <c r="A143" s="34">
        <v>0</v>
      </c>
      <c r="B143" s="34">
        <v>1</v>
      </c>
      <c r="C143" s="34">
        <v>3</v>
      </c>
      <c r="D143" s="35" t="s">
        <v>1657</v>
      </c>
      <c r="E143" s="35" t="s">
        <v>172</v>
      </c>
      <c r="F143" s="35" t="s">
        <v>1492</v>
      </c>
      <c r="G143" s="35" t="s">
        <v>1685</v>
      </c>
      <c r="H143" s="35" t="s">
        <v>358</v>
      </c>
      <c r="I143" s="34" t="s">
        <v>1491</v>
      </c>
      <c r="J143" s="34">
        <v>99</v>
      </c>
      <c r="K143" s="36" t="s">
        <v>710</v>
      </c>
      <c r="L143" s="36" t="s">
        <v>1720</v>
      </c>
      <c r="M143" s="37" t="s">
        <v>1493</v>
      </c>
      <c r="N143" s="37" t="s">
        <v>1765</v>
      </c>
      <c r="O143" s="38">
        <v>1</v>
      </c>
      <c r="P143" s="38"/>
      <c r="R143" s="1">
        <f t="shared" si="67"/>
        <v>0</v>
      </c>
      <c r="S143" s="1">
        <f t="shared" si="68"/>
        <v>0</v>
      </c>
      <c r="T143" s="1">
        <f t="shared" si="69"/>
        <v>0</v>
      </c>
      <c r="U143" s="1">
        <f t="shared" si="70"/>
        <v>0</v>
      </c>
      <c r="V143" s="1">
        <f t="shared" si="71"/>
        <v>0</v>
      </c>
      <c r="W143" s="1">
        <f t="shared" si="72"/>
        <v>0</v>
      </c>
      <c r="X143" s="1">
        <f t="shared" si="73"/>
        <v>0</v>
      </c>
      <c r="Y143" s="1">
        <f t="shared" si="74"/>
        <v>0</v>
      </c>
      <c r="Z143" s="1">
        <f t="shared" si="75"/>
        <v>0</v>
      </c>
      <c r="AA143" s="1">
        <f t="shared" si="76"/>
        <v>0</v>
      </c>
      <c r="AC143" s="1">
        <f t="shared" si="77"/>
        <v>0</v>
      </c>
      <c r="AD143" s="1">
        <f t="shared" si="78"/>
        <v>1</v>
      </c>
      <c r="AE143" s="1">
        <f t="shared" si="79"/>
        <v>0</v>
      </c>
      <c r="AF143" s="1">
        <f t="shared" si="80"/>
        <v>1</v>
      </c>
      <c r="AG143" s="1">
        <f t="shared" si="81"/>
        <v>0</v>
      </c>
      <c r="AH143" s="1">
        <f t="shared" si="82"/>
        <v>1</v>
      </c>
    </row>
    <row r="144" spans="1:34" ht="14.25" customHeight="1" x14ac:dyDescent="0.25">
      <c r="A144" s="34">
        <v>0</v>
      </c>
      <c r="B144" s="34">
        <v>1</v>
      </c>
      <c r="C144" s="34">
        <v>3</v>
      </c>
      <c r="D144" s="35" t="s">
        <v>146</v>
      </c>
      <c r="E144" s="35" t="s">
        <v>174</v>
      </c>
      <c r="F144" s="35" t="s">
        <v>351</v>
      </c>
      <c r="G144" s="35" t="s">
        <v>39</v>
      </c>
      <c r="H144" s="35" t="s">
        <v>382</v>
      </c>
      <c r="I144" s="34" t="s">
        <v>1377</v>
      </c>
      <c r="J144" s="34">
        <v>14</v>
      </c>
      <c r="K144" s="36" t="s">
        <v>964</v>
      </c>
      <c r="L144" s="36" t="s">
        <v>697</v>
      </c>
      <c r="M144" s="37" t="s">
        <v>699</v>
      </c>
      <c r="N144" s="37" t="s">
        <v>1764</v>
      </c>
      <c r="O144" s="38">
        <v>1</v>
      </c>
      <c r="P144" s="38"/>
      <c r="R144" s="1">
        <f t="shared" si="67"/>
        <v>0</v>
      </c>
      <c r="S144" s="1">
        <f t="shared" si="68"/>
        <v>0</v>
      </c>
      <c r="T144" s="1">
        <f t="shared" si="69"/>
        <v>0</v>
      </c>
      <c r="U144" s="1">
        <f t="shared" si="70"/>
        <v>0</v>
      </c>
      <c r="V144" s="1">
        <f t="shared" si="71"/>
        <v>0</v>
      </c>
      <c r="W144" s="1">
        <f t="shared" si="72"/>
        <v>0</v>
      </c>
      <c r="X144" s="1">
        <f t="shared" si="73"/>
        <v>0</v>
      </c>
      <c r="Y144" s="1">
        <f t="shared" si="74"/>
        <v>0</v>
      </c>
      <c r="Z144" s="1">
        <f t="shared" si="75"/>
        <v>0</v>
      </c>
      <c r="AA144" s="1">
        <f t="shared" si="76"/>
        <v>0</v>
      </c>
      <c r="AC144" s="1">
        <f t="shared" si="77"/>
        <v>0</v>
      </c>
      <c r="AD144" s="1">
        <f t="shared" si="78"/>
        <v>1</v>
      </c>
      <c r="AE144" s="1">
        <f t="shared" si="79"/>
        <v>0</v>
      </c>
      <c r="AF144" s="1">
        <f t="shared" si="80"/>
        <v>1</v>
      </c>
      <c r="AG144" s="1">
        <f t="shared" si="81"/>
        <v>0</v>
      </c>
      <c r="AH144" s="1">
        <f t="shared" si="82"/>
        <v>1</v>
      </c>
    </row>
    <row r="145" spans="1:34" ht="14.25" customHeight="1" x14ac:dyDescent="0.25">
      <c r="A145" s="34">
        <v>0</v>
      </c>
      <c r="B145" s="34">
        <v>1</v>
      </c>
      <c r="C145" s="34">
        <v>3</v>
      </c>
      <c r="D145" s="35" t="s">
        <v>1583</v>
      </c>
      <c r="E145" s="35" t="s">
        <v>174</v>
      </c>
      <c r="F145" s="35" t="s">
        <v>1584</v>
      </c>
      <c r="G145" s="35" t="s">
        <v>39</v>
      </c>
      <c r="H145" s="35" t="s">
        <v>1585</v>
      </c>
      <c r="I145" s="34" t="s">
        <v>1586</v>
      </c>
      <c r="J145" s="34">
        <v>17</v>
      </c>
      <c r="K145" s="36" t="s">
        <v>730</v>
      </c>
      <c r="L145" s="36" t="s">
        <v>39</v>
      </c>
      <c r="M145" s="37" t="s">
        <v>39</v>
      </c>
      <c r="N145" s="37" t="s">
        <v>1749</v>
      </c>
      <c r="O145" s="38">
        <v>1</v>
      </c>
      <c r="P145" s="38">
        <v>1</v>
      </c>
      <c r="R145" s="1">
        <f t="shared" si="67"/>
        <v>0</v>
      </c>
      <c r="S145" s="1">
        <f t="shared" si="68"/>
        <v>0</v>
      </c>
      <c r="T145" s="1">
        <f t="shared" si="69"/>
        <v>0</v>
      </c>
      <c r="U145" s="1">
        <f t="shared" si="70"/>
        <v>0</v>
      </c>
      <c r="V145" s="1">
        <f t="shared" si="71"/>
        <v>0</v>
      </c>
      <c r="W145" s="1">
        <f t="shared" si="72"/>
        <v>0</v>
      </c>
      <c r="X145" s="1">
        <f t="shared" si="73"/>
        <v>0</v>
      </c>
      <c r="Y145" s="1">
        <f t="shared" si="74"/>
        <v>0</v>
      </c>
      <c r="Z145" s="1">
        <f t="shared" si="75"/>
        <v>0</v>
      </c>
      <c r="AA145" s="1">
        <f t="shared" si="76"/>
        <v>0</v>
      </c>
      <c r="AC145" s="1">
        <f t="shared" si="77"/>
        <v>1</v>
      </c>
      <c r="AD145" s="1">
        <f t="shared" si="78"/>
        <v>0</v>
      </c>
      <c r="AE145" s="1">
        <f t="shared" si="79"/>
        <v>1</v>
      </c>
      <c r="AF145" s="1">
        <f t="shared" si="80"/>
        <v>0</v>
      </c>
      <c r="AG145" s="1">
        <f t="shared" si="81"/>
        <v>1</v>
      </c>
      <c r="AH145" s="1">
        <f t="shared" si="82"/>
        <v>0</v>
      </c>
    </row>
    <row r="146" spans="1:34" ht="14.25" customHeight="1" x14ac:dyDescent="0.25">
      <c r="A146" s="47">
        <v>0</v>
      </c>
      <c r="B146" s="47">
        <v>1</v>
      </c>
      <c r="C146" s="47">
        <v>3</v>
      </c>
      <c r="D146" s="48" t="s">
        <v>155</v>
      </c>
      <c r="E146" s="48" t="s">
        <v>174</v>
      </c>
      <c r="F146" s="48" t="s">
        <v>357</v>
      </c>
      <c r="G146" s="48" t="s">
        <v>39</v>
      </c>
      <c r="H146" s="68" t="s">
        <v>1885</v>
      </c>
      <c r="I146" s="47" t="s">
        <v>506</v>
      </c>
      <c r="J146" s="47">
        <v>14</v>
      </c>
      <c r="K146" s="49" t="s">
        <v>710</v>
      </c>
      <c r="L146" s="49" t="s">
        <v>697</v>
      </c>
      <c r="M146" s="50" t="s">
        <v>978</v>
      </c>
      <c r="N146" s="50" t="s">
        <v>1755</v>
      </c>
      <c r="O146" s="51"/>
      <c r="P146" s="51"/>
      <c r="R146" s="1">
        <f t="shared" si="67"/>
        <v>0</v>
      </c>
      <c r="S146" s="1">
        <f t="shared" si="68"/>
        <v>0</v>
      </c>
      <c r="T146" s="1">
        <f t="shared" si="69"/>
        <v>0</v>
      </c>
      <c r="U146" s="1">
        <f t="shared" si="70"/>
        <v>0</v>
      </c>
      <c r="V146" s="1">
        <f t="shared" si="71"/>
        <v>0</v>
      </c>
      <c r="W146" s="1">
        <f t="shared" si="72"/>
        <v>0</v>
      </c>
      <c r="X146" s="1">
        <f t="shared" si="73"/>
        <v>0</v>
      </c>
      <c r="Y146" s="1">
        <f t="shared" si="74"/>
        <v>0</v>
      </c>
      <c r="Z146" s="1">
        <f t="shared" si="75"/>
        <v>0</v>
      </c>
      <c r="AA146" s="1">
        <f t="shared" si="76"/>
        <v>0</v>
      </c>
      <c r="AC146" s="1">
        <f t="shared" si="77"/>
        <v>0</v>
      </c>
      <c r="AD146" s="1">
        <f t="shared" si="78"/>
        <v>0</v>
      </c>
      <c r="AE146" s="1">
        <f t="shared" si="79"/>
        <v>0</v>
      </c>
      <c r="AF146" s="1">
        <f t="shared" si="80"/>
        <v>0</v>
      </c>
      <c r="AG146" s="1">
        <f t="shared" si="81"/>
        <v>0</v>
      </c>
      <c r="AH146" s="1">
        <f t="shared" si="82"/>
        <v>1</v>
      </c>
    </row>
    <row r="147" spans="1:34" ht="14.25" customHeight="1" x14ac:dyDescent="0.25">
      <c r="A147" s="15">
        <v>0</v>
      </c>
      <c r="B147" s="15">
        <v>1</v>
      </c>
      <c r="C147" s="15">
        <v>3</v>
      </c>
      <c r="D147" s="16" t="s">
        <v>747</v>
      </c>
      <c r="E147" s="16" t="s">
        <v>174</v>
      </c>
      <c r="F147" s="16" t="s">
        <v>748</v>
      </c>
      <c r="G147" s="16" t="s">
        <v>39</v>
      </c>
      <c r="H147" s="16" t="s">
        <v>749</v>
      </c>
      <c r="I147" s="15" t="s">
        <v>750</v>
      </c>
      <c r="J147" s="15">
        <v>17</v>
      </c>
      <c r="K147" s="10" t="s">
        <v>730</v>
      </c>
      <c r="L147" s="10" t="s">
        <v>705</v>
      </c>
      <c r="M147" s="19" t="s">
        <v>699</v>
      </c>
      <c r="N147" s="17"/>
      <c r="R147" s="1">
        <f t="shared" si="67"/>
        <v>0</v>
      </c>
      <c r="S147" s="1">
        <f t="shared" si="68"/>
        <v>0</v>
      </c>
      <c r="T147" s="1">
        <f t="shared" si="69"/>
        <v>0</v>
      </c>
      <c r="U147" s="1">
        <f t="shared" si="70"/>
        <v>0</v>
      </c>
      <c r="V147" s="1">
        <f t="shared" si="71"/>
        <v>0</v>
      </c>
      <c r="W147" s="1">
        <f t="shared" si="72"/>
        <v>0</v>
      </c>
      <c r="X147" s="1">
        <f t="shared" si="73"/>
        <v>0</v>
      </c>
      <c r="Y147" s="1">
        <f t="shared" si="74"/>
        <v>0</v>
      </c>
      <c r="Z147" s="1">
        <f t="shared" si="75"/>
        <v>0</v>
      </c>
      <c r="AA147" s="1">
        <f t="shared" si="76"/>
        <v>0</v>
      </c>
      <c r="AC147" s="1">
        <f t="shared" si="77"/>
        <v>0</v>
      </c>
      <c r="AD147" s="1">
        <f t="shared" si="78"/>
        <v>0</v>
      </c>
      <c r="AE147" s="1">
        <f t="shared" si="79"/>
        <v>0</v>
      </c>
      <c r="AF147" s="1">
        <f t="shared" si="80"/>
        <v>0</v>
      </c>
      <c r="AG147" s="1">
        <f t="shared" si="81"/>
        <v>0</v>
      </c>
      <c r="AH147" s="1">
        <f t="shared" si="82"/>
        <v>1</v>
      </c>
    </row>
    <row r="148" spans="1:34" ht="14.25" customHeight="1" x14ac:dyDescent="0.25">
      <c r="A148" s="47">
        <v>0</v>
      </c>
      <c r="B148" s="47">
        <v>1</v>
      </c>
      <c r="C148" s="47">
        <v>3</v>
      </c>
      <c r="D148" s="48" t="s">
        <v>912</v>
      </c>
      <c r="E148" s="48" t="s">
        <v>174</v>
      </c>
      <c r="F148" s="48" t="s">
        <v>1107</v>
      </c>
      <c r="G148" s="48" t="s">
        <v>39</v>
      </c>
      <c r="H148" s="48" t="s">
        <v>914</v>
      </c>
      <c r="I148" s="47" t="s">
        <v>913</v>
      </c>
      <c r="J148" s="47">
        <v>11</v>
      </c>
      <c r="K148" s="49" t="s">
        <v>965</v>
      </c>
      <c r="L148" s="49">
        <v>60</v>
      </c>
      <c r="M148" s="50" t="s">
        <v>39</v>
      </c>
      <c r="N148" s="50" t="s">
        <v>1755</v>
      </c>
      <c r="O148" s="51"/>
      <c r="P148" s="51"/>
      <c r="R148" s="1">
        <f t="shared" si="67"/>
        <v>0</v>
      </c>
      <c r="S148" s="1">
        <f t="shared" si="68"/>
        <v>0</v>
      </c>
      <c r="T148" s="1">
        <f t="shared" si="69"/>
        <v>0</v>
      </c>
      <c r="U148" s="1">
        <f t="shared" si="70"/>
        <v>0</v>
      </c>
      <c r="V148" s="1">
        <f t="shared" si="71"/>
        <v>0</v>
      </c>
      <c r="W148" s="1">
        <f t="shared" si="72"/>
        <v>0</v>
      </c>
      <c r="X148" s="1">
        <f t="shared" si="73"/>
        <v>0</v>
      </c>
      <c r="Y148" s="1">
        <f t="shared" si="74"/>
        <v>0</v>
      </c>
      <c r="Z148" s="1">
        <f t="shared" si="75"/>
        <v>0</v>
      </c>
      <c r="AA148" s="1">
        <f t="shared" si="76"/>
        <v>0</v>
      </c>
      <c r="AC148" s="1">
        <f t="shared" si="77"/>
        <v>0</v>
      </c>
      <c r="AD148" s="1">
        <f t="shared" si="78"/>
        <v>0</v>
      </c>
      <c r="AE148" s="1">
        <f t="shared" si="79"/>
        <v>0</v>
      </c>
      <c r="AF148" s="1">
        <f t="shared" si="80"/>
        <v>0</v>
      </c>
      <c r="AG148" s="1">
        <f t="shared" si="81"/>
        <v>0</v>
      </c>
      <c r="AH148" s="1">
        <f t="shared" si="82"/>
        <v>1</v>
      </c>
    </row>
    <row r="149" spans="1:34" ht="14.25" customHeight="1" x14ac:dyDescent="0.25">
      <c r="A149" s="47">
        <v>0</v>
      </c>
      <c r="B149" s="47">
        <v>1</v>
      </c>
      <c r="C149" s="47">
        <v>3</v>
      </c>
      <c r="D149" s="48" t="s">
        <v>124</v>
      </c>
      <c r="E149" s="48" t="s">
        <v>177</v>
      </c>
      <c r="F149" s="48" t="s">
        <v>327</v>
      </c>
      <c r="G149" s="48" t="s">
        <v>39</v>
      </c>
      <c r="H149" s="48" t="s">
        <v>367</v>
      </c>
      <c r="I149" s="47" t="s">
        <v>475</v>
      </c>
      <c r="J149" s="47">
        <v>14</v>
      </c>
      <c r="K149" s="49" t="s">
        <v>730</v>
      </c>
      <c r="L149" s="49" t="s">
        <v>701</v>
      </c>
      <c r="M149" s="50" t="s">
        <v>1394</v>
      </c>
      <c r="N149" s="50" t="s">
        <v>1825</v>
      </c>
      <c r="O149" s="51"/>
      <c r="P149" s="51"/>
      <c r="R149" s="1">
        <f t="shared" si="67"/>
        <v>0</v>
      </c>
      <c r="S149" s="1">
        <f t="shared" si="68"/>
        <v>0</v>
      </c>
      <c r="T149" s="1">
        <f t="shared" si="69"/>
        <v>0</v>
      </c>
      <c r="U149" s="1">
        <f t="shared" si="70"/>
        <v>0</v>
      </c>
      <c r="V149" s="1">
        <f t="shared" si="71"/>
        <v>0</v>
      </c>
      <c r="W149" s="1">
        <f t="shared" si="72"/>
        <v>0</v>
      </c>
      <c r="X149" s="1">
        <f t="shared" si="73"/>
        <v>0</v>
      </c>
      <c r="Y149" s="1">
        <f t="shared" si="74"/>
        <v>0</v>
      </c>
      <c r="Z149" s="1">
        <f t="shared" si="75"/>
        <v>0</v>
      </c>
      <c r="AA149" s="1">
        <f t="shared" si="76"/>
        <v>0</v>
      </c>
      <c r="AC149" s="1">
        <f t="shared" si="77"/>
        <v>0</v>
      </c>
      <c r="AD149" s="1">
        <f t="shared" si="78"/>
        <v>0</v>
      </c>
      <c r="AE149" s="1">
        <f t="shared" si="79"/>
        <v>0</v>
      </c>
      <c r="AF149" s="1">
        <f t="shared" si="80"/>
        <v>0</v>
      </c>
      <c r="AG149" s="1">
        <f t="shared" si="81"/>
        <v>0</v>
      </c>
      <c r="AH149" s="1">
        <f t="shared" si="82"/>
        <v>1</v>
      </c>
    </row>
    <row r="150" spans="1:34" ht="14.25" customHeight="1" x14ac:dyDescent="0.25">
      <c r="A150" s="15">
        <v>0</v>
      </c>
      <c r="B150" s="15">
        <v>1</v>
      </c>
      <c r="C150" s="15">
        <v>3</v>
      </c>
      <c r="D150" s="16" t="s">
        <v>1184</v>
      </c>
      <c r="E150" s="16" t="s">
        <v>174</v>
      </c>
      <c r="F150" s="16" t="s">
        <v>1186</v>
      </c>
      <c r="G150" s="16" t="s">
        <v>775</v>
      </c>
      <c r="H150" s="16" t="s">
        <v>358</v>
      </c>
      <c r="I150" s="15" t="s">
        <v>1185</v>
      </c>
      <c r="J150" s="15">
        <v>99</v>
      </c>
      <c r="K150" s="10" t="s">
        <v>711</v>
      </c>
      <c r="L150" s="10">
        <v>30</v>
      </c>
      <c r="M150" s="19" t="s">
        <v>978</v>
      </c>
      <c r="N150" s="19"/>
      <c r="R150" s="1">
        <f t="shared" si="67"/>
        <v>0</v>
      </c>
      <c r="S150" s="1">
        <f t="shared" si="68"/>
        <v>0</v>
      </c>
      <c r="T150" s="1">
        <f t="shared" si="69"/>
        <v>0</v>
      </c>
      <c r="U150" s="1">
        <f t="shared" si="70"/>
        <v>0</v>
      </c>
      <c r="V150" s="1">
        <f t="shared" si="71"/>
        <v>0</v>
      </c>
      <c r="W150" s="1">
        <f t="shared" si="72"/>
        <v>0</v>
      </c>
      <c r="X150" s="1">
        <f t="shared" si="73"/>
        <v>0</v>
      </c>
      <c r="Y150" s="1">
        <f t="shared" si="74"/>
        <v>0</v>
      </c>
      <c r="Z150" s="1">
        <f t="shared" si="75"/>
        <v>0</v>
      </c>
      <c r="AA150" s="1">
        <f t="shared" si="76"/>
        <v>0</v>
      </c>
      <c r="AC150" s="1">
        <f t="shared" si="77"/>
        <v>0</v>
      </c>
      <c r="AD150" s="1">
        <f t="shared" si="78"/>
        <v>0</v>
      </c>
      <c r="AE150" s="1">
        <f t="shared" si="79"/>
        <v>0</v>
      </c>
      <c r="AF150" s="1">
        <f t="shared" si="80"/>
        <v>0</v>
      </c>
      <c r="AG150" s="1">
        <f t="shared" si="81"/>
        <v>0</v>
      </c>
      <c r="AH150" s="1">
        <f t="shared" si="82"/>
        <v>1</v>
      </c>
    </row>
    <row r="151" spans="1:34" ht="14.25" customHeight="1" x14ac:dyDescent="0.25">
      <c r="A151" s="15">
        <v>0</v>
      </c>
      <c r="B151" s="15">
        <v>1</v>
      </c>
      <c r="C151" s="15">
        <v>3</v>
      </c>
      <c r="D151" s="16" t="s">
        <v>751</v>
      </c>
      <c r="E151" s="16" t="s">
        <v>172</v>
      </c>
      <c r="F151" s="16" t="s">
        <v>752</v>
      </c>
      <c r="G151" s="16" t="s">
        <v>39</v>
      </c>
      <c r="H151" s="16" t="s">
        <v>753</v>
      </c>
      <c r="I151" s="15" t="s">
        <v>754</v>
      </c>
      <c r="J151" s="15">
        <v>17</v>
      </c>
      <c r="K151" s="10" t="s">
        <v>711</v>
      </c>
      <c r="L151" s="10" t="s">
        <v>705</v>
      </c>
      <c r="M151" s="19" t="s">
        <v>979</v>
      </c>
      <c r="N151" s="17"/>
      <c r="R151" s="1">
        <f t="shared" si="67"/>
        <v>0</v>
      </c>
      <c r="S151" s="1">
        <f t="shared" si="68"/>
        <v>0</v>
      </c>
      <c r="T151" s="1">
        <f t="shared" si="69"/>
        <v>0</v>
      </c>
      <c r="U151" s="1">
        <f t="shared" si="70"/>
        <v>0</v>
      </c>
      <c r="V151" s="1">
        <f t="shared" si="71"/>
        <v>0</v>
      </c>
      <c r="W151" s="1">
        <f t="shared" si="72"/>
        <v>0</v>
      </c>
      <c r="X151" s="1">
        <f t="shared" si="73"/>
        <v>0</v>
      </c>
      <c r="Y151" s="1">
        <f t="shared" si="74"/>
        <v>0</v>
      </c>
      <c r="Z151" s="1">
        <f t="shared" si="75"/>
        <v>0</v>
      </c>
      <c r="AA151" s="1">
        <f t="shared" si="76"/>
        <v>0</v>
      </c>
      <c r="AC151" s="1">
        <f t="shared" si="77"/>
        <v>0</v>
      </c>
      <c r="AD151" s="1">
        <f t="shared" si="78"/>
        <v>0</v>
      </c>
      <c r="AE151" s="1">
        <f t="shared" si="79"/>
        <v>0</v>
      </c>
      <c r="AF151" s="1">
        <f t="shared" si="80"/>
        <v>0</v>
      </c>
      <c r="AG151" s="1">
        <f t="shared" si="81"/>
        <v>0</v>
      </c>
      <c r="AH151" s="1">
        <f t="shared" si="82"/>
        <v>1</v>
      </c>
    </row>
    <row r="152" spans="1:34" ht="14.25" customHeight="1" x14ac:dyDescent="0.25">
      <c r="A152" s="47">
        <v>0</v>
      </c>
      <c r="B152" s="47">
        <v>1</v>
      </c>
      <c r="C152" s="47">
        <v>3</v>
      </c>
      <c r="D152" s="48" t="s">
        <v>842</v>
      </c>
      <c r="E152" s="48" t="s">
        <v>922</v>
      </c>
      <c r="F152" s="48" t="s">
        <v>843</v>
      </c>
      <c r="G152" s="48" t="s">
        <v>210</v>
      </c>
      <c r="H152" s="48" t="s">
        <v>358</v>
      </c>
      <c r="I152" s="47" t="s">
        <v>844</v>
      </c>
      <c r="J152" s="47">
        <v>3</v>
      </c>
      <c r="K152" s="49" t="s">
        <v>730</v>
      </c>
      <c r="L152" s="49" t="s">
        <v>701</v>
      </c>
      <c r="M152" s="50" t="s">
        <v>706</v>
      </c>
      <c r="N152" s="50" t="s">
        <v>1756</v>
      </c>
      <c r="O152" s="51"/>
      <c r="P152" s="51"/>
      <c r="R152" s="1">
        <f t="shared" si="67"/>
        <v>0</v>
      </c>
      <c r="S152" s="1">
        <f t="shared" si="68"/>
        <v>0</v>
      </c>
      <c r="T152" s="1">
        <f t="shared" si="69"/>
        <v>1</v>
      </c>
      <c r="U152" s="1">
        <f t="shared" si="70"/>
        <v>0</v>
      </c>
      <c r="V152" s="1">
        <f t="shared" si="71"/>
        <v>0</v>
      </c>
      <c r="W152" s="1">
        <f t="shared" si="72"/>
        <v>0</v>
      </c>
      <c r="X152" s="1">
        <f t="shared" si="73"/>
        <v>0</v>
      </c>
      <c r="Y152" s="1">
        <f t="shared" si="74"/>
        <v>0</v>
      </c>
      <c r="Z152" s="1">
        <f t="shared" si="75"/>
        <v>0</v>
      </c>
      <c r="AA152" s="1">
        <f t="shared" si="76"/>
        <v>0</v>
      </c>
      <c r="AC152" s="1">
        <f t="shared" si="77"/>
        <v>0</v>
      </c>
      <c r="AD152" s="1">
        <f t="shared" si="78"/>
        <v>0</v>
      </c>
      <c r="AE152" s="1">
        <f t="shared" si="79"/>
        <v>0</v>
      </c>
      <c r="AF152" s="1">
        <f t="shared" si="80"/>
        <v>0</v>
      </c>
      <c r="AG152" s="1">
        <f t="shared" si="81"/>
        <v>0</v>
      </c>
      <c r="AH152" s="1">
        <f t="shared" si="82"/>
        <v>1</v>
      </c>
    </row>
    <row r="153" spans="1:34" ht="14.25" customHeight="1" x14ac:dyDescent="0.25">
      <c r="A153" s="47">
        <v>0</v>
      </c>
      <c r="B153" s="47">
        <v>1</v>
      </c>
      <c r="C153" s="47">
        <v>3</v>
      </c>
      <c r="D153" s="48" t="s">
        <v>1224</v>
      </c>
      <c r="E153" s="48" t="s">
        <v>174</v>
      </c>
      <c r="F153" s="48" t="s">
        <v>1226</v>
      </c>
      <c r="G153" s="48" t="s">
        <v>187</v>
      </c>
      <c r="H153" s="48" t="s">
        <v>358</v>
      </c>
      <c r="I153" s="47" t="s">
        <v>1225</v>
      </c>
      <c r="J153" s="47">
        <v>99</v>
      </c>
      <c r="K153" s="49" t="s">
        <v>966</v>
      </c>
      <c r="L153" s="49" t="s">
        <v>697</v>
      </c>
      <c r="M153" s="50" t="s">
        <v>979</v>
      </c>
      <c r="N153" s="50" t="s">
        <v>1750</v>
      </c>
      <c r="O153" s="51"/>
      <c r="P153" s="51"/>
      <c r="R153" s="1">
        <f t="shared" si="67"/>
        <v>0</v>
      </c>
      <c r="S153" s="1">
        <f t="shared" si="68"/>
        <v>0</v>
      </c>
      <c r="T153" s="1">
        <f t="shared" si="69"/>
        <v>0</v>
      </c>
      <c r="U153" s="1">
        <f t="shared" si="70"/>
        <v>0</v>
      </c>
      <c r="V153" s="1">
        <f t="shared" si="71"/>
        <v>0</v>
      </c>
      <c r="W153" s="1">
        <f t="shared" si="72"/>
        <v>0</v>
      </c>
      <c r="X153" s="1">
        <f t="shared" si="73"/>
        <v>0</v>
      </c>
      <c r="Y153" s="1">
        <f t="shared" si="74"/>
        <v>0</v>
      </c>
      <c r="Z153" s="1">
        <f t="shared" si="75"/>
        <v>0</v>
      </c>
      <c r="AA153" s="1">
        <f t="shared" si="76"/>
        <v>0</v>
      </c>
      <c r="AC153" s="1">
        <f t="shared" si="77"/>
        <v>0</v>
      </c>
      <c r="AD153" s="1">
        <f t="shared" si="78"/>
        <v>0</v>
      </c>
      <c r="AE153" s="1">
        <f t="shared" si="79"/>
        <v>0</v>
      </c>
      <c r="AF153" s="1">
        <f t="shared" si="80"/>
        <v>0</v>
      </c>
      <c r="AG153" s="1">
        <f t="shared" si="81"/>
        <v>0</v>
      </c>
      <c r="AH153" s="1">
        <f t="shared" si="82"/>
        <v>1</v>
      </c>
    </row>
    <row r="154" spans="1:34" ht="14.25" customHeight="1" x14ac:dyDescent="0.25">
      <c r="A154" s="34">
        <v>0</v>
      </c>
      <c r="B154" s="34">
        <v>1</v>
      </c>
      <c r="C154" s="34">
        <v>3</v>
      </c>
      <c r="D154" s="35" t="s">
        <v>638</v>
      </c>
      <c r="E154" s="35" t="s">
        <v>172</v>
      </c>
      <c r="F154" s="35" t="s">
        <v>639</v>
      </c>
      <c r="G154" s="35" t="s">
        <v>196</v>
      </c>
      <c r="H154" s="35" t="s">
        <v>358</v>
      </c>
      <c r="I154" s="34" t="s">
        <v>640</v>
      </c>
      <c r="J154" s="34">
        <v>9</v>
      </c>
      <c r="K154" s="36" t="s">
        <v>965</v>
      </c>
      <c r="L154" s="36" t="s">
        <v>1715</v>
      </c>
      <c r="M154" s="37" t="s">
        <v>978</v>
      </c>
      <c r="N154" s="37" t="s">
        <v>1743</v>
      </c>
      <c r="O154" s="38">
        <v>1</v>
      </c>
      <c r="P154" s="38">
        <v>1</v>
      </c>
      <c r="R154" s="1">
        <f t="shared" si="67"/>
        <v>0</v>
      </c>
      <c r="S154" s="1">
        <f t="shared" si="68"/>
        <v>0</v>
      </c>
      <c r="T154" s="1">
        <f t="shared" si="69"/>
        <v>0</v>
      </c>
      <c r="U154" s="1">
        <f t="shared" si="70"/>
        <v>0</v>
      </c>
      <c r="V154" s="1">
        <f t="shared" si="71"/>
        <v>0</v>
      </c>
      <c r="W154" s="1">
        <f t="shared" si="72"/>
        <v>0</v>
      </c>
      <c r="X154" s="1">
        <f t="shared" si="73"/>
        <v>0</v>
      </c>
      <c r="Y154" s="1">
        <f t="shared" si="74"/>
        <v>0</v>
      </c>
      <c r="Z154" s="1">
        <f t="shared" si="75"/>
        <v>1</v>
      </c>
      <c r="AA154" s="1">
        <f t="shared" si="76"/>
        <v>0</v>
      </c>
      <c r="AC154" s="1">
        <f t="shared" si="77"/>
        <v>1</v>
      </c>
      <c r="AD154" s="1">
        <f t="shared" si="78"/>
        <v>0</v>
      </c>
      <c r="AE154" s="1">
        <f t="shared" si="79"/>
        <v>1</v>
      </c>
      <c r="AF154" s="1">
        <f t="shared" si="80"/>
        <v>0</v>
      </c>
      <c r="AG154" s="1">
        <f t="shared" si="81"/>
        <v>1</v>
      </c>
      <c r="AH154" s="1">
        <f t="shared" si="82"/>
        <v>0</v>
      </c>
    </row>
    <row r="155" spans="1:34" ht="14.25" customHeight="1" x14ac:dyDescent="0.25">
      <c r="A155" s="47">
        <v>0</v>
      </c>
      <c r="B155" s="47">
        <v>1</v>
      </c>
      <c r="C155" s="47">
        <v>3</v>
      </c>
      <c r="D155" s="48" t="s">
        <v>133</v>
      </c>
      <c r="E155" s="48" t="s">
        <v>690</v>
      </c>
      <c r="F155" s="48" t="s">
        <v>337</v>
      </c>
      <c r="G155" s="48" t="s">
        <v>39</v>
      </c>
      <c r="H155" s="48" t="s">
        <v>366</v>
      </c>
      <c r="I155" s="47" t="s">
        <v>486</v>
      </c>
      <c r="J155" s="47">
        <v>12</v>
      </c>
      <c r="K155" s="49" t="s">
        <v>730</v>
      </c>
      <c r="L155" s="49">
        <v>35</v>
      </c>
      <c r="M155" s="50" t="s">
        <v>39</v>
      </c>
      <c r="N155" s="50" t="s">
        <v>1818</v>
      </c>
      <c r="O155" s="51"/>
      <c r="P155" s="51"/>
      <c r="R155" s="1">
        <f t="shared" si="67"/>
        <v>0</v>
      </c>
      <c r="S155" s="1">
        <f t="shared" si="68"/>
        <v>0</v>
      </c>
      <c r="T155" s="1">
        <f t="shared" si="69"/>
        <v>0</v>
      </c>
      <c r="U155" s="1">
        <f t="shared" si="70"/>
        <v>0</v>
      </c>
      <c r="V155" s="1">
        <f t="shared" si="71"/>
        <v>0</v>
      </c>
      <c r="W155" s="1">
        <f t="shared" si="72"/>
        <v>0</v>
      </c>
      <c r="X155" s="1">
        <f t="shared" si="73"/>
        <v>0</v>
      </c>
      <c r="Y155" s="1">
        <f t="shared" si="74"/>
        <v>0</v>
      </c>
      <c r="Z155" s="1">
        <f t="shared" si="75"/>
        <v>0</v>
      </c>
      <c r="AA155" s="1">
        <f t="shared" si="76"/>
        <v>0</v>
      </c>
      <c r="AC155" s="1">
        <f t="shared" si="77"/>
        <v>0</v>
      </c>
      <c r="AD155" s="1">
        <f t="shared" si="78"/>
        <v>0</v>
      </c>
      <c r="AE155" s="1">
        <f t="shared" si="79"/>
        <v>0</v>
      </c>
      <c r="AF155" s="1">
        <f t="shared" si="80"/>
        <v>0</v>
      </c>
      <c r="AG155" s="1">
        <f t="shared" si="81"/>
        <v>0</v>
      </c>
      <c r="AH155" s="1">
        <f t="shared" si="82"/>
        <v>1</v>
      </c>
    </row>
    <row r="156" spans="1:34" ht="14.25" customHeight="1" x14ac:dyDescent="0.25">
      <c r="A156" s="15">
        <v>0</v>
      </c>
      <c r="B156" s="15">
        <v>1</v>
      </c>
      <c r="C156" s="15">
        <v>3</v>
      </c>
      <c r="D156" s="16" t="s">
        <v>834</v>
      </c>
      <c r="E156" s="16" t="s">
        <v>174</v>
      </c>
      <c r="F156" s="16" t="s">
        <v>835</v>
      </c>
      <c r="G156" s="16" t="s">
        <v>39</v>
      </c>
      <c r="H156" s="16" t="s">
        <v>379</v>
      </c>
      <c r="I156" s="15" t="s">
        <v>833</v>
      </c>
      <c r="J156" s="15">
        <v>12</v>
      </c>
      <c r="K156" s="10" t="s">
        <v>711</v>
      </c>
      <c r="L156" s="10">
        <v>40</v>
      </c>
      <c r="M156" s="19" t="s">
        <v>978</v>
      </c>
      <c r="N156" s="19"/>
      <c r="R156" s="1">
        <f t="shared" si="67"/>
        <v>0</v>
      </c>
      <c r="S156" s="1">
        <f t="shared" si="68"/>
        <v>0</v>
      </c>
      <c r="T156" s="1">
        <f t="shared" si="69"/>
        <v>0</v>
      </c>
      <c r="U156" s="1">
        <f t="shared" si="70"/>
        <v>0</v>
      </c>
      <c r="V156" s="1">
        <f t="shared" si="71"/>
        <v>0</v>
      </c>
      <c r="W156" s="1">
        <f t="shared" si="72"/>
        <v>0</v>
      </c>
      <c r="X156" s="1">
        <f t="shared" si="73"/>
        <v>0</v>
      </c>
      <c r="Y156" s="1">
        <f t="shared" si="74"/>
        <v>0</v>
      </c>
      <c r="Z156" s="1">
        <f t="shared" si="75"/>
        <v>0</v>
      </c>
      <c r="AA156" s="1">
        <f t="shared" si="76"/>
        <v>0</v>
      </c>
      <c r="AC156" s="1">
        <f t="shared" si="77"/>
        <v>0</v>
      </c>
      <c r="AD156" s="1">
        <f t="shared" si="78"/>
        <v>0</v>
      </c>
      <c r="AE156" s="1">
        <f t="shared" si="79"/>
        <v>0</v>
      </c>
      <c r="AF156" s="1">
        <f t="shared" si="80"/>
        <v>0</v>
      </c>
      <c r="AG156" s="1">
        <f t="shared" si="81"/>
        <v>0</v>
      </c>
      <c r="AH156" s="1">
        <f t="shared" si="82"/>
        <v>1</v>
      </c>
    </row>
    <row r="157" spans="1:34" ht="14.25" customHeight="1" x14ac:dyDescent="0.25">
      <c r="A157" s="34">
        <v>0</v>
      </c>
      <c r="B157" s="34">
        <v>1</v>
      </c>
      <c r="C157" s="34">
        <v>3</v>
      </c>
      <c r="D157" s="35" t="s">
        <v>143</v>
      </c>
      <c r="E157" s="35" t="s">
        <v>174</v>
      </c>
      <c r="F157" s="35" t="s">
        <v>347</v>
      </c>
      <c r="G157" s="35" t="s">
        <v>39</v>
      </c>
      <c r="H157" s="35" t="s">
        <v>381</v>
      </c>
      <c r="I157" s="34" t="s">
        <v>495</v>
      </c>
      <c r="J157" s="34">
        <v>15</v>
      </c>
      <c r="K157" s="36" t="s">
        <v>710</v>
      </c>
      <c r="L157" s="36" t="s">
        <v>700</v>
      </c>
      <c r="M157" s="37" t="s">
        <v>699</v>
      </c>
      <c r="N157" s="37" t="s">
        <v>1749</v>
      </c>
      <c r="O157" s="38">
        <v>1</v>
      </c>
      <c r="P157" s="38">
        <v>1</v>
      </c>
      <c r="R157" s="1">
        <f t="shared" si="67"/>
        <v>0</v>
      </c>
      <c r="S157" s="1">
        <f t="shared" si="68"/>
        <v>0</v>
      </c>
      <c r="T157" s="1">
        <f t="shared" si="69"/>
        <v>0</v>
      </c>
      <c r="U157" s="1">
        <f t="shared" si="70"/>
        <v>0</v>
      </c>
      <c r="V157" s="1">
        <f t="shared" si="71"/>
        <v>0</v>
      </c>
      <c r="W157" s="1">
        <f t="shared" si="72"/>
        <v>0</v>
      </c>
      <c r="X157" s="1">
        <f t="shared" si="73"/>
        <v>0</v>
      </c>
      <c r="Y157" s="1">
        <f t="shared" si="74"/>
        <v>0</v>
      </c>
      <c r="Z157" s="1">
        <f t="shared" si="75"/>
        <v>0</v>
      </c>
      <c r="AA157" s="1">
        <f t="shared" si="76"/>
        <v>0</v>
      </c>
      <c r="AC157" s="1">
        <f t="shared" si="77"/>
        <v>1</v>
      </c>
      <c r="AD157" s="1">
        <f t="shared" si="78"/>
        <v>0</v>
      </c>
      <c r="AE157" s="1">
        <f t="shared" si="79"/>
        <v>1</v>
      </c>
      <c r="AF157" s="1">
        <f t="shared" si="80"/>
        <v>0</v>
      </c>
      <c r="AG157" s="1">
        <f t="shared" si="81"/>
        <v>1</v>
      </c>
      <c r="AH157" s="1">
        <f t="shared" si="82"/>
        <v>0</v>
      </c>
    </row>
    <row r="158" spans="1:34" ht="14.25" customHeight="1" x14ac:dyDescent="0.25">
      <c r="A158" s="15">
        <v>0</v>
      </c>
      <c r="B158" s="15">
        <v>1</v>
      </c>
      <c r="C158" s="15">
        <v>3</v>
      </c>
      <c r="D158" s="16" t="s">
        <v>755</v>
      </c>
      <c r="E158" s="16" t="s">
        <v>616</v>
      </c>
      <c r="F158" s="16" t="s">
        <v>756</v>
      </c>
      <c r="G158" s="16" t="s">
        <v>39</v>
      </c>
      <c r="H158" s="16" t="s">
        <v>757</v>
      </c>
      <c r="I158" s="15" t="s">
        <v>758</v>
      </c>
      <c r="J158" s="15">
        <v>18</v>
      </c>
      <c r="K158" s="10" t="s">
        <v>711</v>
      </c>
      <c r="L158" s="10" t="s">
        <v>705</v>
      </c>
      <c r="M158" s="19" t="s">
        <v>699</v>
      </c>
      <c r="N158" s="17"/>
      <c r="R158" s="1">
        <f t="shared" si="67"/>
        <v>0</v>
      </c>
      <c r="S158" s="1">
        <f t="shared" si="68"/>
        <v>0</v>
      </c>
      <c r="T158" s="1">
        <f t="shared" si="69"/>
        <v>0</v>
      </c>
      <c r="U158" s="1">
        <f t="shared" si="70"/>
        <v>0</v>
      </c>
      <c r="V158" s="1">
        <f t="shared" si="71"/>
        <v>0</v>
      </c>
      <c r="W158" s="1">
        <f t="shared" si="72"/>
        <v>0</v>
      </c>
      <c r="X158" s="1">
        <f t="shared" si="73"/>
        <v>0</v>
      </c>
      <c r="Y158" s="1">
        <f t="shared" si="74"/>
        <v>0</v>
      </c>
      <c r="Z158" s="1">
        <f t="shared" si="75"/>
        <v>0</v>
      </c>
      <c r="AA158" s="1">
        <f t="shared" si="76"/>
        <v>0</v>
      </c>
      <c r="AC158" s="1">
        <f t="shared" si="77"/>
        <v>0</v>
      </c>
      <c r="AD158" s="1">
        <f t="shared" si="78"/>
        <v>0</v>
      </c>
      <c r="AE158" s="1">
        <f t="shared" si="79"/>
        <v>0</v>
      </c>
      <c r="AF158" s="1">
        <f t="shared" si="80"/>
        <v>0</v>
      </c>
      <c r="AG158" s="1">
        <f t="shared" si="81"/>
        <v>0</v>
      </c>
      <c r="AH158" s="1">
        <f t="shared" si="82"/>
        <v>1</v>
      </c>
    </row>
    <row r="159" spans="1:34" ht="14.25" customHeight="1" x14ac:dyDescent="0.25">
      <c r="A159" s="34">
        <v>0</v>
      </c>
      <c r="B159" s="34">
        <v>1</v>
      </c>
      <c r="C159" s="34">
        <v>3</v>
      </c>
      <c r="D159" s="39" t="s">
        <v>1857</v>
      </c>
      <c r="E159" s="35" t="s">
        <v>1098</v>
      </c>
      <c r="F159" s="35" t="s">
        <v>1842</v>
      </c>
      <c r="G159" s="35"/>
      <c r="H159" s="35" t="s">
        <v>376</v>
      </c>
      <c r="I159" s="34" t="s">
        <v>1843</v>
      </c>
      <c r="J159" s="34">
        <v>16</v>
      </c>
      <c r="K159" s="36" t="s">
        <v>711</v>
      </c>
      <c r="L159" s="36"/>
      <c r="M159" s="37"/>
      <c r="N159" s="37" t="s">
        <v>1743</v>
      </c>
      <c r="O159" s="38">
        <v>1</v>
      </c>
      <c r="P159" s="38">
        <v>1</v>
      </c>
      <c r="R159" s="1">
        <f t="shared" si="67"/>
        <v>0</v>
      </c>
      <c r="S159" s="1">
        <f t="shared" si="68"/>
        <v>0</v>
      </c>
      <c r="T159" s="1">
        <f t="shared" si="69"/>
        <v>0</v>
      </c>
      <c r="U159" s="1">
        <f t="shared" si="70"/>
        <v>0</v>
      </c>
      <c r="V159" s="1">
        <f t="shared" si="71"/>
        <v>0</v>
      </c>
      <c r="W159" s="1">
        <f t="shared" si="72"/>
        <v>0</v>
      </c>
      <c r="X159" s="1">
        <f t="shared" si="73"/>
        <v>0</v>
      </c>
      <c r="Y159" s="1">
        <f t="shared" si="74"/>
        <v>0</v>
      </c>
      <c r="Z159" s="1">
        <f t="shared" si="75"/>
        <v>0</v>
      </c>
      <c r="AA159" s="1">
        <f t="shared" si="76"/>
        <v>0</v>
      </c>
      <c r="AC159" s="1">
        <f t="shared" si="77"/>
        <v>1</v>
      </c>
      <c r="AD159" s="1">
        <f t="shared" si="78"/>
        <v>0</v>
      </c>
      <c r="AE159" s="1">
        <f t="shared" si="79"/>
        <v>1</v>
      </c>
      <c r="AF159" s="1">
        <f t="shared" si="80"/>
        <v>0</v>
      </c>
      <c r="AG159" s="1">
        <f t="shared" si="81"/>
        <v>1</v>
      </c>
      <c r="AH159" s="1">
        <f t="shared" si="82"/>
        <v>0</v>
      </c>
    </row>
    <row r="160" spans="1:34" ht="14.25" customHeight="1" x14ac:dyDescent="0.25">
      <c r="A160" s="34">
        <v>0</v>
      </c>
      <c r="B160" s="34">
        <v>1</v>
      </c>
      <c r="C160" s="34">
        <v>3</v>
      </c>
      <c r="D160" s="35" t="s">
        <v>987</v>
      </c>
      <c r="E160" s="35" t="s">
        <v>616</v>
      </c>
      <c r="F160" s="35" t="s">
        <v>988</v>
      </c>
      <c r="G160" s="35" t="s">
        <v>205</v>
      </c>
      <c r="H160" s="35" t="s">
        <v>358</v>
      </c>
      <c r="I160" s="34" t="s">
        <v>989</v>
      </c>
      <c r="J160" s="34">
        <v>99</v>
      </c>
      <c r="K160" s="36" t="s">
        <v>964</v>
      </c>
      <c r="L160" s="36" t="s">
        <v>39</v>
      </c>
      <c r="M160" s="37" t="s">
        <v>39</v>
      </c>
      <c r="N160" s="37" t="s">
        <v>1743</v>
      </c>
      <c r="O160" s="38">
        <v>1</v>
      </c>
      <c r="P160" s="38">
        <v>1</v>
      </c>
      <c r="R160" s="1">
        <f t="shared" si="67"/>
        <v>0</v>
      </c>
      <c r="S160" s="1">
        <f t="shared" si="68"/>
        <v>0</v>
      </c>
      <c r="T160" s="1">
        <f t="shared" si="69"/>
        <v>0</v>
      </c>
      <c r="U160" s="1">
        <f t="shared" si="70"/>
        <v>0</v>
      </c>
      <c r="V160" s="1">
        <f t="shared" si="71"/>
        <v>0</v>
      </c>
      <c r="W160" s="1">
        <f t="shared" si="72"/>
        <v>0</v>
      </c>
      <c r="X160" s="1">
        <f t="shared" si="73"/>
        <v>0</v>
      </c>
      <c r="Y160" s="1">
        <f t="shared" si="74"/>
        <v>0</v>
      </c>
      <c r="Z160" s="1">
        <f t="shared" si="75"/>
        <v>0</v>
      </c>
      <c r="AA160" s="1">
        <f t="shared" si="76"/>
        <v>0</v>
      </c>
      <c r="AC160" s="1">
        <f t="shared" si="77"/>
        <v>1</v>
      </c>
      <c r="AD160" s="1">
        <f t="shared" si="78"/>
        <v>0</v>
      </c>
      <c r="AE160" s="1">
        <f t="shared" si="79"/>
        <v>1</v>
      </c>
      <c r="AF160" s="1">
        <f t="shared" si="80"/>
        <v>0</v>
      </c>
      <c r="AG160" s="1">
        <f t="shared" si="81"/>
        <v>1</v>
      </c>
      <c r="AH160" s="1">
        <f t="shared" si="82"/>
        <v>0</v>
      </c>
    </row>
    <row r="161" spans="1:34" ht="14.25" customHeight="1" x14ac:dyDescent="0.25">
      <c r="A161" s="41">
        <v>0</v>
      </c>
      <c r="B161" s="41">
        <v>1</v>
      </c>
      <c r="C161" s="41">
        <v>3</v>
      </c>
      <c r="D161" s="42" t="s">
        <v>151</v>
      </c>
      <c r="E161" s="42" t="s">
        <v>174</v>
      </c>
      <c r="F161" s="42" t="s">
        <v>354</v>
      </c>
      <c r="G161" s="42" t="s">
        <v>39</v>
      </c>
      <c r="H161" s="42" t="s">
        <v>384</v>
      </c>
      <c r="I161" s="41" t="s">
        <v>502</v>
      </c>
      <c r="J161" s="41">
        <v>14</v>
      </c>
      <c r="K161" s="43" t="s">
        <v>972</v>
      </c>
      <c r="L161" s="43" t="s">
        <v>39</v>
      </c>
      <c r="M161" s="44" t="s">
        <v>39</v>
      </c>
      <c r="N161" s="45"/>
      <c r="O161" s="46"/>
      <c r="P161" s="46">
        <v>1</v>
      </c>
      <c r="R161" s="1">
        <f t="shared" si="67"/>
        <v>0</v>
      </c>
      <c r="S161" s="1">
        <f t="shared" si="68"/>
        <v>0</v>
      </c>
      <c r="T161" s="1">
        <f t="shared" si="69"/>
        <v>0</v>
      </c>
      <c r="U161" s="1">
        <f t="shared" si="70"/>
        <v>0</v>
      </c>
      <c r="V161" s="1">
        <f t="shared" si="71"/>
        <v>0</v>
      </c>
      <c r="W161" s="1">
        <f t="shared" si="72"/>
        <v>0</v>
      </c>
      <c r="X161" s="1">
        <f t="shared" si="73"/>
        <v>0</v>
      </c>
      <c r="Y161" s="1">
        <f t="shared" si="74"/>
        <v>0</v>
      </c>
      <c r="Z161" s="1">
        <f t="shared" si="75"/>
        <v>0</v>
      </c>
      <c r="AA161" s="1">
        <f t="shared" si="76"/>
        <v>0</v>
      </c>
      <c r="AC161" s="1">
        <f t="shared" si="77"/>
        <v>0</v>
      </c>
      <c r="AD161" s="1">
        <f t="shared" si="78"/>
        <v>0</v>
      </c>
      <c r="AE161" s="1">
        <f t="shared" si="79"/>
        <v>0</v>
      </c>
      <c r="AF161" s="1">
        <f t="shared" si="80"/>
        <v>0</v>
      </c>
      <c r="AG161" s="1">
        <f t="shared" si="81"/>
        <v>1</v>
      </c>
      <c r="AH161" s="1">
        <f t="shared" si="82"/>
        <v>0</v>
      </c>
    </row>
    <row r="162" spans="1:34" ht="14.25" customHeight="1" x14ac:dyDescent="0.25">
      <c r="A162" s="34">
        <v>0</v>
      </c>
      <c r="B162" s="34">
        <v>1</v>
      </c>
      <c r="C162" s="34">
        <v>3</v>
      </c>
      <c r="D162" s="35" t="s">
        <v>641</v>
      </c>
      <c r="E162" s="35" t="s">
        <v>174</v>
      </c>
      <c r="F162" s="35" t="s">
        <v>643</v>
      </c>
      <c r="G162" s="35" t="s">
        <v>240</v>
      </c>
      <c r="H162" s="35" t="s">
        <v>358</v>
      </c>
      <c r="I162" s="34" t="s">
        <v>642</v>
      </c>
      <c r="J162" s="34">
        <v>4</v>
      </c>
      <c r="K162" s="36" t="s">
        <v>964</v>
      </c>
      <c r="L162" s="36" t="s">
        <v>39</v>
      </c>
      <c r="M162" s="37" t="s">
        <v>39</v>
      </c>
      <c r="N162" s="37" t="s">
        <v>1749</v>
      </c>
      <c r="O162" s="38">
        <v>1</v>
      </c>
      <c r="P162" s="38">
        <v>1</v>
      </c>
      <c r="R162" s="1">
        <f t="shared" si="67"/>
        <v>0</v>
      </c>
      <c r="S162" s="1">
        <f t="shared" si="68"/>
        <v>0</v>
      </c>
      <c r="T162" s="1">
        <f t="shared" si="69"/>
        <v>0</v>
      </c>
      <c r="U162" s="1">
        <f t="shared" si="70"/>
        <v>1</v>
      </c>
      <c r="V162" s="1">
        <f t="shared" si="71"/>
        <v>0</v>
      </c>
      <c r="W162" s="1">
        <f t="shared" si="72"/>
        <v>0</v>
      </c>
      <c r="X162" s="1">
        <f t="shared" si="73"/>
        <v>0</v>
      </c>
      <c r="Y162" s="1">
        <f t="shared" si="74"/>
        <v>0</v>
      </c>
      <c r="Z162" s="1">
        <f t="shared" si="75"/>
        <v>0</v>
      </c>
      <c r="AA162" s="1">
        <f t="shared" si="76"/>
        <v>0</v>
      </c>
      <c r="AC162" s="1">
        <f t="shared" si="77"/>
        <v>1</v>
      </c>
      <c r="AD162" s="1">
        <f t="shared" si="78"/>
        <v>0</v>
      </c>
      <c r="AE162" s="1">
        <f t="shared" si="79"/>
        <v>1</v>
      </c>
      <c r="AF162" s="1">
        <f t="shared" si="80"/>
        <v>0</v>
      </c>
      <c r="AG162" s="1">
        <f t="shared" si="81"/>
        <v>1</v>
      </c>
      <c r="AH162" s="1">
        <f t="shared" si="82"/>
        <v>0</v>
      </c>
    </row>
    <row r="163" spans="1:34" ht="14.25" customHeight="1" x14ac:dyDescent="0.25">
      <c r="A163" s="15">
        <v>0</v>
      </c>
      <c r="B163" s="15">
        <v>1</v>
      </c>
      <c r="C163" s="15">
        <v>3</v>
      </c>
      <c r="D163" s="16" t="s">
        <v>1544</v>
      </c>
      <c r="E163" s="16" t="s">
        <v>1098</v>
      </c>
      <c r="F163" s="16" t="s">
        <v>1545</v>
      </c>
      <c r="G163" s="16" t="s">
        <v>220</v>
      </c>
      <c r="H163" s="16" t="s">
        <v>358</v>
      </c>
      <c r="I163" s="15" t="s">
        <v>1546</v>
      </c>
      <c r="J163" s="15">
        <v>99</v>
      </c>
      <c r="K163" s="10" t="s">
        <v>711</v>
      </c>
      <c r="L163" s="10">
        <v>40</v>
      </c>
      <c r="M163" s="19" t="s">
        <v>978</v>
      </c>
      <c r="N163" s="19"/>
      <c r="R163" s="1">
        <f t="shared" si="67"/>
        <v>0</v>
      </c>
      <c r="S163" s="1">
        <f t="shared" si="68"/>
        <v>0</v>
      </c>
      <c r="T163" s="1">
        <f t="shared" si="69"/>
        <v>0</v>
      </c>
      <c r="U163" s="1">
        <f t="shared" si="70"/>
        <v>0</v>
      </c>
      <c r="V163" s="1">
        <f t="shared" si="71"/>
        <v>0</v>
      </c>
      <c r="W163" s="1">
        <f t="shared" si="72"/>
        <v>0</v>
      </c>
      <c r="X163" s="1">
        <f t="shared" si="73"/>
        <v>0</v>
      </c>
      <c r="Y163" s="1">
        <f t="shared" si="74"/>
        <v>0</v>
      </c>
      <c r="Z163" s="1">
        <f t="shared" si="75"/>
        <v>0</v>
      </c>
      <c r="AA163" s="1">
        <f t="shared" si="76"/>
        <v>0</v>
      </c>
      <c r="AC163" s="1">
        <f t="shared" si="77"/>
        <v>0</v>
      </c>
      <c r="AD163" s="1">
        <f t="shared" si="78"/>
        <v>0</v>
      </c>
      <c r="AE163" s="1">
        <f t="shared" si="79"/>
        <v>0</v>
      </c>
      <c r="AF163" s="1">
        <f t="shared" si="80"/>
        <v>0</v>
      </c>
      <c r="AG163" s="1">
        <f t="shared" si="81"/>
        <v>0</v>
      </c>
      <c r="AH163" s="1">
        <f t="shared" si="82"/>
        <v>1</v>
      </c>
    </row>
    <row r="164" spans="1:34" ht="14.25" customHeight="1" x14ac:dyDescent="0.25">
      <c r="A164" s="34">
        <v>0</v>
      </c>
      <c r="B164" s="34">
        <v>1</v>
      </c>
      <c r="C164" s="34">
        <v>3</v>
      </c>
      <c r="D164" s="35" t="s">
        <v>103</v>
      </c>
      <c r="E164" s="35" t="s">
        <v>174</v>
      </c>
      <c r="F164" s="35" t="s">
        <v>302</v>
      </c>
      <c r="G164" s="35" t="s">
        <v>303</v>
      </c>
      <c r="H164" s="35" t="s">
        <v>358</v>
      </c>
      <c r="I164" s="34" t="s">
        <v>454</v>
      </c>
      <c r="J164" s="34">
        <v>99</v>
      </c>
      <c r="K164" s="36" t="s">
        <v>966</v>
      </c>
      <c r="L164" s="36" t="s">
        <v>701</v>
      </c>
      <c r="M164" s="37" t="s">
        <v>699</v>
      </c>
      <c r="N164" s="37" t="s">
        <v>1759</v>
      </c>
      <c r="O164" s="38">
        <v>1</v>
      </c>
      <c r="P164" s="38"/>
      <c r="R164" s="1">
        <f t="shared" si="67"/>
        <v>0</v>
      </c>
      <c r="S164" s="1">
        <f t="shared" si="68"/>
        <v>0</v>
      </c>
      <c r="T164" s="1">
        <f t="shared" si="69"/>
        <v>0</v>
      </c>
      <c r="U164" s="1">
        <f t="shared" si="70"/>
        <v>0</v>
      </c>
      <c r="V164" s="1">
        <f t="shared" si="71"/>
        <v>0</v>
      </c>
      <c r="W164" s="1">
        <f t="shared" si="72"/>
        <v>0</v>
      </c>
      <c r="X164" s="1">
        <f t="shared" si="73"/>
        <v>0</v>
      </c>
      <c r="Y164" s="1">
        <f t="shared" si="74"/>
        <v>0</v>
      </c>
      <c r="Z164" s="1">
        <f t="shared" si="75"/>
        <v>0</v>
      </c>
      <c r="AA164" s="1">
        <f t="shared" si="76"/>
        <v>0</v>
      </c>
      <c r="AC164" s="1">
        <f t="shared" si="77"/>
        <v>0</v>
      </c>
      <c r="AD164" s="1">
        <f t="shared" si="78"/>
        <v>1</v>
      </c>
      <c r="AE164" s="1">
        <f t="shared" si="79"/>
        <v>0</v>
      </c>
      <c r="AF164" s="1">
        <f t="shared" si="80"/>
        <v>1</v>
      </c>
      <c r="AG164" s="1">
        <f t="shared" si="81"/>
        <v>0</v>
      </c>
      <c r="AH164" s="1">
        <f t="shared" si="82"/>
        <v>1</v>
      </c>
    </row>
    <row r="165" spans="1:34" ht="14.25" customHeight="1" x14ac:dyDescent="0.25">
      <c r="A165" s="47">
        <v>0</v>
      </c>
      <c r="B165" s="47">
        <v>1</v>
      </c>
      <c r="C165" s="47">
        <v>3</v>
      </c>
      <c r="D165" s="48" t="s">
        <v>998</v>
      </c>
      <c r="E165" s="48" t="s">
        <v>174</v>
      </c>
      <c r="F165" s="48" t="s">
        <v>1001</v>
      </c>
      <c r="G165" s="48" t="s">
        <v>39</v>
      </c>
      <c r="H165" s="48" t="s">
        <v>1000</v>
      </c>
      <c r="I165" s="47" t="s">
        <v>999</v>
      </c>
      <c r="J165" s="47">
        <v>14</v>
      </c>
      <c r="K165" s="49" t="s">
        <v>730</v>
      </c>
      <c r="L165" s="49" t="s">
        <v>702</v>
      </c>
      <c r="M165" s="50" t="s">
        <v>979</v>
      </c>
      <c r="N165" s="50" t="s">
        <v>1751</v>
      </c>
      <c r="O165" s="51"/>
      <c r="P165" s="51"/>
      <c r="R165" s="1">
        <f t="shared" si="67"/>
        <v>0</v>
      </c>
      <c r="S165" s="1">
        <f t="shared" si="68"/>
        <v>0</v>
      </c>
      <c r="T165" s="1">
        <f t="shared" si="69"/>
        <v>0</v>
      </c>
      <c r="U165" s="1">
        <f t="shared" si="70"/>
        <v>0</v>
      </c>
      <c r="V165" s="1">
        <f t="shared" si="71"/>
        <v>0</v>
      </c>
      <c r="W165" s="1">
        <f t="shared" si="72"/>
        <v>0</v>
      </c>
      <c r="X165" s="1">
        <f t="shared" si="73"/>
        <v>0</v>
      </c>
      <c r="Y165" s="1">
        <f t="shared" si="74"/>
        <v>0</v>
      </c>
      <c r="Z165" s="1">
        <f t="shared" si="75"/>
        <v>0</v>
      </c>
      <c r="AA165" s="1">
        <f t="shared" si="76"/>
        <v>0</v>
      </c>
      <c r="AC165" s="1">
        <f t="shared" si="77"/>
        <v>0</v>
      </c>
      <c r="AD165" s="1">
        <f t="shared" si="78"/>
        <v>0</v>
      </c>
      <c r="AE165" s="1">
        <f t="shared" si="79"/>
        <v>0</v>
      </c>
      <c r="AF165" s="1">
        <f t="shared" si="80"/>
        <v>0</v>
      </c>
      <c r="AG165" s="1">
        <f t="shared" si="81"/>
        <v>0</v>
      </c>
      <c r="AH165" s="1">
        <f t="shared" si="82"/>
        <v>1</v>
      </c>
    </row>
    <row r="166" spans="1:34" ht="14.25" customHeight="1" x14ac:dyDescent="0.25">
      <c r="A166" s="60">
        <v>0</v>
      </c>
      <c r="B166" s="60">
        <v>1</v>
      </c>
      <c r="C166" s="60">
        <v>3</v>
      </c>
      <c r="D166" s="61" t="s">
        <v>1660</v>
      </c>
      <c r="E166" s="61" t="s">
        <v>174</v>
      </c>
      <c r="F166" s="61" t="s">
        <v>781</v>
      </c>
      <c r="G166" s="61" t="s">
        <v>39</v>
      </c>
      <c r="H166" s="61" t="s">
        <v>371</v>
      </c>
      <c r="I166" s="60" t="s">
        <v>789</v>
      </c>
      <c r="J166" s="60">
        <v>18</v>
      </c>
      <c r="K166" s="62" t="s">
        <v>1713</v>
      </c>
      <c r="L166" s="62" t="s">
        <v>39</v>
      </c>
      <c r="M166" s="63" t="s">
        <v>782</v>
      </c>
      <c r="N166" s="64"/>
      <c r="O166" s="65"/>
      <c r="P166" s="65"/>
      <c r="R166" s="1">
        <f t="shared" si="67"/>
        <v>0</v>
      </c>
      <c r="S166" s="1">
        <f t="shared" si="68"/>
        <v>0</v>
      </c>
      <c r="T166" s="1">
        <f t="shared" si="69"/>
        <v>0</v>
      </c>
      <c r="U166" s="1">
        <f t="shared" si="70"/>
        <v>0</v>
      </c>
      <c r="V166" s="1">
        <f t="shared" si="71"/>
        <v>0</v>
      </c>
      <c r="W166" s="1">
        <f t="shared" si="72"/>
        <v>0</v>
      </c>
      <c r="X166" s="1">
        <f t="shared" si="73"/>
        <v>0</v>
      </c>
      <c r="Y166" s="1">
        <f t="shared" si="74"/>
        <v>0</v>
      </c>
      <c r="Z166" s="1">
        <f t="shared" si="75"/>
        <v>0</v>
      </c>
      <c r="AA166" s="1">
        <f t="shared" si="76"/>
        <v>0</v>
      </c>
      <c r="AC166" s="1">
        <f t="shared" si="77"/>
        <v>0</v>
      </c>
      <c r="AD166" s="1">
        <f t="shared" si="78"/>
        <v>0</v>
      </c>
      <c r="AE166" s="1">
        <f t="shared" si="79"/>
        <v>0</v>
      </c>
      <c r="AF166" s="1">
        <f t="shared" si="80"/>
        <v>0</v>
      </c>
      <c r="AG166" s="1">
        <f t="shared" si="81"/>
        <v>0</v>
      </c>
      <c r="AH166" s="1">
        <f t="shared" si="82"/>
        <v>1</v>
      </c>
    </row>
    <row r="167" spans="1:34" ht="14.25" customHeight="1" x14ac:dyDescent="0.25">
      <c r="A167" s="52">
        <v>0</v>
      </c>
      <c r="B167" s="52">
        <v>1</v>
      </c>
      <c r="C167" s="52">
        <v>3</v>
      </c>
      <c r="D167" s="53" t="s">
        <v>136</v>
      </c>
      <c r="E167" s="53" t="s">
        <v>174</v>
      </c>
      <c r="F167" s="53" t="s">
        <v>666</v>
      </c>
      <c r="G167" s="53" t="s">
        <v>259</v>
      </c>
      <c r="H167" s="53" t="s">
        <v>358</v>
      </c>
      <c r="I167" s="52" t="s">
        <v>1709</v>
      </c>
      <c r="J167" s="52">
        <v>99</v>
      </c>
      <c r="K167" s="54" t="s">
        <v>730</v>
      </c>
      <c r="L167" s="54" t="s">
        <v>694</v>
      </c>
      <c r="M167" s="55" t="s">
        <v>1412</v>
      </c>
      <c r="N167" s="55" t="s">
        <v>1759</v>
      </c>
      <c r="O167" s="56">
        <v>1</v>
      </c>
      <c r="P167" s="56"/>
      <c r="R167" s="1">
        <f t="shared" si="67"/>
        <v>0</v>
      </c>
      <c r="S167" s="1">
        <f t="shared" si="68"/>
        <v>0</v>
      </c>
      <c r="T167" s="1">
        <f t="shared" si="69"/>
        <v>0</v>
      </c>
      <c r="U167" s="1">
        <f t="shared" si="70"/>
        <v>0</v>
      </c>
      <c r="V167" s="1">
        <f t="shared" si="71"/>
        <v>0</v>
      </c>
      <c r="W167" s="1">
        <f t="shared" si="72"/>
        <v>0</v>
      </c>
      <c r="X167" s="1">
        <f t="shared" si="73"/>
        <v>0</v>
      </c>
      <c r="Y167" s="1">
        <f t="shared" si="74"/>
        <v>0</v>
      </c>
      <c r="Z167" s="1">
        <f t="shared" si="75"/>
        <v>0</v>
      </c>
      <c r="AA167" s="1">
        <f t="shared" si="76"/>
        <v>0</v>
      </c>
      <c r="AC167" s="1">
        <f t="shared" si="77"/>
        <v>0</v>
      </c>
      <c r="AD167" s="1">
        <f t="shared" si="78"/>
        <v>1</v>
      </c>
      <c r="AE167" s="1">
        <f t="shared" si="79"/>
        <v>0</v>
      </c>
      <c r="AF167" s="1">
        <f t="shared" si="80"/>
        <v>1</v>
      </c>
      <c r="AG167" s="1">
        <f t="shared" si="81"/>
        <v>0</v>
      </c>
      <c r="AH167" s="1">
        <f t="shared" si="82"/>
        <v>1</v>
      </c>
    </row>
    <row r="168" spans="1:34" ht="14.25" customHeight="1" x14ac:dyDescent="0.25">
      <c r="A168" s="15">
        <v>0</v>
      </c>
      <c r="B168" s="15">
        <v>1</v>
      </c>
      <c r="C168" s="15">
        <v>3</v>
      </c>
      <c r="D168" s="16" t="s">
        <v>931</v>
      </c>
      <c r="E168" s="16" t="s">
        <v>172</v>
      </c>
      <c r="F168" s="16" t="s">
        <v>948</v>
      </c>
      <c r="G168" s="16" t="s">
        <v>39</v>
      </c>
      <c r="H168" s="16" t="s">
        <v>369</v>
      </c>
      <c r="I168" s="15" t="s">
        <v>891</v>
      </c>
      <c r="J168" s="15">
        <v>18</v>
      </c>
      <c r="K168" s="10" t="s">
        <v>710</v>
      </c>
      <c r="L168" s="10" t="s">
        <v>705</v>
      </c>
      <c r="M168" s="19" t="s">
        <v>979</v>
      </c>
      <c r="N168" s="17"/>
      <c r="R168" s="1">
        <f t="shared" si="67"/>
        <v>0</v>
      </c>
      <c r="S168" s="1">
        <f t="shared" si="68"/>
        <v>0</v>
      </c>
      <c r="T168" s="1">
        <f t="shared" si="69"/>
        <v>0</v>
      </c>
      <c r="U168" s="1">
        <f t="shared" si="70"/>
        <v>0</v>
      </c>
      <c r="V168" s="1">
        <f t="shared" si="71"/>
        <v>0</v>
      </c>
      <c r="W168" s="1">
        <f t="shared" si="72"/>
        <v>0</v>
      </c>
      <c r="X168" s="1">
        <f t="shared" si="73"/>
        <v>0</v>
      </c>
      <c r="Y168" s="1">
        <f t="shared" si="74"/>
        <v>0</v>
      </c>
      <c r="Z168" s="1">
        <f t="shared" si="75"/>
        <v>0</v>
      </c>
      <c r="AA168" s="1">
        <f t="shared" si="76"/>
        <v>0</v>
      </c>
      <c r="AC168" s="1">
        <f t="shared" si="77"/>
        <v>0</v>
      </c>
      <c r="AD168" s="1">
        <f t="shared" si="78"/>
        <v>0</v>
      </c>
      <c r="AE168" s="1">
        <f t="shared" si="79"/>
        <v>0</v>
      </c>
      <c r="AF168" s="1">
        <f t="shared" si="80"/>
        <v>0</v>
      </c>
      <c r="AG168" s="1">
        <f t="shared" si="81"/>
        <v>0</v>
      </c>
      <c r="AH168" s="1">
        <f t="shared" si="82"/>
        <v>1</v>
      </c>
    </row>
    <row r="169" spans="1:34" ht="14.25" customHeight="1" x14ac:dyDescent="0.25">
      <c r="A169" s="47">
        <v>0</v>
      </c>
      <c r="B169" s="47">
        <v>1</v>
      </c>
      <c r="C169" s="47">
        <v>3</v>
      </c>
      <c r="D169" s="48" t="s">
        <v>1275</v>
      </c>
      <c r="E169" s="48" t="s">
        <v>172</v>
      </c>
      <c r="F169" s="48" t="s">
        <v>1692</v>
      </c>
      <c r="G169" s="48" t="s">
        <v>39</v>
      </c>
      <c r="H169" s="48" t="s">
        <v>779</v>
      </c>
      <c r="I169" s="47" t="s">
        <v>1276</v>
      </c>
      <c r="J169" s="47">
        <v>11</v>
      </c>
      <c r="K169" s="49" t="s">
        <v>730</v>
      </c>
      <c r="L169" s="49" t="s">
        <v>697</v>
      </c>
      <c r="M169" s="50" t="s">
        <v>1413</v>
      </c>
      <c r="N169" s="50" t="s">
        <v>1750</v>
      </c>
      <c r="O169" s="51"/>
      <c r="P169" s="51"/>
      <c r="R169" s="1">
        <f t="shared" si="67"/>
        <v>0</v>
      </c>
      <c r="S169" s="1">
        <f t="shared" si="68"/>
        <v>0</v>
      </c>
      <c r="T169" s="1">
        <f t="shared" si="69"/>
        <v>0</v>
      </c>
      <c r="U169" s="1">
        <f t="shared" si="70"/>
        <v>0</v>
      </c>
      <c r="V169" s="1">
        <f t="shared" si="71"/>
        <v>0</v>
      </c>
      <c r="W169" s="1">
        <f t="shared" si="72"/>
        <v>0</v>
      </c>
      <c r="X169" s="1">
        <f t="shared" si="73"/>
        <v>0</v>
      </c>
      <c r="Y169" s="1">
        <f t="shared" si="74"/>
        <v>0</v>
      </c>
      <c r="Z169" s="1">
        <f t="shared" si="75"/>
        <v>0</v>
      </c>
      <c r="AA169" s="1">
        <f t="shared" si="76"/>
        <v>0</v>
      </c>
      <c r="AC169" s="1">
        <f t="shared" si="77"/>
        <v>0</v>
      </c>
      <c r="AD169" s="1">
        <f t="shared" si="78"/>
        <v>0</v>
      </c>
      <c r="AE169" s="1">
        <f t="shared" si="79"/>
        <v>0</v>
      </c>
      <c r="AF169" s="1">
        <f t="shared" si="80"/>
        <v>0</v>
      </c>
      <c r="AG169" s="1">
        <f t="shared" si="81"/>
        <v>0</v>
      </c>
      <c r="AH169" s="1">
        <f t="shared" si="82"/>
        <v>1</v>
      </c>
    </row>
    <row r="170" spans="1:34" ht="14.25" customHeight="1" x14ac:dyDescent="0.25">
      <c r="A170" s="34">
        <v>0</v>
      </c>
      <c r="B170" s="34">
        <v>1</v>
      </c>
      <c r="C170" s="34">
        <v>4</v>
      </c>
      <c r="D170" s="35" t="s">
        <v>1004</v>
      </c>
      <c r="E170" s="35" t="s">
        <v>780</v>
      </c>
      <c r="F170" s="35" t="s">
        <v>1105</v>
      </c>
      <c r="G170" s="35" t="s">
        <v>202</v>
      </c>
      <c r="H170" s="35" t="s">
        <v>358</v>
      </c>
      <c r="I170" s="34" t="s">
        <v>1005</v>
      </c>
      <c r="J170" s="34">
        <v>2</v>
      </c>
      <c r="K170" s="36" t="s">
        <v>964</v>
      </c>
      <c r="L170" s="36" t="s">
        <v>701</v>
      </c>
      <c r="M170" s="37" t="s">
        <v>1414</v>
      </c>
      <c r="N170" s="37" t="s">
        <v>1743</v>
      </c>
      <c r="O170" s="38">
        <v>1</v>
      </c>
      <c r="P170" s="38">
        <v>1</v>
      </c>
      <c r="R170" s="1">
        <f t="shared" si="67"/>
        <v>0</v>
      </c>
      <c r="S170" s="1">
        <f t="shared" si="68"/>
        <v>1</v>
      </c>
      <c r="T170" s="1">
        <f t="shared" si="69"/>
        <v>0</v>
      </c>
      <c r="U170" s="1">
        <f t="shared" si="70"/>
        <v>0</v>
      </c>
      <c r="V170" s="1">
        <f t="shared" si="71"/>
        <v>0</v>
      </c>
      <c r="W170" s="1">
        <f t="shared" si="72"/>
        <v>0</v>
      </c>
      <c r="X170" s="1">
        <f t="shared" si="73"/>
        <v>0</v>
      </c>
      <c r="Y170" s="1">
        <f t="shared" si="74"/>
        <v>0</v>
      </c>
      <c r="Z170" s="1">
        <f t="shared" si="75"/>
        <v>0</v>
      </c>
      <c r="AA170" s="1">
        <f t="shared" si="76"/>
        <v>0</v>
      </c>
      <c r="AC170" s="1">
        <f t="shared" si="77"/>
        <v>1</v>
      </c>
      <c r="AD170" s="1">
        <f t="shared" si="78"/>
        <v>0</v>
      </c>
      <c r="AE170" s="1">
        <f t="shared" si="79"/>
        <v>1</v>
      </c>
      <c r="AF170" s="1">
        <f t="shared" si="80"/>
        <v>0</v>
      </c>
      <c r="AG170" s="1">
        <f t="shared" si="81"/>
        <v>1</v>
      </c>
      <c r="AH170" s="1">
        <f t="shared" si="82"/>
        <v>0</v>
      </c>
    </row>
    <row r="171" spans="1:34" ht="14.25" customHeight="1" x14ac:dyDescent="0.25">
      <c r="A171" s="47">
        <v>0</v>
      </c>
      <c r="B171" s="47">
        <v>1</v>
      </c>
      <c r="C171" s="47">
        <v>4</v>
      </c>
      <c r="D171" s="48" t="s">
        <v>50</v>
      </c>
      <c r="E171" s="48" t="s">
        <v>780</v>
      </c>
      <c r="F171" s="48" t="s">
        <v>195</v>
      </c>
      <c r="G171" s="48" t="s">
        <v>196</v>
      </c>
      <c r="H171" s="48" t="s">
        <v>358</v>
      </c>
      <c r="I171" s="47" t="s">
        <v>391</v>
      </c>
      <c r="J171" s="47">
        <v>9</v>
      </c>
      <c r="K171" s="49" t="s">
        <v>964</v>
      </c>
      <c r="L171" s="49" t="s">
        <v>702</v>
      </c>
      <c r="M171" s="50" t="s">
        <v>977</v>
      </c>
      <c r="N171" s="50" t="s">
        <v>1752</v>
      </c>
      <c r="O171" s="51"/>
      <c r="P171" s="51"/>
      <c r="R171" s="1">
        <f t="shared" si="67"/>
        <v>0</v>
      </c>
      <c r="S171" s="1">
        <f t="shared" si="68"/>
        <v>0</v>
      </c>
      <c r="T171" s="1">
        <f t="shared" si="69"/>
        <v>0</v>
      </c>
      <c r="U171" s="1">
        <f t="shared" si="70"/>
        <v>0</v>
      </c>
      <c r="V171" s="1">
        <f t="shared" si="71"/>
        <v>0</v>
      </c>
      <c r="W171" s="1">
        <f t="shared" si="72"/>
        <v>0</v>
      </c>
      <c r="X171" s="1">
        <f t="shared" si="73"/>
        <v>0</v>
      </c>
      <c r="Y171" s="1">
        <f t="shared" si="74"/>
        <v>0</v>
      </c>
      <c r="Z171" s="1">
        <f t="shared" si="75"/>
        <v>1</v>
      </c>
      <c r="AA171" s="1">
        <f t="shared" si="76"/>
        <v>0</v>
      </c>
      <c r="AC171" s="1">
        <f t="shared" si="77"/>
        <v>0</v>
      </c>
      <c r="AD171" s="1">
        <f t="shared" si="78"/>
        <v>0</v>
      </c>
      <c r="AE171" s="1">
        <f t="shared" si="79"/>
        <v>0</v>
      </c>
      <c r="AF171" s="1">
        <f t="shared" si="80"/>
        <v>0</v>
      </c>
      <c r="AG171" s="1">
        <f t="shared" si="81"/>
        <v>0</v>
      </c>
      <c r="AH171" s="1">
        <f t="shared" si="82"/>
        <v>1</v>
      </c>
    </row>
    <row r="172" spans="1:34" ht="14.25" customHeight="1" x14ac:dyDescent="0.25">
      <c r="A172" s="47">
        <v>0</v>
      </c>
      <c r="B172" s="47">
        <v>1</v>
      </c>
      <c r="C172" s="47">
        <v>4</v>
      </c>
      <c r="D172" s="48" t="s">
        <v>135</v>
      </c>
      <c r="E172" s="48" t="s">
        <v>179</v>
      </c>
      <c r="F172" s="48" t="s">
        <v>339</v>
      </c>
      <c r="G172" s="48" t="s">
        <v>215</v>
      </c>
      <c r="H172" s="48" t="s">
        <v>358</v>
      </c>
      <c r="I172" s="47" t="s">
        <v>488</v>
      </c>
      <c r="J172" s="47">
        <v>1</v>
      </c>
      <c r="K172" s="49" t="s">
        <v>964</v>
      </c>
      <c r="L172" s="49" t="s">
        <v>697</v>
      </c>
      <c r="M172" s="50" t="s">
        <v>699</v>
      </c>
      <c r="N172" s="50" t="s">
        <v>1751</v>
      </c>
      <c r="O172" s="51"/>
      <c r="P172" s="51"/>
      <c r="R172" s="1">
        <f t="shared" si="67"/>
        <v>1</v>
      </c>
      <c r="S172" s="1">
        <f t="shared" si="68"/>
        <v>0</v>
      </c>
      <c r="T172" s="1">
        <f t="shared" si="69"/>
        <v>0</v>
      </c>
      <c r="U172" s="1">
        <f t="shared" si="70"/>
        <v>0</v>
      </c>
      <c r="V172" s="1">
        <f t="shared" si="71"/>
        <v>0</v>
      </c>
      <c r="W172" s="1">
        <f t="shared" si="72"/>
        <v>0</v>
      </c>
      <c r="X172" s="1">
        <f t="shared" si="73"/>
        <v>0</v>
      </c>
      <c r="Y172" s="1">
        <f t="shared" si="74"/>
        <v>0</v>
      </c>
      <c r="Z172" s="1">
        <f t="shared" si="75"/>
        <v>0</v>
      </c>
      <c r="AA172" s="1">
        <f t="shared" si="76"/>
        <v>0</v>
      </c>
      <c r="AC172" s="1">
        <f t="shared" si="77"/>
        <v>0</v>
      </c>
      <c r="AD172" s="1">
        <f t="shared" si="78"/>
        <v>0</v>
      </c>
      <c r="AE172" s="1">
        <f t="shared" si="79"/>
        <v>0</v>
      </c>
      <c r="AF172" s="1">
        <f t="shared" si="80"/>
        <v>0</v>
      </c>
      <c r="AG172" s="1">
        <f t="shared" si="81"/>
        <v>0</v>
      </c>
      <c r="AH172" s="1">
        <f t="shared" si="82"/>
        <v>1</v>
      </c>
    </row>
    <row r="173" spans="1:34" ht="14.25" customHeight="1" x14ac:dyDescent="0.25">
      <c r="A173" s="15">
        <v>0</v>
      </c>
      <c r="B173" s="15">
        <v>1</v>
      </c>
      <c r="C173" s="15">
        <v>4</v>
      </c>
      <c r="D173" s="16" t="s">
        <v>892</v>
      </c>
      <c r="E173" s="16" t="s">
        <v>780</v>
      </c>
      <c r="F173" s="16" t="s">
        <v>893</v>
      </c>
      <c r="G173" s="16" t="s">
        <v>39</v>
      </c>
      <c r="H173" s="16" t="s">
        <v>894</v>
      </c>
      <c r="I173" s="15" t="s">
        <v>958</v>
      </c>
      <c r="J173" s="15">
        <v>17</v>
      </c>
      <c r="K173" s="10" t="s">
        <v>711</v>
      </c>
      <c r="L173" s="10" t="s">
        <v>1154</v>
      </c>
      <c r="M173" s="19" t="s">
        <v>980</v>
      </c>
      <c r="N173" s="17"/>
      <c r="R173" s="1">
        <f t="shared" si="67"/>
        <v>0</v>
      </c>
      <c r="S173" s="1">
        <f t="shared" si="68"/>
        <v>0</v>
      </c>
      <c r="T173" s="1">
        <f t="shared" si="69"/>
        <v>0</v>
      </c>
      <c r="U173" s="1">
        <f t="shared" si="70"/>
        <v>0</v>
      </c>
      <c r="V173" s="1">
        <f t="shared" si="71"/>
        <v>0</v>
      </c>
      <c r="W173" s="1">
        <f t="shared" si="72"/>
        <v>0</v>
      </c>
      <c r="X173" s="1">
        <f t="shared" si="73"/>
        <v>0</v>
      </c>
      <c r="Y173" s="1">
        <f t="shared" si="74"/>
        <v>0</v>
      </c>
      <c r="Z173" s="1">
        <f t="shared" si="75"/>
        <v>0</v>
      </c>
      <c r="AA173" s="1">
        <f t="shared" si="76"/>
        <v>0</v>
      </c>
      <c r="AC173" s="1">
        <f t="shared" si="77"/>
        <v>0</v>
      </c>
      <c r="AD173" s="1">
        <f t="shared" si="78"/>
        <v>0</v>
      </c>
      <c r="AE173" s="1">
        <f t="shared" si="79"/>
        <v>0</v>
      </c>
      <c r="AF173" s="1">
        <f t="shared" si="80"/>
        <v>0</v>
      </c>
      <c r="AG173" s="1">
        <f t="shared" si="81"/>
        <v>0</v>
      </c>
      <c r="AH173" s="1">
        <f t="shared" si="82"/>
        <v>1</v>
      </c>
    </row>
    <row r="174" spans="1:34" ht="14.25" customHeight="1" x14ac:dyDescent="0.25">
      <c r="A174" s="47">
        <v>0</v>
      </c>
      <c r="B174" s="47">
        <v>1</v>
      </c>
      <c r="C174" s="47">
        <v>5</v>
      </c>
      <c r="D174" s="48" t="s">
        <v>127</v>
      </c>
      <c r="E174" s="48" t="s">
        <v>532</v>
      </c>
      <c r="F174" s="48" t="s">
        <v>330</v>
      </c>
      <c r="G174" s="48" t="s">
        <v>303</v>
      </c>
      <c r="H174" s="48" t="s">
        <v>358</v>
      </c>
      <c r="I174" s="47" t="s">
        <v>480</v>
      </c>
      <c r="J174" s="47">
        <v>99</v>
      </c>
      <c r="K174" s="49" t="s">
        <v>710</v>
      </c>
      <c r="L174" s="49" t="s">
        <v>697</v>
      </c>
      <c r="M174" s="50" t="s">
        <v>978</v>
      </c>
      <c r="N174" s="50" t="s">
        <v>1753</v>
      </c>
      <c r="O174" s="51"/>
      <c r="P174" s="51"/>
      <c r="R174" s="1">
        <f t="shared" si="67"/>
        <v>0</v>
      </c>
      <c r="S174" s="1">
        <f t="shared" si="68"/>
        <v>0</v>
      </c>
      <c r="T174" s="1">
        <f t="shared" si="69"/>
        <v>0</v>
      </c>
      <c r="U174" s="1">
        <f t="shared" si="70"/>
        <v>0</v>
      </c>
      <c r="V174" s="1">
        <f t="shared" si="71"/>
        <v>0</v>
      </c>
      <c r="W174" s="1">
        <f t="shared" si="72"/>
        <v>0</v>
      </c>
      <c r="X174" s="1">
        <f t="shared" si="73"/>
        <v>0</v>
      </c>
      <c r="Y174" s="1">
        <f t="shared" si="74"/>
        <v>0</v>
      </c>
      <c r="Z174" s="1">
        <f t="shared" si="75"/>
        <v>0</v>
      </c>
      <c r="AA174" s="1">
        <f t="shared" si="76"/>
        <v>0</v>
      </c>
      <c r="AC174" s="1">
        <f t="shared" si="77"/>
        <v>0</v>
      </c>
      <c r="AD174" s="1">
        <f t="shared" si="78"/>
        <v>0</v>
      </c>
      <c r="AE174" s="1">
        <f t="shared" si="79"/>
        <v>0</v>
      </c>
      <c r="AF174" s="1">
        <f t="shared" si="80"/>
        <v>0</v>
      </c>
      <c r="AG174" s="1">
        <f t="shared" si="81"/>
        <v>0</v>
      </c>
      <c r="AH174" s="1">
        <f t="shared" si="82"/>
        <v>1</v>
      </c>
    </row>
    <row r="175" spans="1:34" ht="14.25" customHeight="1" x14ac:dyDescent="0.25">
      <c r="A175" s="34">
        <v>0</v>
      </c>
      <c r="B175" s="34">
        <v>1</v>
      </c>
      <c r="C175" s="34">
        <v>5</v>
      </c>
      <c r="D175" s="35" t="s">
        <v>1745</v>
      </c>
      <c r="E175" s="35" t="s">
        <v>168</v>
      </c>
      <c r="F175" s="35" t="s">
        <v>1746</v>
      </c>
      <c r="G175" s="35" t="s">
        <v>1747</v>
      </c>
      <c r="H175" s="35" t="s">
        <v>358</v>
      </c>
      <c r="I175" s="34" t="s">
        <v>1748</v>
      </c>
      <c r="J175" s="34">
        <v>2</v>
      </c>
      <c r="K175" s="36" t="s">
        <v>711</v>
      </c>
      <c r="L175" s="36"/>
      <c r="M175" s="37"/>
      <c r="N175" s="37" t="s">
        <v>1749</v>
      </c>
      <c r="O175" s="38">
        <v>1</v>
      </c>
      <c r="P175" s="38">
        <v>1</v>
      </c>
      <c r="R175" s="1">
        <f t="shared" si="67"/>
        <v>0</v>
      </c>
      <c r="S175" s="1">
        <f t="shared" si="68"/>
        <v>1</v>
      </c>
      <c r="T175" s="1">
        <f t="shared" si="69"/>
        <v>0</v>
      </c>
      <c r="U175" s="1">
        <f t="shared" si="70"/>
        <v>0</v>
      </c>
      <c r="V175" s="1">
        <f t="shared" si="71"/>
        <v>0</v>
      </c>
      <c r="W175" s="1">
        <f t="shared" si="72"/>
        <v>0</v>
      </c>
      <c r="X175" s="1">
        <f t="shared" si="73"/>
        <v>0</v>
      </c>
      <c r="Y175" s="1">
        <f t="shared" si="74"/>
        <v>0</v>
      </c>
      <c r="Z175" s="1">
        <f t="shared" si="75"/>
        <v>0</v>
      </c>
      <c r="AA175" s="1">
        <f t="shared" si="76"/>
        <v>0</v>
      </c>
      <c r="AC175" s="1">
        <f t="shared" si="77"/>
        <v>1</v>
      </c>
      <c r="AD175" s="1">
        <f t="shared" si="78"/>
        <v>0</v>
      </c>
      <c r="AE175" s="1">
        <f t="shared" si="79"/>
        <v>1</v>
      </c>
      <c r="AF175" s="1">
        <f t="shared" si="80"/>
        <v>0</v>
      </c>
      <c r="AG175" s="1">
        <f t="shared" si="81"/>
        <v>1</v>
      </c>
      <c r="AH175" s="1">
        <f t="shared" si="82"/>
        <v>0</v>
      </c>
    </row>
    <row r="176" spans="1:34" ht="14.25" customHeight="1" x14ac:dyDescent="0.25">
      <c r="A176" s="47">
        <v>0</v>
      </c>
      <c r="B176" s="47">
        <v>1</v>
      </c>
      <c r="C176" s="47">
        <v>5</v>
      </c>
      <c r="D176" s="48" t="s">
        <v>88</v>
      </c>
      <c r="E176" s="48" t="s">
        <v>168</v>
      </c>
      <c r="F176" s="48" t="s">
        <v>583</v>
      </c>
      <c r="G176" s="48" t="s">
        <v>196</v>
      </c>
      <c r="H176" s="48" t="s">
        <v>358</v>
      </c>
      <c r="I176" s="47" t="s">
        <v>441</v>
      </c>
      <c r="J176" s="47">
        <v>9</v>
      </c>
      <c r="K176" s="49" t="s">
        <v>964</v>
      </c>
      <c r="L176" s="49" t="s">
        <v>704</v>
      </c>
      <c r="M176" s="50" t="s">
        <v>699</v>
      </c>
      <c r="N176" s="50" t="s">
        <v>1751</v>
      </c>
      <c r="O176" s="51"/>
      <c r="P176" s="51"/>
      <c r="R176" s="1">
        <f t="shared" si="67"/>
        <v>0</v>
      </c>
      <c r="S176" s="1">
        <f t="shared" si="68"/>
        <v>0</v>
      </c>
      <c r="T176" s="1">
        <f t="shared" si="69"/>
        <v>0</v>
      </c>
      <c r="U176" s="1">
        <f t="shared" si="70"/>
        <v>0</v>
      </c>
      <c r="V176" s="1">
        <f t="shared" si="71"/>
        <v>0</v>
      </c>
      <c r="W176" s="1">
        <f t="shared" si="72"/>
        <v>0</v>
      </c>
      <c r="X176" s="1">
        <f t="shared" si="73"/>
        <v>0</v>
      </c>
      <c r="Y176" s="1">
        <f t="shared" si="74"/>
        <v>0</v>
      </c>
      <c r="Z176" s="1">
        <f t="shared" si="75"/>
        <v>1</v>
      </c>
      <c r="AA176" s="1">
        <f t="shared" si="76"/>
        <v>0</v>
      </c>
      <c r="AC176" s="1">
        <f t="shared" si="77"/>
        <v>0</v>
      </c>
      <c r="AD176" s="1">
        <f t="shared" si="78"/>
        <v>0</v>
      </c>
      <c r="AE176" s="1">
        <f t="shared" si="79"/>
        <v>0</v>
      </c>
      <c r="AF176" s="1">
        <f t="shared" si="80"/>
        <v>0</v>
      </c>
      <c r="AG176" s="1">
        <f t="shared" si="81"/>
        <v>0</v>
      </c>
      <c r="AH176" s="1">
        <f t="shared" si="82"/>
        <v>1</v>
      </c>
    </row>
    <row r="177" spans="1:34" ht="14.25" customHeight="1" x14ac:dyDescent="0.25">
      <c r="A177" s="47">
        <v>0</v>
      </c>
      <c r="B177" s="47">
        <v>1</v>
      </c>
      <c r="C177" s="47">
        <v>5</v>
      </c>
      <c r="D177" s="48" t="s">
        <v>128</v>
      </c>
      <c r="E177" s="48" t="s">
        <v>168</v>
      </c>
      <c r="F177" s="48" t="s">
        <v>331</v>
      </c>
      <c r="G177" s="48" t="s">
        <v>182</v>
      </c>
      <c r="H177" s="48" t="s">
        <v>358</v>
      </c>
      <c r="I177" s="47" t="s">
        <v>481</v>
      </c>
      <c r="J177" s="47">
        <v>10</v>
      </c>
      <c r="K177" s="49" t="s">
        <v>966</v>
      </c>
      <c r="L177" s="49" t="s">
        <v>702</v>
      </c>
      <c r="M177" s="50" t="s">
        <v>699</v>
      </c>
      <c r="N177" s="50" t="s">
        <v>1756</v>
      </c>
      <c r="O177" s="51"/>
      <c r="P177" s="51"/>
      <c r="R177" s="1">
        <f t="shared" si="67"/>
        <v>0</v>
      </c>
      <c r="S177" s="1">
        <f t="shared" si="68"/>
        <v>0</v>
      </c>
      <c r="T177" s="1">
        <f t="shared" si="69"/>
        <v>0</v>
      </c>
      <c r="U177" s="1">
        <f t="shared" si="70"/>
        <v>0</v>
      </c>
      <c r="V177" s="1">
        <f t="shared" si="71"/>
        <v>0</v>
      </c>
      <c r="W177" s="1">
        <f t="shared" si="72"/>
        <v>0</v>
      </c>
      <c r="X177" s="1">
        <f t="shared" si="73"/>
        <v>0</v>
      </c>
      <c r="Y177" s="1">
        <f t="shared" si="74"/>
        <v>0</v>
      </c>
      <c r="Z177" s="1">
        <f t="shared" si="75"/>
        <v>0</v>
      </c>
      <c r="AA177" s="1">
        <f t="shared" si="76"/>
        <v>1</v>
      </c>
      <c r="AC177" s="1">
        <f t="shared" si="77"/>
        <v>0</v>
      </c>
      <c r="AD177" s="1">
        <f t="shared" si="78"/>
        <v>0</v>
      </c>
      <c r="AE177" s="1">
        <f t="shared" si="79"/>
        <v>0</v>
      </c>
      <c r="AF177" s="1">
        <f t="shared" si="80"/>
        <v>0</v>
      </c>
      <c r="AG177" s="1">
        <f t="shared" si="81"/>
        <v>0</v>
      </c>
      <c r="AH177" s="1">
        <f t="shared" si="82"/>
        <v>1</v>
      </c>
    </row>
    <row r="178" spans="1:34" ht="14.25" customHeight="1" x14ac:dyDescent="0.25">
      <c r="A178" s="47">
        <v>0</v>
      </c>
      <c r="B178" s="47">
        <v>1</v>
      </c>
      <c r="C178" s="47">
        <v>5</v>
      </c>
      <c r="D178" s="48" t="s">
        <v>138</v>
      </c>
      <c r="E178" s="48" t="s">
        <v>168</v>
      </c>
      <c r="F178" s="48" t="s">
        <v>554</v>
      </c>
      <c r="G178" s="48" t="s">
        <v>222</v>
      </c>
      <c r="H178" s="48" t="s">
        <v>358</v>
      </c>
      <c r="I178" s="47" t="s">
        <v>546</v>
      </c>
      <c r="J178" s="47">
        <v>8</v>
      </c>
      <c r="K178" s="49" t="s">
        <v>964</v>
      </c>
      <c r="L178" s="49" t="s">
        <v>702</v>
      </c>
      <c r="M178" s="50" t="s">
        <v>699</v>
      </c>
      <c r="N178" s="50" t="s">
        <v>1751</v>
      </c>
      <c r="O178" s="51"/>
      <c r="P178" s="51"/>
      <c r="R178" s="1">
        <f t="shared" si="67"/>
        <v>0</v>
      </c>
      <c r="S178" s="1">
        <f t="shared" si="68"/>
        <v>0</v>
      </c>
      <c r="T178" s="1">
        <f t="shared" si="69"/>
        <v>0</v>
      </c>
      <c r="U178" s="1">
        <f t="shared" si="70"/>
        <v>0</v>
      </c>
      <c r="V178" s="1">
        <f t="shared" si="71"/>
        <v>0</v>
      </c>
      <c r="W178" s="1">
        <f t="shared" si="72"/>
        <v>0</v>
      </c>
      <c r="X178" s="1">
        <f t="shared" si="73"/>
        <v>0</v>
      </c>
      <c r="Y178" s="1">
        <f t="shared" si="74"/>
        <v>1</v>
      </c>
      <c r="Z178" s="1">
        <f t="shared" si="75"/>
        <v>0</v>
      </c>
      <c r="AA178" s="1">
        <f t="shared" si="76"/>
        <v>0</v>
      </c>
      <c r="AC178" s="1">
        <f t="shared" si="77"/>
        <v>0</v>
      </c>
      <c r="AD178" s="1">
        <f t="shared" si="78"/>
        <v>0</v>
      </c>
      <c r="AE178" s="1">
        <f t="shared" si="79"/>
        <v>0</v>
      </c>
      <c r="AF178" s="1">
        <f t="shared" si="80"/>
        <v>0</v>
      </c>
      <c r="AG178" s="1">
        <f t="shared" si="81"/>
        <v>0</v>
      </c>
      <c r="AH178" s="1">
        <f t="shared" si="82"/>
        <v>1</v>
      </c>
    </row>
    <row r="179" spans="1:34" ht="14.25" customHeight="1" x14ac:dyDescent="0.25">
      <c r="A179" s="47">
        <v>1</v>
      </c>
      <c r="B179" s="47">
        <v>1</v>
      </c>
      <c r="C179" s="47">
        <v>5</v>
      </c>
      <c r="D179" s="48" t="s">
        <v>138</v>
      </c>
      <c r="E179" s="48" t="s">
        <v>168</v>
      </c>
      <c r="F179" s="48" t="s">
        <v>341</v>
      </c>
      <c r="G179" s="48" t="s">
        <v>342</v>
      </c>
      <c r="H179" s="48" t="s">
        <v>358</v>
      </c>
      <c r="I179" s="47" t="s">
        <v>490</v>
      </c>
      <c r="J179" s="47">
        <v>10</v>
      </c>
      <c r="K179" s="49" t="s">
        <v>964</v>
      </c>
      <c r="L179" s="49" t="s">
        <v>702</v>
      </c>
      <c r="M179" s="50" t="s">
        <v>699</v>
      </c>
      <c r="N179" s="50" t="s">
        <v>1751</v>
      </c>
      <c r="O179" s="51"/>
      <c r="P179" s="51"/>
      <c r="R179" s="1">
        <f t="shared" si="67"/>
        <v>0</v>
      </c>
      <c r="S179" s="1">
        <f t="shared" si="68"/>
        <v>0</v>
      </c>
      <c r="T179" s="1">
        <f t="shared" si="69"/>
        <v>0</v>
      </c>
      <c r="U179" s="1">
        <f t="shared" si="70"/>
        <v>0</v>
      </c>
      <c r="V179" s="1">
        <f t="shared" si="71"/>
        <v>0</v>
      </c>
      <c r="W179" s="1">
        <f t="shared" si="72"/>
        <v>0</v>
      </c>
      <c r="X179" s="1">
        <f t="shared" si="73"/>
        <v>0</v>
      </c>
      <c r="Y179" s="1">
        <f t="shared" si="74"/>
        <v>0</v>
      </c>
      <c r="Z179" s="1">
        <f t="shared" si="75"/>
        <v>0</v>
      </c>
      <c r="AA179" s="1">
        <f t="shared" si="76"/>
        <v>1</v>
      </c>
      <c r="AC179" s="1">
        <f t="shared" si="77"/>
        <v>0</v>
      </c>
      <c r="AD179" s="1">
        <f t="shared" si="78"/>
        <v>0</v>
      </c>
      <c r="AE179" s="1">
        <f t="shared" si="79"/>
        <v>0</v>
      </c>
      <c r="AF179" s="1">
        <f t="shared" si="80"/>
        <v>0</v>
      </c>
      <c r="AG179" s="1">
        <f t="shared" si="81"/>
        <v>0</v>
      </c>
      <c r="AH179" s="1">
        <f t="shared" si="82"/>
        <v>0</v>
      </c>
    </row>
    <row r="180" spans="1:34" ht="14.25" customHeight="1" x14ac:dyDescent="0.25">
      <c r="A180" s="47">
        <v>0</v>
      </c>
      <c r="B180" s="47">
        <v>1</v>
      </c>
      <c r="C180" s="47">
        <v>5</v>
      </c>
      <c r="D180" s="48" t="s">
        <v>1653</v>
      </c>
      <c r="E180" s="48" t="s">
        <v>168</v>
      </c>
      <c r="F180" s="48" t="s">
        <v>873</v>
      </c>
      <c r="G180" s="48" t="s">
        <v>1680</v>
      </c>
      <c r="H180" s="48" t="s">
        <v>358</v>
      </c>
      <c r="I180" s="47" t="s">
        <v>874</v>
      </c>
      <c r="J180" s="47">
        <v>1</v>
      </c>
      <c r="K180" s="49" t="s">
        <v>730</v>
      </c>
      <c r="L180" s="49" t="s">
        <v>1723</v>
      </c>
      <c r="M180" s="50" t="s">
        <v>1415</v>
      </c>
      <c r="N180" s="50" t="s">
        <v>1751</v>
      </c>
      <c r="O180" s="51"/>
      <c r="P180" s="51"/>
      <c r="R180" s="1">
        <f t="shared" si="67"/>
        <v>1</v>
      </c>
      <c r="S180" s="1">
        <f t="shared" si="68"/>
        <v>0</v>
      </c>
      <c r="T180" s="1">
        <f t="shared" si="69"/>
        <v>0</v>
      </c>
      <c r="U180" s="1">
        <f t="shared" si="70"/>
        <v>0</v>
      </c>
      <c r="V180" s="1">
        <f t="shared" si="71"/>
        <v>0</v>
      </c>
      <c r="W180" s="1">
        <f t="shared" si="72"/>
        <v>0</v>
      </c>
      <c r="X180" s="1">
        <f t="shared" si="73"/>
        <v>0</v>
      </c>
      <c r="Y180" s="1">
        <f t="shared" si="74"/>
        <v>0</v>
      </c>
      <c r="Z180" s="1">
        <f t="shared" si="75"/>
        <v>0</v>
      </c>
      <c r="AA180" s="1">
        <f t="shared" si="76"/>
        <v>0</v>
      </c>
      <c r="AC180" s="1">
        <f t="shared" si="77"/>
        <v>0</v>
      </c>
      <c r="AD180" s="1">
        <f t="shared" si="78"/>
        <v>0</v>
      </c>
      <c r="AE180" s="1">
        <f t="shared" si="79"/>
        <v>0</v>
      </c>
      <c r="AF180" s="1">
        <f t="shared" si="80"/>
        <v>0</v>
      </c>
      <c r="AG180" s="1">
        <f t="shared" si="81"/>
        <v>0</v>
      </c>
      <c r="AH180" s="1">
        <f t="shared" si="82"/>
        <v>1</v>
      </c>
    </row>
    <row r="181" spans="1:34" ht="14.25" customHeight="1" x14ac:dyDescent="0.25">
      <c r="A181" s="34">
        <v>0</v>
      </c>
      <c r="B181" s="34">
        <v>1</v>
      </c>
      <c r="C181" s="34">
        <v>5</v>
      </c>
      <c r="D181" s="35" t="s">
        <v>895</v>
      </c>
      <c r="E181" s="35" t="s">
        <v>896</v>
      </c>
      <c r="F181" s="35" t="s">
        <v>1103</v>
      </c>
      <c r="G181" s="35" t="s">
        <v>39</v>
      </c>
      <c r="H181" s="35" t="s">
        <v>897</v>
      </c>
      <c r="I181" s="34" t="s">
        <v>898</v>
      </c>
      <c r="J181" s="34">
        <v>16</v>
      </c>
      <c r="K181" s="36" t="s">
        <v>711</v>
      </c>
      <c r="L181" s="36" t="s">
        <v>700</v>
      </c>
      <c r="M181" s="37" t="s">
        <v>978</v>
      </c>
      <c r="N181" s="37" t="s">
        <v>1749</v>
      </c>
      <c r="O181" s="38">
        <v>1</v>
      </c>
      <c r="P181" s="38">
        <v>1</v>
      </c>
      <c r="R181" s="1">
        <f t="shared" si="67"/>
        <v>0</v>
      </c>
      <c r="S181" s="1">
        <f t="shared" si="68"/>
        <v>0</v>
      </c>
      <c r="T181" s="1">
        <f t="shared" si="69"/>
        <v>0</v>
      </c>
      <c r="U181" s="1">
        <f t="shared" si="70"/>
        <v>0</v>
      </c>
      <c r="V181" s="1">
        <f t="shared" si="71"/>
        <v>0</v>
      </c>
      <c r="W181" s="1">
        <f t="shared" si="72"/>
        <v>0</v>
      </c>
      <c r="X181" s="1">
        <f t="shared" si="73"/>
        <v>0</v>
      </c>
      <c r="Y181" s="1">
        <f t="shared" si="74"/>
        <v>0</v>
      </c>
      <c r="Z181" s="1">
        <f t="shared" si="75"/>
        <v>0</v>
      </c>
      <c r="AA181" s="1">
        <f t="shared" si="76"/>
        <v>0</v>
      </c>
      <c r="AC181" s="1">
        <f t="shared" si="77"/>
        <v>1</v>
      </c>
      <c r="AD181" s="1">
        <f t="shared" si="78"/>
        <v>0</v>
      </c>
      <c r="AE181" s="1">
        <f t="shared" si="79"/>
        <v>1</v>
      </c>
      <c r="AF181" s="1">
        <f t="shared" si="80"/>
        <v>0</v>
      </c>
      <c r="AG181" s="1">
        <f t="shared" si="81"/>
        <v>1</v>
      </c>
      <c r="AH181" s="1">
        <f t="shared" si="82"/>
        <v>0</v>
      </c>
    </row>
    <row r="182" spans="1:34" ht="14.25" customHeight="1" x14ac:dyDescent="0.25">
      <c r="A182" s="34">
        <v>0</v>
      </c>
      <c r="B182" s="34">
        <v>1</v>
      </c>
      <c r="C182" s="34">
        <v>5</v>
      </c>
      <c r="D182" s="35" t="s">
        <v>107</v>
      </c>
      <c r="E182" s="35" t="s">
        <v>175</v>
      </c>
      <c r="F182" s="35" t="s">
        <v>307</v>
      </c>
      <c r="G182" s="35" t="s">
        <v>39</v>
      </c>
      <c r="H182" s="35" t="s">
        <v>363</v>
      </c>
      <c r="I182" s="34" t="s">
        <v>458</v>
      </c>
      <c r="J182" s="34">
        <v>14</v>
      </c>
      <c r="K182" s="36" t="s">
        <v>964</v>
      </c>
      <c r="L182" s="36" t="s">
        <v>701</v>
      </c>
      <c r="M182" s="37" t="s">
        <v>978</v>
      </c>
      <c r="N182" s="37" t="s">
        <v>1759</v>
      </c>
      <c r="O182" s="38">
        <v>1</v>
      </c>
      <c r="P182" s="38"/>
      <c r="R182" s="1">
        <f t="shared" si="67"/>
        <v>0</v>
      </c>
      <c r="S182" s="1">
        <f t="shared" si="68"/>
        <v>0</v>
      </c>
      <c r="T182" s="1">
        <f t="shared" si="69"/>
        <v>0</v>
      </c>
      <c r="U182" s="1">
        <f t="shared" si="70"/>
        <v>0</v>
      </c>
      <c r="V182" s="1">
        <f t="shared" si="71"/>
        <v>0</v>
      </c>
      <c r="W182" s="1">
        <f t="shared" si="72"/>
        <v>0</v>
      </c>
      <c r="X182" s="1">
        <f t="shared" si="73"/>
        <v>0</v>
      </c>
      <c r="Y182" s="1">
        <f t="shared" si="74"/>
        <v>0</v>
      </c>
      <c r="Z182" s="1">
        <f t="shared" si="75"/>
        <v>0</v>
      </c>
      <c r="AA182" s="1">
        <f t="shared" si="76"/>
        <v>0</v>
      </c>
      <c r="AC182" s="1">
        <f t="shared" si="77"/>
        <v>0</v>
      </c>
      <c r="AD182" s="1">
        <f t="shared" si="78"/>
        <v>1</v>
      </c>
      <c r="AE182" s="1">
        <f t="shared" si="79"/>
        <v>0</v>
      </c>
      <c r="AF182" s="1">
        <f t="shared" si="80"/>
        <v>1</v>
      </c>
      <c r="AG182" s="1">
        <f t="shared" si="81"/>
        <v>0</v>
      </c>
      <c r="AH182" s="1">
        <f t="shared" si="82"/>
        <v>1</v>
      </c>
    </row>
    <row r="183" spans="1:34" ht="14.25" customHeight="1" x14ac:dyDescent="0.25">
      <c r="A183" s="47">
        <v>0</v>
      </c>
      <c r="B183" s="47">
        <v>1</v>
      </c>
      <c r="C183" s="47">
        <v>5</v>
      </c>
      <c r="D183" s="48" t="s">
        <v>519</v>
      </c>
      <c r="E183" s="48" t="s">
        <v>174</v>
      </c>
      <c r="F183" s="48" t="s">
        <v>555</v>
      </c>
      <c r="G183" s="48" t="s">
        <v>39</v>
      </c>
      <c r="H183" s="48" t="s">
        <v>366</v>
      </c>
      <c r="I183" s="47" t="s">
        <v>1125</v>
      </c>
      <c r="J183" s="47">
        <v>12</v>
      </c>
      <c r="K183" s="49" t="s">
        <v>711</v>
      </c>
      <c r="L183" s="49">
        <v>35</v>
      </c>
      <c r="M183" s="50" t="s">
        <v>978</v>
      </c>
      <c r="N183" s="50" t="s">
        <v>1818</v>
      </c>
      <c r="O183" s="51"/>
      <c r="P183" s="51"/>
      <c r="R183" s="1">
        <f t="shared" si="67"/>
        <v>0</v>
      </c>
      <c r="S183" s="1">
        <f t="shared" si="68"/>
        <v>0</v>
      </c>
      <c r="T183" s="1">
        <f t="shared" si="69"/>
        <v>0</v>
      </c>
      <c r="U183" s="1">
        <f t="shared" si="70"/>
        <v>0</v>
      </c>
      <c r="V183" s="1">
        <f t="shared" si="71"/>
        <v>0</v>
      </c>
      <c r="W183" s="1">
        <f t="shared" si="72"/>
        <v>0</v>
      </c>
      <c r="X183" s="1">
        <f t="shared" si="73"/>
        <v>0</v>
      </c>
      <c r="Y183" s="1">
        <f t="shared" si="74"/>
        <v>0</v>
      </c>
      <c r="Z183" s="1">
        <f t="shared" si="75"/>
        <v>0</v>
      </c>
      <c r="AA183" s="1">
        <f t="shared" si="76"/>
        <v>0</v>
      </c>
      <c r="AC183" s="1">
        <f t="shared" si="77"/>
        <v>0</v>
      </c>
      <c r="AD183" s="1">
        <f t="shared" si="78"/>
        <v>0</v>
      </c>
      <c r="AE183" s="1">
        <f t="shared" si="79"/>
        <v>0</v>
      </c>
      <c r="AF183" s="1">
        <f t="shared" si="80"/>
        <v>0</v>
      </c>
      <c r="AG183" s="1">
        <f t="shared" si="81"/>
        <v>0</v>
      </c>
      <c r="AH183" s="1">
        <f t="shared" si="82"/>
        <v>1</v>
      </c>
    </row>
    <row r="184" spans="1:34" ht="14.25" customHeight="1" x14ac:dyDescent="0.25">
      <c r="A184" s="34">
        <v>0</v>
      </c>
      <c r="B184" s="34">
        <v>1</v>
      </c>
      <c r="C184" s="34">
        <v>5</v>
      </c>
      <c r="D184" s="35" t="s">
        <v>153</v>
      </c>
      <c r="E184" s="35" t="s">
        <v>168</v>
      </c>
      <c r="F184" s="39" t="s">
        <v>1887</v>
      </c>
      <c r="G184" s="35" t="s">
        <v>199</v>
      </c>
      <c r="H184" s="35" t="s">
        <v>358</v>
      </c>
      <c r="I184" s="34" t="s">
        <v>504</v>
      </c>
      <c r="J184" s="34">
        <v>99</v>
      </c>
      <c r="K184" s="36" t="s">
        <v>964</v>
      </c>
      <c r="L184" s="36" t="s">
        <v>701</v>
      </c>
      <c r="M184" s="37" t="s">
        <v>978</v>
      </c>
      <c r="N184" s="37" t="s">
        <v>1764</v>
      </c>
      <c r="O184" s="38">
        <v>1</v>
      </c>
      <c r="P184" s="38"/>
      <c r="R184" s="1">
        <f t="shared" si="67"/>
        <v>0</v>
      </c>
      <c r="S184" s="1">
        <f t="shared" si="68"/>
        <v>0</v>
      </c>
      <c r="T184" s="1">
        <f t="shared" si="69"/>
        <v>0</v>
      </c>
      <c r="U184" s="1">
        <f t="shared" si="70"/>
        <v>0</v>
      </c>
      <c r="V184" s="1">
        <f t="shared" si="71"/>
        <v>0</v>
      </c>
      <c r="W184" s="1">
        <f t="shared" si="72"/>
        <v>0</v>
      </c>
      <c r="X184" s="1">
        <f t="shared" si="73"/>
        <v>0</v>
      </c>
      <c r="Y184" s="1">
        <f t="shared" si="74"/>
        <v>0</v>
      </c>
      <c r="Z184" s="1">
        <f t="shared" si="75"/>
        <v>0</v>
      </c>
      <c r="AA184" s="1">
        <f t="shared" si="76"/>
        <v>0</v>
      </c>
      <c r="AC184" s="1">
        <f t="shared" si="77"/>
        <v>0</v>
      </c>
      <c r="AD184" s="1">
        <f t="shared" si="78"/>
        <v>1</v>
      </c>
      <c r="AE184" s="1">
        <f t="shared" si="79"/>
        <v>0</v>
      </c>
      <c r="AF184" s="1">
        <f t="shared" si="80"/>
        <v>1</v>
      </c>
      <c r="AG184" s="1">
        <f t="shared" si="81"/>
        <v>0</v>
      </c>
      <c r="AH184" s="1">
        <f t="shared" si="82"/>
        <v>1</v>
      </c>
    </row>
    <row r="185" spans="1:34" ht="13.9" customHeight="1" x14ac:dyDescent="0.25">
      <c r="A185" s="47">
        <v>0</v>
      </c>
      <c r="B185" s="47">
        <v>1</v>
      </c>
      <c r="C185" s="47">
        <v>5</v>
      </c>
      <c r="D185" s="48" t="s">
        <v>655</v>
      </c>
      <c r="E185" s="48" t="s">
        <v>691</v>
      </c>
      <c r="F185" s="48" t="s">
        <v>651</v>
      </c>
      <c r="G185" s="48" t="s">
        <v>187</v>
      </c>
      <c r="H185" s="48" t="s">
        <v>358</v>
      </c>
      <c r="I185" s="47" t="s">
        <v>652</v>
      </c>
      <c r="J185" s="47">
        <v>99</v>
      </c>
      <c r="K185" s="49" t="s">
        <v>730</v>
      </c>
      <c r="L185" s="49" t="s">
        <v>701</v>
      </c>
      <c r="M185" s="50" t="s">
        <v>978</v>
      </c>
      <c r="N185" s="50" t="s">
        <v>1750</v>
      </c>
      <c r="O185" s="51"/>
      <c r="P185" s="51"/>
      <c r="R185" s="1">
        <f t="shared" si="67"/>
        <v>0</v>
      </c>
      <c r="S185" s="1">
        <f t="shared" si="68"/>
        <v>0</v>
      </c>
      <c r="T185" s="1">
        <f t="shared" si="69"/>
        <v>0</v>
      </c>
      <c r="U185" s="1">
        <f t="shared" si="70"/>
        <v>0</v>
      </c>
      <c r="V185" s="1">
        <f t="shared" si="71"/>
        <v>0</v>
      </c>
      <c r="W185" s="1">
        <f t="shared" si="72"/>
        <v>0</v>
      </c>
      <c r="X185" s="1">
        <f t="shared" si="73"/>
        <v>0</v>
      </c>
      <c r="Y185" s="1">
        <f t="shared" si="74"/>
        <v>0</v>
      </c>
      <c r="Z185" s="1">
        <f t="shared" si="75"/>
        <v>0</v>
      </c>
      <c r="AA185" s="1">
        <f t="shared" si="76"/>
        <v>0</v>
      </c>
      <c r="AC185" s="1">
        <f t="shared" si="77"/>
        <v>0</v>
      </c>
      <c r="AD185" s="1">
        <f t="shared" si="78"/>
        <v>0</v>
      </c>
      <c r="AE185" s="1">
        <f t="shared" si="79"/>
        <v>0</v>
      </c>
      <c r="AF185" s="1">
        <f t="shared" si="80"/>
        <v>0</v>
      </c>
      <c r="AG185" s="1">
        <f t="shared" si="81"/>
        <v>0</v>
      </c>
      <c r="AH185" s="1">
        <f t="shared" si="82"/>
        <v>1</v>
      </c>
    </row>
    <row r="186" spans="1:34" ht="14.25" customHeight="1" x14ac:dyDescent="0.25">
      <c r="A186" s="34">
        <v>0</v>
      </c>
      <c r="B186" s="34">
        <v>1</v>
      </c>
      <c r="C186" s="34">
        <v>5</v>
      </c>
      <c r="D186" s="35" t="s">
        <v>1325</v>
      </c>
      <c r="E186" s="35" t="s">
        <v>168</v>
      </c>
      <c r="F186" s="35" t="s">
        <v>1326</v>
      </c>
      <c r="G186" s="35" t="s">
        <v>286</v>
      </c>
      <c r="H186" s="35" t="s">
        <v>358</v>
      </c>
      <c r="I186" s="34" t="s">
        <v>1327</v>
      </c>
      <c r="J186" s="34">
        <v>99</v>
      </c>
      <c r="K186" s="36" t="s">
        <v>710</v>
      </c>
      <c r="L186" s="36" t="s">
        <v>39</v>
      </c>
      <c r="M186" s="37" t="s">
        <v>39</v>
      </c>
      <c r="N186" s="37" t="s">
        <v>1749</v>
      </c>
      <c r="O186" s="38">
        <v>1</v>
      </c>
      <c r="P186" s="38">
        <v>1</v>
      </c>
      <c r="R186" s="1">
        <f t="shared" si="67"/>
        <v>0</v>
      </c>
      <c r="S186" s="1">
        <f t="shared" si="68"/>
        <v>0</v>
      </c>
      <c r="T186" s="1">
        <f t="shared" si="69"/>
        <v>0</v>
      </c>
      <c r="U186" s="1">
        <f t="shared" si="70"/>
        <v>0</v>
      </c>
      <c r="V186" s="1">
        <f t="shared" si="71"/>
        <v>0</v>
      </c>
      <c r="W186" s="1">
        <f t="shared" si="72"/>
        <v>0</v>
      </c>
      <c r="X186" s="1">
        <f t="shared" si="73"/>
        <v>0</v>
      </c>
      <c r="Y186" s="1">
        <f t="shared" si="74"/>
        <v>0</v>
      </c>
      <c r="Z186" s="1">
        <f t="shared" si="75"/>
        <v>0</v>
      </c>
      <c r="AA186" s="1">
        <f t="shared" si="76"/>
        <v>0</v>
      </c>
      <c r="AC186" s="1">
        <f t="shared" si="77"/>
        <v>1</v>
      </c>
      <c r="AD186" s="1">
        <f t="shared" si="78"/>
        <v>0</v>
      </c>
      <c r="AE186" s="1">
        <f t="shared" si="79"/>
        <v>1</v>
      </c>
      <c r="AF186" s="1">
        <f t="shared" si="80"/>
        <v>0</v>
      </c>
      <c r="AG186" s="1">
        <f t="shared" si="81"/>
        <v>1</v>
      </c>
      <c r="AH186" s="1">
        <f t="shared" si="82"/>
        <v>0</v>
      </c>
    </row>
    <row r="187" spans="1:34" ht="14.25" customHeight="1" x14ac:dyDescent="0.25">
      <c r="A187" s="47">
        <v>0</v>
      </c>
      <c r="B187" s="47">
        <v>1</v>
      </c>
      <c r="C187" s="47">
        <v>5</v>
      </c>
      <c r="D187" s="48" t="s">
        <v>900</v>
      </c>
      <c r="E187" s="48" t="s">
        <v>901</v>
      </c>
      <c r="F187" s="48" t="s">
        <v>942</v>
      </c>
      <c r="G187" s="48" t="s">
        <v>39</v>
      </c>
      <c r="H187" s="48" t="s">
        <v>902</v>
      </c>
      <c r="I187" s="47" t="s">
        <v>903</v>
      </c>
      <c r="J187" s="47">
        <v>17</v>
      </c>
      <c r="K187" s="49" t="s">
        <v>711</v>
      </c>
      <c r="L187" s="49" t="s">
        <v>705</v>
      </c>
      <c r="M187" s="50" t="s">
        <v>978</v>
      </c>
      <c r="N187" s="50" t="s">
        <v>1757</v>
      </c>
      <c r="O187" s="51"/>
      <c r="P187" s="51"/>
      <c r="R187" s="1">
        <f t="shared" si="67"/>
        <v>0</v>
      </c>
      <c r="S187" s="1">
        <f t="shared" si="68"/>
        <v>0</v>
      </c>
      <c r="T187" s="1">
        <f t="shared" si="69"/>
        <v>0</v>
      </c>
      <c r="U187" s="1">
        <f t="shared" si="70"/>
        <v>0</v>
      </c>
      <c r="V187" s="1">
        <f t="shared" si="71"/>
        <v>0</v>
      </c>
      <c r="W187" s="1">
        <f t="shared" si="72"/>
        <v>0</v>
      </c>
      <c r="X187" s="1">
        <f t="shared" si="73"/>
        <v>0</v>
      </c>
      <c r="Y187" s="1">
        <f t="shared" si="74"/>
        <v>0</v>
      </c>
      <c r="Z187" s="1">
        <f t="shared" si="75"/>
        <v>0</v>
      </c>
      <c r="AA187" s="1">
        <f t="shared" si="76"/>
        <v>0</v>
      </c>
      <c r="AC187" s="1">
        <f t="shared" si="77"/>
        <v>0</v>
      </c>
      <c r="AD187" s="1">
        <f t="shared" si="78"/>
        <v>0</v>
      </c>
      <c r="AE187" s="1">
        <f t="shared" si="79"/>
        <v>0</v>
      </c>
      <c r="AF187" s="1">
        <f t="shared" si="80"/>
        <v>0</v>
      </c>
      <c r="AG187" s="1">
        <f t="shared" si="81"/>
        <v>0</v>
      </c>
      <c r="AH187" s="1">
        <f t="shared" si="82"/>
        <v>1</v>
      </c>
    </row>
    <row r="188" spans="1:34" ht="14.25" customHeight="1" x14ac:dyDescent="0.25">
      <c r="A188" s="47">
        <v>0</v>
      </c>
      <c r="B188" s="47">
        <v>1</v>
      </c>
      <c r="C188" s="47">
        <v>5</v>
      </c>
      <c r="D188" s="48" t="s">
        <v>132</v>
      </c>
      <c r="E188" s="48" t="s">
        <v>168</v>
      </c>
      <c r="F188" s="48" t="s">
        <v>335</v>
      </c>
      <c r="G188" s="48" t="s">
        <v>336</v>
      </c>
      <c r="H188" s="48" t="s">
        <v>358</v>
      </c>
      <c r="I188" s="47" t="s">
        <v>485</v>
      </c>
      <c r="J188" s="47">
        <v>99</v>
      </c>
      <c r="K188" s="49" t="s">
        <v>730</v>
      </c>
      <c r="L188" s="49" t="s">
        <v>702</v>
      </c>
      <c r="M188" s="50" t="s">
        <v>978</v>
      </c>
      <c r="N188" s="50" t="s">
        <v>1763</v>
      </c>
      <c r="O188" s="51"/>
      <c r="P188" s="51"/>
      <c r="R188" s="1">
        <f t="shared" si="67"/>
        <v>0</v>
      </c>
      <c r="S188" s="1">
        <f t="shared" si="68"/>
        <v>0</v>
      </c>
      <c r="T188" s="1">
        <f t="shared" si="69"/>
        <v>0</v>
      </c>
      <c r="U188" s="1">
        <f t="shared" si="70"/>
        <v>0</v>
      </c>
      <c r="V188" s="1">
        <f t="shared" si="71"/>
        <v>0</v>
      </c>
      <c r="W188" s="1">
        <f t="shared" si="72"/>
        <v>0</v>
      </c>
      <c r="X188" s="1">
        <f t="shared" si="73"/>
        <v>0</v>
      </c>
      <c r="Y188" s="1">
        <f t="shared" si="74"/>
        <v>0</v>
      </c>
      <c r="Z188" s="1">
        <f t="shared" si="75"/>
        <v>0</v>
      </c>
      <c r="AA188" s="1">
        <f t="shared" si="76"/>
        <v>0</v>
      </c>
      <c r="AC188" s="1">
        <f t="shared" si="77"/>
        <v>0</v>
      </c>
      <c r="AD188" s="1">
        <f t="shared" si="78"/>
        <v>0</v>
      </c>
      <c r="AE188" s="1">
        <f t="shared" si="79"/>
        <v>0</v>
      </c>
      <c r="AF188" s="1">
        <f t="shared" si="80"/>
        <v>0</v>
      </c>
      <c r="AG188" s="1">
        <f t="shared" si="81"/>
        <v>0</v>
      </c>
      <c r="AH188" s="1">
        <f t="shared" si="82"/>
        <v>1</v>
      </c>
    </row>
    <row r="189" spans="1:34" ht="14.25" customHeight="1" x14ac:dyDescent="0.25">
      <c r="A189" s="34">
        <v>0</v>
      </c>
      <c r="B189" s="34">
        <v>1</v>
      </c>
      <c r="C189" s="34">
        <v>5</v>
      </c>
      <c r="D189" s="35" t="s">
        <v>110</v>
      </c>
      <c r="E189" s="35" t="s">
        <v>168</v>
      </c>
      <c r="F189" s="35" t="s">
        <v>310</v>
      </c>
      <c r="G189" s="35" t="s">
        <v>233</v>
      </c>
      <c r="H189" s="35" t="s">
        <v>358</v>
      </c>
      <c r="I189" s="34" t="s">
        <v>461</v>
      </c>
      <c r="J189" s="34">
        <v>99</v>
      </c>
      <c r="K189" s="36" t="s">
        <v>730</v>
      </c>
      <c r="L189" s="36" t="s">
        <v>704</v>
      </c>
      <c r="M189" s="37" t="s">
        <v>699</v>
      </c>
      <c r="N189" s="37" t="s">
        <v>1759</v>
      </c>
      <c r="O189" s="38">
        <v>1</v>
      </c>
      <c r="P189" s="38"/>
      <c r="R189" s="1">
        <f t="shared" si="67"/>
        <v>0</v>
      </c>
      <c r="S189" s="1">
        <f t="shared" si="68"/>
        <v>0</v>
      </c>
      <c r="T189" s="1">
        <f t="shared" si="69"/>
        <v>0</v>
      </c>
      <c r="U189" s="1">
        <f t="shared" si="70"/>
        <v>0</v>
      </c>
      <c r="V189" s="1">
        <f t="shared" si="71"/>
        <v>0</v>
      </c>
      <c r="W189" s="1">
        <f t="shared" si="72"/>
        <v>0</v>
      </c>
      <c r="X189" s="1">
        <f t="shared" si="73"/>
        <v>0</v>
      </c>
      <c r="Y189" s="1">
        <f t="shared" si="74"/>
        <v>0</v>
      </c>
      <c r="Z189" s="1">
        <f t="shared" si="75"/>
        <v>0</v>
      </c>
      <c r="AA189" s="1">
        <f t="shared" si="76"/>
        <v>0</v>
      </c>
      <c r="AC189" s="1">
        <f t="shared" si="77"/>
        <v>0</v>
      </c>
      <c r="AD189" s="1">
        <f t="shared" si="78"/>
        <v>1</v>
      </c>
      <c r="AE189" s="1">
        <f t="shared" si="79"/>
        <v>0</v>
      </c>
      <c r="AF189" s="1">
        <f t="shared" si="80"/>
        <v>1</v>
      </c>
      <c r="AG189" s="1">
        <f t="shared" si="81"/>
        <v>0</v>
      </c>
      <c r="AH189" s="1">
        <f t="shared" si="82"/>
        <v>1</v>
      </c>
    </row>
    <row r="190" spans="1:34" ht="14.25" customHeight="1" x14ac:dyDescent="0.25">
      <c r="A190" s="15">
        <v>0</v>
      </c>
      <c r="B190" s="15">
        <v>1</v>
      </c>
      <c r="C190" s="15">
        <v>5</v>
      </c>
      <c r="D190" s="16" t="s">
        <v>112</v>
      </c>
      <c r="E190" s="16" t="s">
        <v>174</v>
      </c>
      <c r="F190" s="16" t="s">
        <v>313</v>
      </c>
      <c r="G190" s="16" t="s">
        <v>39</v>
      </c>
      <c r="H190" s="16" t="s">
        <v>368</v>
      </c>
      <c r="I190" s="15" t="s">
        <v>464</v>
      </c>
      <c r="J190" s="15">
        <v>17</v>
      </c>
      <c r="K190" s="10" t="s">
        <v>711</v>
      </c>
      <c r="L190" s="10" t="s">
        <v>705</v>
      </c>
      <c r="M190" s="19" t="s">
        <v>699</v>
      </c>
      <c r="N190" s="17"/>
      <c r="R190" s="1">
        <f t="shared" si="67"/>
        <v>0</v>
      </c>
      <c r="S190" s="1">
        <f t="shared" si="68"/>
        <v>0</v>
      </c>
      <c r="T190" s="1">
        <f t="shared" si="69"/>
        <v>0</v>
      </c>
      <c r="U190" s="1">
        <f t="shared" si="70"/>
        <v>0</v>
      </c>
      <c r="V190" s="1">
        <f t="shared" si="71"/>
        <v>0</v>
      </c>
      <c r="W190" s="1">
        <f t="shared" si="72"/>
        <v>0</v>
      </c>
      <c r="X190" s="1">
        <f t="shared" si="73"/>
        <v>0</v>
      </c>
      <c r="Y190" s="1">
        <f t="shared" si="74"/>
        <v>0</v>
      </c>
      <c r="Z190" s="1">
        <f t="shared" si="75"/>
        <v>0</v>
      </c>
      <c r="AA190" s="1">
        <f t="shared" si="76"/>
        <v>0</v>
      </c>
      <c r="AC190" s="1">
        <f t="shared" si="77"/>
        <v>0</v>
      </c>
      <c r="AD190" s="1">
        <f t="shared" si="78"/>
        <v>0</v>
      </c>
      <c r="AE190" s="1">
        <f t="shared" si="79"/>
        <v>0</v>
      </c>
      <c r="AF190" s="1">
        <f t="shared" si="80"/>
        <v>0</v>
      </c>
      <c r="AG190" s="1">
        <f t="shared" si="81"/>
        <v>0</v>
      </c>
      <c r="AH190" s="1">
        <f t="shared" si="82"/>
        <v>1</v>
      </c>
    </row>
    <row r="191" spans="1:34" ht="14.25" customHeight="1" x14ac:dyDescent="0.25">
      <c r="A191" s="34">
        <v>0</v>
      </c>
      <c r="B191" s="34">
        <v>1</v>
      </c>
      <c r="C191" s="34">
        <v>5</v>
      </c>
      <c r="D191" s="35" t="s">
        <v>531</v>
      </c>
      <c r="E191" s="35" t="s">
        <v>532</v>
      </c>
      <c r="F191" s="35" t="s">
        <v>533</v>
      </c>
      <c r="G191" s="35" t="s">
        <v>204</v>
      </c>
      <c r="H191" s="35" t="s">
        <v>358</v>
      </c>
      <c r="I191" s="34" t="s">
        <v>534</v>
      </c>
      <c r="J191" s="34">
        <v>10</v>
      </c>
      <c r="K191" s="36" t="s">
        <v>710</v>
      </c>
      <c r="L191" s="36" t="s">
        <v>701</v>
      </c>
      <c r="M191" s="37" t="s">
        <v>978</v>
      </c>
      <c r="N191" s="37" t="s">
        <v>1749</v>
      </c>
      <c r="O191" s="38">
        <v>1</v>
      </c>
      <c r="P191" s="38">
        <v>1</v>
      </c>
      <c r="R191" s="1">
        <f t="shared" si="67"/>
        <v>0</v>
      </c>
      <c r="S191" s="1">
        <f t="shared" si="68"/>
        <v>0</v>
      </c>
      <c r="T191" s="1">
        <f t="shared" si="69"/>
        <v>0</v>
      </c>
      <c r="U191" s="1">
        <f t="shared" si="70"/>
        <v>0</v>
      </c>
      <c r="V191" s="1">
        <f t="shared" si="71"/>
        <v>0</v>
      </c>
      <c r="W191" s="1">
        <f t="shared" si="72"/>
        <v>0</v>
      </c>
      <c r="X191" s="1">
        <f t="shared" si="73"/>
        <v>0</v>
      </c>
      <c r="Y191" s="1">
        <f t="shared" si="74"/>
        <v>0</v>
      </c>
      <c r="Z191" s="1">
        <f t="shared" si="75"/>
        <v>0</v>
      </c>
      <c r="AA191" s="1">
        <f t="shared" si="76"/>
        <v>1</v>
      </c>
      <c r="AC191" s="1">
        <f t="shared" si="77"/>
        <v>1</v>
      </c>
      <c r="AD191" s="1">
        <f t="shared" si="78"/>
        <v>0</v>
      </c>
      <c r="AE191" s="1">
        <f t="shared" si="79"/>
        <v>1</v>
      </c>
      <c r="AF191" s="1">
        <f t="shared" si="80"/>
        <v>0</v>
      </c>
      <c r="AG191" s="1">
        <f t="shared" si="81"/>
        <v>1</v>
      </c>
      <c r="AH191" s="1">
        <f t="shared" si="82"/>
        <v>0</v>
      </c>
    </row>
    <row r="192" spans="1:34" ht="14.25" customHeight="1" x14ac:dyDescent="0.25">
      <c r="A192" s="34">
        <v>0</v>
      </c>
      <c r="B192" s="34">
        <v>1</v>
      </c>
      <c r="C192" s="34">
        <v>5</v>
      </c>
      <c r="D192" s="35" t="s">
        <v>1515</v>
      </c>
      <c r="E192" s="35" t="s">
        <v>168</v>
      </c>
      <c r="F192" s="35" t="s">
        <v>1516</v>
      </c>
      <c r="G192" s="35" t="s">
        <v>182</v>
      </c>
      <c r="H192" s="35" t="s">
        <v>358</v>
      </c>
      <c r="I192" s="34" t="s">
        <v>1517</v>
      </c>
      <c r="J192" s="34">
        <v>10</v>
      </c>
      <c r="K192" s="36" t="s">
        <v>964</v>
      </c>
      <c r="L192" s="36" t="s">
        <v>701</v>
      </c>
      <c r="M192" s="37" t="s">
        <v>978</v>
      </c>
      <c r="N192" s="37" t="s">
        <v>1743</v>
      </c>
      <c r="O192" s="38">
        <v>1</v>
      </c>
      <c r="P192" s="38">
        <v>1</v>
      </c>
      <c r="R192" s="1">
        <f t="shared" si="67"/>
        <v>0</v>
      </c>
      <c r="S192" s="1">
        <f t="shared" si="68"/>
        <v>0</v>
      </c>
      <c r="T192" s="1">
        <f t="shared" si="69"/>
        <v>0</v>
      </c>
      <c r="U192" s="1">
        <f t="shared" si="70"/>
        <v>0</v>
      </c>
      <c r="V192" s="1">
        <f t="shared" si="71"/>
        <v>0</v>
      </c>
      <c r="W192" s="1">
        <f t="shared" si="72"/>
        <v>0</v>
      </c>
      <c r="X192" s="1">
        <f t="shared" si="73"/>
        <v>0</v>
      </c>
      <c r="Y192" s="1">
        <f t="shared" si="74"/>
        <v>0</v>
      </c>
      <c r="Z192" s="1">
        <f t="shared" si="75"/>
        <v>0</v>
      </c>
      <c r="AA192" s="1">
        <f t="shared" si="76"/>
        <v>1</v>
      </c>
      <c r="AC192" s="1">
        <f t="shared" si="77"/>
        <v>1</v>
      </c>
      <c r="AD192" s="1">
        <f t="shared" si="78"/>
        <v>0</v>
      </c>
      <c r="AE192" s="1">
        <f t="shared" si="79"/>
        <v>1</v>
      </c>
      <c r="AF192" s="1">
        <f t="shared" si="80"/>
        <v>0</v>
      </c>
      <c r="AG192" s="1">
        <f t="shared" si="81"/>
        <v>1</v>
      </c>
      <c r="AH192" s="1">
        <f t="shared" si="82"/>
        <v>0</v>
      </c>
    </row>
    <row r="193" spans="1:34" ht="14.25" customHeight="1" x14ac:dyDescent="0.25">
      <c r="A193" s="34">
        <v>0</v>
      </c>
      <c r="B193" s="34">
        <v>1</v>
      </c>
      <c r="C193" s="34">
        <v>5</v>
      </c>
      <c r="D193" s="35" t="s">
        <v>1773</v>
      </c>
      <c r="E193" s="35" t="s">
        <v>168</v>
      </c>
      <c r="F193" s="35" t="s">
        <v>1774</v>
      </c>
      <c r="G193" s="35" t="s">
        <v>1775</v>
      </c>
      <c r="H193" s="35" t="s">
        <v>358</v>
      </c>
      <c r="I193" s="34" t="s">
        <v>1776</v>
      </c>
      <c r="J193" s="34">
        <v>1</v>
      </c>
      <c r="K193" s="36" t="s">
        <v>711</v>
      </c>
      <c r="L193" s="36"/>
      <c r="M193" s="37"/>
      <c r="N193" s="37" t="s">
        <v>1764</v>
      </c>
      <c r="O193" s="38">
        <v>1</v>
      </c>
      <c r="P193" s="38"/>
      <c r="R193" s="1">
        <f t="shared" si="67"/>
        <v>1</v>
      </c>
      <c r="S193" s="1">
        <f t="shared" si="68"/>
        <v>0</v>
      </c>
      <c r="T193" s="1">
        <f t="shared" si="69"/>
        <v>0</v>
      </c>
      <c r="U193" s="1">
        <f t="shared" si="70"/>
        <v>0</v>
      </c>
      <c r="V193" s="1">
        <f t="shared" si="71"/>
        <v>0</v>
      </c>
      <c r="W193" s="1">
        <f t="shared" si="72"/>
        <v>0</v>
      </c>
      <c r="X193" s="1">
        <f t="shared" si="73"/>
        <v>0</v>
      </c>
      <c r="Y193" s="1">
        <f t="shared" si="74"/>
        <v>0</v>
      </c>
      <c r="Z193" s="1">
        <f t="shared" si="75"/>
        <v>0</v>
      </c>
      <c r="AA193" s="1">
        <f t="shared" si="76"/>
        <v>0</v>
      </c>
      <c r="AC193" s="1">
        <f t="shared" si="77"/>
        <v>0</v>
      </c>
      <c r="AD193" s="1">
        <f t="shared" si="78"/>
        <v>1</v>
      </c>
      <c r="AE193" s="1">
        <f t="shared" si="79"/>
        <v>0</v>
      </c>
      <c r="AF193" s="1">
        <f t="shared" si="80"/>
        <v>1</v>
      </c>
      <c r="AG193" s="1">
        <f t="shared" si="81"/>
        <v>0</v>
      </c>
      <c r="AH193" s="1">
        <f t="shared" si="82"/>
        <v>1</v>
      </c>
    </row>
    <row r="194" spans="1:34" ht="14.25" customHeight="1" x14ac:dyDescent="0.25">
      <c r="A194" s="47">
        <v>0</v>
      </c>
      <c r="B194" s="47">
        <v>1</v>
      </c>
      <c r="C194" s="47">
        <v>5</v>
      </c>
      <c r="D194" s="48" t="s">
        <v>1034</v>
      </c>
      <c r="E194" s="48" t="s">
        <v>1098</v>
      </c>
      <c r="F194" s="48" t="s">
        <v>1035</v>
      </c>
      <c r="G194" s="48" t="s">
        <v>196</v>
      </c>
      <c r="H194" s="48" t="s">
        <v>358</v>
      </c>
      <c r="I194" s="47" t="s">
        <v>1036</v>
      </c>
      <c r="J194" s="47">
        <v>9</v>
      </c>
      <c r="K194" s="49" t="s">
        <v>730</v>
      </c>
      <c r="L194" s="49" t="s">
        <v>1720</v>
      </c>
      <c r="M194" s="50" t="s">
        <v>1620</v>
      </c>
      <c r="N194" s="50" t="s">
        <v>1751</v>
      </c>
      <c r="O194" s="51"/>
      <c r="P194" s="51"/>
      <c r="R194" s="1">
        <f t="shared" si="67"/>
        <v>0</v>
      </c>
      <c r="S194" s="1">
        <f t="shared" si="68"/>
        <v>0</v>
      </c>
      <c r="T194" s="1">
        <f t="shared" si="69"/>
        <v>0</v>
      </c>
      <c r="U194" s="1">
        <f t="shared" si="70"/>
        <v>0</v>
      </c>
      <c r="V194" s="1">
        <f t="shared" si="71"/>
        <v>0</v>
      </c>
      <c r="W194" s="1">
        <f t="shared" si="72"/>
        <v>0</v>
      </c>
      <c r="X194" s="1">
        <f t="shared" si="73"/>
        <v>0</v>
      </c>
      <c r="Y194" s="1">
        <f t="shared" si="74"/>
        <v>0</v>
      </c>
      <c r="Z194" s="1">
        <f t="shared" si="75"/>
        <v>1</v>
      </c>
      <c r="AA194" s="1">
        <f t="shared" si="76"/>
        <v>0</v>
      </c>
      <c r="AC194" s="1">
        <f t="shared" si="77"/>
        <v>0</v>
      </c>
      <c r="AD194" s="1">
        <f t="shared" si="78"/>
        <v>0</v>
      </c>
      <c r="AE194" s="1">
        <f t="shared" si="79"/>
        <v>0</v>
      </c>
      <c r="AF194" s="1">
        <f t="shared" si="80"/>
        <v>0</v>
      </c>
      <c r="AG194" s="1">
        <f t="shared" si="81"/>
        <v>0</v>
      </c>
      <c r="AH194" s="1">
        <f t="shared" si="82"/>
        <v>1</v>
      </c>
    </row>
    <row r="195" spans="1:34" ht="14.25" customHeight="1" x14ac:dyDescent="0.25">
      <c r="A195" s="47">
        <v>0</v>
      </c>
      <c r="B195" s="47">
        <v>1</v>
      </c>
      <c r="C195" s="47">
        <v>5</v>
      </c>
      <c r="D195" s="48" t="s">
        <v>1630</v>
      </c>
      <c r="E195" s="48" t="s">
        <v>168</v>
      </c>
      <c r="F195" s="48" t="s">
        <v>1631</v>
      </c>
      <c r="G195" s="48" t="s">
        <v>215</v>
      </c>
      <c r="H195" s="48" t="s">
        <v>358</v>
      </c>
      <c r="I195" s="47" t="s">
        <v>1632</v>
      </c>
      <c r="J195" s="47">
        <v>1</v>
      </c>
      <c r="K195" s="49" t="s">
        <v>730</v>
      </c>
      <c r="L195" s="49" t="s">
        <v>702</v>
      </c>
      <c r="M195" s="50" t="s">
        <v>978</v>
      </c>
      <c r="N195" s="50" t="s">
        <v>1752</v>
      </c>
      <c r="O195" s="51"/>
      <c r="P195" s="51"/>
      <c r="R195" s="1">
        <f t="shared" si="67"/>
        <v>1</v>
      </c>
      <c r="S195" s="1">
        <f t="shared" si="68"/>
        <v>0</v>
      </c>
      <c r="T195" s="1">
        <f t="shared" si="69"/>
        <v>0</v>
      </c>
      <c r="U195" s="1">
        <f t="shared" si="70"/>
        <v>0</v>
      </c>
      <c r="V195" s="1">
        <f t="shared" si="71"/>
        <v>0</v>
      </c>
      <c r="W195" s="1">
        <f t="shared" si="72"/>
        <v>0</v>
      </c>
      <c r="X195" s="1">
        <f t="shared" si="73"/>
        <v>0</v>
      </c>
      <c r="Y195" s="1">
        <f t="shared" si="74"/>
        <v>0</v>
      </c>
      <c r="Z195" s="1">
        <f t="shared" si="75"/>
        <v>0</v>
      </c>
      <c r="AA195" s="1">
        <f t="shared" si="76"/>
        <v>0</v>
      </c>
      <c r="AC195" s="1">
        <f t="shared" si="77"/>
        <v>0</v>
      </c>
      <c r="AD195" s="1">
        <f t="shared" si="78"/>
        <v>0</v>
      </c>
      <c r="AE195" s="1">
        <f t="shared" si="79"/>
        <v>0</v>
      </c>
      <c r="AF195" s="1">
        <f t="shared" si="80"/>
        <v>0</v>
      </c>
      <c r="AG195" s="1">
        <f t="shared" si="81"/>
        <v>0</v>
      </c>
      <c r="AH195" s="1">
        <f t="shared" si="82"/>
        <v>1</v>
      </c>
    </row>
    <row r="196" spans="1:34" ht="14.25" customHeight="1" x14ac:dyDescent="0.25">
      <c r="A196" s="41">
        <v>0</v>
      </c>
      <c r="B196" s="41">
        <v>1</v>
      </c>
      <c r="C196" s="41">
        <v>5</v>
      </c>
      <c r="D196" s="42" t="s">
        <v>149</v>
      </c>
      <c r="E196" s="42" t="s">
        <v>551</v>
      </c>
      <c r="F196" s="42" t="s">
        <v>1615</v>
      </c>
      <c r="G196" s="42" t="s">
        <v>1689</v>
      </c>
      <c r="H196" s="42" t="s">
        <v>358</v>
      </c>
      <c r="I196" s="41" t="s">
        <v>500</v>
      </c>
      <c r="J196" s="41">
        <v>99</v>
      </c>
      <c r="K196" s="43" t="s">
        <v>710</v>
      </c>
      <c r="L196" s="43" t="s">
        <v>697</v>
      </c>
      <c r="M196" s="44" t="s">
        <v>978</v>
      </c>
      <c r="N196" s="45"/>
      <c r="O196" s="46"/>
      <c r="P196" s="46">
        <v>1</v>
      </c>
      <c r="R196" s="1">
        <f t="shared" si="67"/>
        <v>0</v>
      </c>
      <c r="S196" s="1">
        <f t="shared" si="68"/>
        <v>0</v>
      </c>
      <c r="T196" s="1">
        <f t="shared" si="69"/>
        <v>0</v>
      </c>
      <c r="U196" s="1">
        <f t="shared" si="70"/>
        <v>0</v>
      </c>
      <c r="V196" s="1">
        <f t="shared" si="71"/>
        <v>0</v>
      </c>
      <c r="W196" s="1">
        <f t="shared" si="72"/>
        <v>0</v>
      </c>
      <c r="X196" s="1">
        <f t="shared" si="73"/>
        <v>0</v>
      </c>
      <c r="Y196" s="1">
        <f t="shared" si="74"/>
        <v>0</v>
      </c>
      <c r="Z196" s="1">
        <f t="shared" si="75"/>
        <v>0</v>
      </c>
      <c r="AA196" s="1">
        <f t="shared" si="76"/>
        <v>0</v>
      </c>
      <c r="AC196" s="1">
        <f t="shared" si="77"/>
        <v>0</v>
      </c>
      <c r="AD196" s="1">
        <f t="shared" si="78"/>
        <v>0</v>
      </c>
      <c r="AE196" s="1">
        <f t="shared" si="79"/>
        <v>0</v>
      </c>
      <c r="AF196" s="1">
        <f t="shared" si="80"/>
        <v>0</v>
      </c>
      <c r="AG196" s="1">
        <f t="shared" si="81"/>
        <v>1</v>
      </c>
      <c r="AH196" s="1">
        <f t="shared" si="82"/>
        <v>0</v>
      </c>
    </row>
    <row r="197" spans="1:34" ht="14.25" customHeight="1" x14ac:dyDescent="0.25">
      <c r="A197" s="15">
        <v>0</v>
      </c>
      <c r="B197" s="15">
        <v>1</v>
      </c>
      <c r="C197" s="15">
        <v>5</v>
      </c>
      <c r="D197" s="16" t="s">
        <v>1227</v>
      </c>
      <c r="E197" s="16" t="s">
        <v>168</v>
      </c>
      <c r="F197" s="16" t="s">
        <v>1228</v>
      </c>
      <c r="G197" s="16" t="s">
        <v>1229</v>
      </c>
      <c r="H197" s="16" t="s">
        <v>358</v>
      </c>
      <c r="I197" s="15" t="s">
        <v>1230</v>
      </c>
      <c r="J197" s="15">
        <v>99</v>
      </c>
      <c r="K197" s="10" t="s">
        <v>711</v>
      </c>
      <c r="L197" s="10">
        <v>30</v>
      </c>
      <c r="M197" s="19" t="s">
        <v>978</v>
      </c>
      <c r="N197" s="19"/>
      <c r="R197" s="1">
        <f t="shared" si="67"/>
        <v>0</v>
      </c>
      <c r="S197" s="1">
        <f t="shared" si="68"/>
        <v>0</v>
      </c>
      <c r="T197" s="1">
        <f t="shared" si="69"/>
        <v>0</v>
      </c>
      <c r="U197" s="1">
        <f t="shared" si="70"/>
        <v>0</v>
      </c>
      <c r="V197" s="1">
        <f t="shared" si="71"/>
        <v>0</v>
      </c>
      <c r="W197" s="1">
        <f t="shared" si="72"/>
        <v>0</v>
      </c>
      <c r="X197" s="1">
        <f t="shared" si="73"/>
        <v>0</v>
      </c>
      <c r="Y197" s="1">
        <f t="shared" si="74"/>
        <v>0</v>
      </c>
      <c r="Z197" s="1">
        <f t="shared" si="75"/>
        <v>0</v>
      </c>
      <c r="AA197" s="1">
        <f t="shared" si="76"/>
        <v>0</v>
      </c>
      <c r="AC197" s="1">
        <f t="shared" si="77"/>
        <v>0</v>
      </c>
      <c r="AD197" s="1">
        <f t="shared" si="78"/>
        <v>0</v>
      </c>
      <c r="AE197" s="1">
        <f t="shared" si="79"/>
        <v>0</v>
      </c>
      <c r="AF197" s="1">
        <f t="shared" si="80"/>
        <v>0</v>
      </c>
      <c r="AG197" s="1">
        <f t="shared" si="81"/>
        <v>0</v>
      </c>
      <c r="AH197" s="1">
        <f t="shared" si="82"/>
        <v>1</v>
      </c>
    </row>
    <row r="198" spans="1:34" ht="14.25" customHeight="1" x14ac:dyDescent="0.25">
      <c r="A198" s="34">
        <v>0</v>
      </c>
      <c r="B198" s="34">
        <v>1</v>
      </c>
      <c r="C198" s="34">
        <v>5</v>
      </c>
      <c r="D198" s="35" t="s">
        <v>1616</v>
      </c>
      <c r="E198" s="35" t="s">
        <v>174</v>
      </c>
      <c r="F198" s="35" t="s">
        <v>816</v>
      </c>
      <c r="G198" s="35" t="s">
        <v>39</v>
      </c>
      <c r="H198" s="35" t="s">
        <v>817</v>
      </c>
      <c r="I198" s="34" t="s">
        <v>818</v>
      </c>
      <c r="J198" s="34">
        <v>16</v>
      </c>
      <c r="K198" s="36" t="s">
        <v>965</v>
      </c>
      <c r="L198" s="36" t="s">
        <v>1758</v>
      </c>
      <c r="M198" s="37" t="s">
        <v>978</v>
      </c>
      <c r="N198" s="37" t="s">
        <v>1764</v>
      </c>
      <c r="O198" s="38">
        <v>1</v>
      </c>
      <c r="P198" s="38"/>
      <c r="R198" s="1">
        <f t="shared" si="67"/>
        <v>0</v>
      </c>
      <c r="S198" s="1">
        <f t="shared" si="68"/>
        <v>0</v>
      </c>
      <c r="T198" s="1">
        <f t="shared" si="69"/>
        <v>0</v>
      </c>
      <c r="U198" s="1">
        <f t="shared" si="70"/>
        <v>0</v>
      </c>
      <c r="V198" s="1">
        <f t="shared" si="71"/>
        <v>0</v>
      </c>
      <c r="W198" s="1">
        <f t="shared" si="72"/>
        <v>0</v>
      </c>
      <c r="X198" s="1">
        <f t="shared" si="73"/>
        <v>0</v>
      </c>
      <c r="Y198" s="1">
        <f t="shared" si="74"/>
        <v>0</v>
      </c>
      <c r="Z198" s="1">
        <f t="shared" si="75"/>
        <v>0</v>
      </c>
      <c r="AA198" s="1">
        <f t="shared" si="76"/>
        <v>0</v>
      </c>
      <c r="AC198" s="1">
        <f t="shared" si="77"/>
        <v>0</v>
      </c>
      <c r="AD198" s="1">
        <f t="shared" si="78"/>
        <v>1</v>
      </c>
      <c r="AE198" s="1">
        <f t="shared" si="79"/>
        <v>0</v>
      </c>
      <c r="AF198" s="1">
        <f t="shared" si="80"/>
        <v>1</v>
      </c>
      <c r="AG198" s="1">
        <f t="shared" si="81"/>
        <v>0</v>
      </c>
      <c r="AH198" s="1">
        <f t="shared" si="82"/>
        <v>1</v>
      </c>
    </row>
    <row r="199" spans="1:34" ht="14.25" customHeight="1" x14ac:dyDescent="0.25">
      <c r="A199" s="41">
        <v>0</v>
      </c>
      <c r="B199" s="41">
        <v>1</v>
      </c>
      <c r="C199" s="41">
        <v>5</v>
      </c>
      <c r="D199" s="42" t="s">
        <v>508</v>
      </c>
      <c r="E199" s="42" t="s">
        <v>168</v>
      </c>
      <c r="F199" s="42" t="s">
        <v>509</v>
      </c>
      <c r="G199" s="42" t="s">
        <v>510</v>
      </c>
      <c r="H199" s="42" t="s">
        <v>358</v>
      </c>
      <c r="I199" s="41" t="s">
        <v>511</v>
      </c>
      <c r="J199" s="41">
        <v>99</v>
      </c>
      <c r="K199" s="43" t="s">
        <v>965</v>
      </c>
      <c r="L199" s="43" t="s">
        <v>702</v>
      </c>
      <c r="M199" s="44" t="s">
        <v>699</v>
      </c>
      <c r="N199" s="45"/>
      <c r="O199" s="46"/>
      <c r="P199" s="46">
        <v>1</v>
      </c>
      <c r="R199" s="1">
        <f t="shared" si="67"/>
        <v>0</v>
      </c>
      <c r="S199" s="1">
        <f t="shared" si="68"/>
        <v>0</v>
      </c>
      <c r="T199" s="1">
        <f t="shared" si="69"/>
        <v>0</v>
      </c>
      <c r="U199" s="1">
        <f t="shared" si="70"/>
        <v>0</v>
      </c>
      <c r="V199" s="1">
        <f t="shared" si="71"/>
        <v>0</v>
      </c>
      <c r="W199" s="1">
        <f t="shared" si="72"/>
        <v>0</v>
      </c>
      <c r="X199" s="1">
        <f t="shared" si="73"/>
        <v>0</v>
      </c>
      <c r="Y199" s="1">
        <f t="shared" si="74"/>
        <v>0</v>
      </c>
      <c r="Z199" s="1">
        <f t="shared" si="75"/>
        <v>0</v>
      </c>
      <c r="AA199" s="1">
        <f t="shared" si="76"/>
        <v>0</v>
      </c>
      <c r="AC199" s="1">
        <f t="shared" si="77"/>
        <v>0</v>
      </c>
      <c r="AD199" s="1">
        <f t="shared" si="78"/>
        <v>0</v>
      </c>
      <c r="AE199" s="1">
        <f t="shared" si="79"/>
        <v>0</v>
      </c>
      <c r="AF199" s="1">
        <f t="shared" si="80"/>
        <v>0</v>
      </c>
      <c r="AG199" s="1">
        <f t="shared" si="81"/>
        <v>1</v>
      </c>
      <c r="AH199" s="1">
        <f t="shared" si="82"/>
        <v>0</v>
      </c>
    </row>
    <row r="200" spans="1:34" ht="14.25" customHeight="1" x14ac:dyDescent="0.25">
      <c r="A200" s="47">
        <v>0</v>
      </c>
      <c r="B200" s="47">
        <v>1</v>
      </c>
      <c r="C200" s="47">
        <v>6</v>
      </c>
      <c r="D200" s="48" t="s">
        <v>1466</v>
      </c>
      <c r="E200" s="48" t="s">
        <v>169</v>
      </c>
      <c r="F200" s="48" t="s">
        <v>1467</v>
      </c>
      <c r="G200" s="48" t="s">
        <v>181</v>
      </c>
      <c r="H200" s="48" t="s">
        <v>358</v>
      </c>
      <c r="I200" s="47" t="s">
        <v>1468</v>
      </c>
      <c r="J200" s="47">
        <v>99</v>
      </c>
      <c r="K200" s="49" t="s">
        <v>964</v>
      </c>
      <c r="L200" s="49" t="s">
        <v>704</v>
      </c>
      <c r="M200" s="50" t="s">
        <v>1469</v>
      </c>
      <c r="N200" s="50" t="s">
        <v>1750</v>
      </c>
      <c r="O200" s="51"/>
      <c r="P200" s="51"/>
      <c r="R200" s="1">
        <f t="shared" si="67"/>
        <v>0</v>
      </c>
      <c r="S200" s="1">
        <f t="shared" si="68"/>
        <v>0</v>
      </c>
      <c r="T200" s="1">
        <f t="shared" si="69"/>
        <v>0</v>
      </c>
      <c r="U200" s="1">
        <f t="shared" si="70"/>
        <v>0</v>
      </c>
      <c r="V200" s="1">
        <f t="shared" si="71"/>
        <v>0</v>
      </c>
      <c r="W200" s="1">
        <f t="shared" si="72"/>
        <v>0</v>
      </c>
      <c r="X200" s="1">
        <f t="shared" si="73"/>
        <v>0</v>
      </c>
      <c r="Y200" s="1">
        <f t="shared" si="74"/>
        <v>0</v>
      </c>
      <c r="Z200" s="1">
        <f t="shared" si="75"/>
        <v>0</v>
      </c>
      <c r="AA200" s="1">
        <f t="shared" si="76"/>
        <v>0</v>
      </c>
      <c r="AC200" s="1">
        <f t="shared" si="77"/>
        <v>0</v>
      </c>
      <c r="AD200" s="1">
        <f t="shared" si="78"/>
        <v>0</v>
      </c>
      <c r="AE200" s="1">
        <f t="shared" si="79"/>
        <v>0</v>
      </c>
      <c r="AF200" s="1">
        <f t="shared" si="80"/>
        <v>0</v>
      </c>
      <c r="AG200" s="1">
        <f t="shared" si="81"/>
        <v>0</v>
      </c>
      <c r="AH200" s="1">
        <f t="shared" si="82"/>
        <v>1</v>
      </c>
    </row>
    <row r="201" spans="1:34" ht="14.25" customHeight="1" x14ac:dyDescent="0.25">
      <c r="A201" s="34">
        <v>0</v>
      </c>
      <c r="B201" s="34">
        <v>1</v>
      </c>
      <c r="C201" s="34">
        <v>6</v>
      </c>
      <c r="D201" s="35" t="s">
        <v>1201</v>
      </c>
      <c r="E201" s="35" t="s">
        <v>1204</v>
      </c>
      <c r="F201" s="35" t="s">
        <v>1202</v>
      </c>
      <c r="G201" s="35" t="s">
        <v>39</v>
      </c>
      <c r="H201" s="35" t="s">
        <v>358</v>
      </c>
      <c r="I201" s="34" t="s">
        <v>1203</v>
      </c>
      <c r="J201" s="34">
        <v>99</v>
      </c>
      <c r="K201" s="36" t="s">
        <v>970</v>
      </c>
      <c r="L201" s="36" t="s">
        <v>39</v>
      </c>
      <c r="M201" s="37" t="s">
        <v>39</v>
      </c>
      <c r="N201" s="37" t="s">
        <v>1749</v>
      </c>
      <c r="O201" s="38">
        <v>1</v>
      </c>
      <c r="P201" s="38">
        <v>1</v>
      </c>
      <c r="R201" s="1">
        <f t="shared" si="67"/>
        <v>0</v>
      </c>
      <c r="S201" s="1">
        <f t="shared" si="68"/>
        <v>0</v>
      </c>
      <c r="T201" s="1">
        <f t="shared" si="69"/>
        <v>0</v>
      </c>
      <c r="U201" s="1">
        <f t="shared" si="70"/>
        <v>0</v>
      </c>
      <c r="V201" s="1">
        <f t="shared" si="71"/>
        <v>0</v>
      </c>
      <c r="W201" s="1">
        <f t="shared" si="72"/>
        <v>0</v>
      </c>
      <c r="X201" s="1">
        <f t="shared" si="73"/>
        <v>0</v>
      </c>
      <c r="Y201" s="1">
        <f t="shared" si="74"/>
        <v>0</v>
      </c>
      <c r="Z201" s="1">
        <f t="shared" si="75"/>
        <v>0</v>
      </c>
      <c r="AA201" s="1">
        <f t="shared" si="76"/>
        <v>0</v>
      </c>
      <c r="AC201" s="1">
        <f t="shared" si="77"/>
        <v>1</v>
      </c>
      <c r="AD201" s="1">
        <f t="shared" si="78"/>
        <v>0</v>
      </c>
      <c r="AE201" s="1">
        <f t="shared" si="79"/>
        <v>1</v>
      </c>
      <c r="AF201" s="1">
        <f t="shared" si="80"/>
        <v>0</v>
      </c>
      <c r="AG201" s="1">
        <f t="shared" si="81"/>
        <v>1</v>
      </c>
      <c r="AH201" s="1">
        <f t="shared" si="82"/>
        <v>0</v>
      </c>
    </row>
    <row r="202" spans="1:34" ht="14.25" customHeight="1" x14ac:dyDescent="0.25">
      <c r="A202" s="34">
        <v>0</v>
      </c>
      <c r="B202" s="34">
        <v>1</v>
      </c>
      <c r="C202" s="34">
        <v>6</v>
      </c>
      <c r="D202" s="35" t="s">
        <v>1664</v>
      </c>
      <c r="E202" s="35" t="s">
        <v>1672</v>
      </c>
      <c r="F202" s="35" t="s">
        <v>1699</v>
      </c>
      <c r="G202" s="35" t="s">
        <v>1700</v>
      </c>
      <c r="H202" s="35" t="s">
        <v>358</v>
      </c>
      <c r="I202" s="34" t="s">
        <v>1712</v>
      </c>
      <c r="J202" s="34">
        <v>1</v>
      </c>
      <c r="K202" s="36" t="s">
        <v>966</v>
      </c>
      <c r="L202" s="36" t="s">
        <v>39</v>
      </c>
      <c r="M202" s="37" t="s">
        <v>39</v>
      </c>
      <c r="N202" s="37" t="s">
        <v>1743</v>
      </c>
      <c r="O202" s="38">
        <v>1</v>
      </c>
      <c r="P202" s="38">
        <v>1</v>
      </c>
      <c r="R202" s="1">
        <f t="shared" si="67"/>
        <v>1</v>
      </c>
      <c r="S202" s="1">
        <f t="shared" si="68"/>
        <v>0</v>
      </c>
      <c r="T202" s="1">
        <f t="shared" si="69"/>
        <v>0</v>
      </c>
      <c r="U202" s="1">
        <f t="shared" si="70"/>
        <v>0</v>
      </c>
      <c r="V202" s="1">
        <f t="shared" si="71"/>
        <v>0</v>
      </c>
      <c r="W202" s="1">
        <f t="shared" si="72"/>
        <v>0</v>
      </c>
      <c r="X202" s="1">
        <f t="shared" si="73"/>
        <v>0</v>
      </c>
      <c r="Y202" s="1">
        <f t="shared" si="74"/>
        <v>0</v>
      </c>
      <c r="Z202" s="1">
        <f t="shared" si="75"/>
        <v>0</v>
      </c>
      <c r="AA202" s="1">
        <f t="shared" si="76"/>
        <v>0</v>
      </c>
      <c r="AC202" s="1">
        <f t="shared" si="77"/>
        <v>1</v>
      </c>
      <c r="AD202" s="1">
        <f t="shared" si="78"/>
        <v>0</v>
      </c>
      <c r="AE202" s="1">
        <f t="shared" si="79"/>
        <v>1</v>
      </c>
      <c r="AF202" s="1">
        <f t="shared" si="80"/>
        <v>0</v>
      </c>
      <c r="AG202" s="1">
        <f t="shared" si="81"/>
        <v>1</v>
      </c>
      <c r="AH202" s="1">
        <f t="shared" si="82"/>
        <v>0</v>
      </c>
    </row>
    <row r="203" spans="1:34" ht="14.25" customHeight="1" x14ac:dyDescent="0.25">
      <c r="A203" s="34">
        <v>0</v>
      </c>
      <c r="B203" s="34">
        <v>1</v>
      </c>
      <c r="C203" s="34">
        <v>6</v>
      </c>
      <c r="D203" s="35" t="s">
        <v>91</v>
      </c>
      <c r="E203" s="35" t="s">
        <v>170</v>
      </c>
      <c r="F203" s="35" t="s">
        <v>287</v>
      </c>
      <c r="G203" s="35" t="s">
        <v>232</v>
      </c>
      <c r="H203" s="35" t="s">
        <v>358</v>
      </c>
      <c r="I203" s="34" t="s">
        <v>443</v>
      </c>
      <c r="J203" s="34">
        <v>7</v>
      </c>
      <c r="K203" s="36" t="s">
        <v>730</v>
      </c>
      <c r="L203" s="36">
        <v>40</v>
      </c>
      <c r="M203" s="37" t="s">
        <v>39</v>
      </c>
      <c r="N203" s="37" t="s">
        <v>1764</v>
      </c>
      <c r="O203" s="38">
        <v>1</v>
      </c>
      <c r="P203" s="38"/>
      <c r="R203" s="1">
        <f t="shared" si="67"/>
        <v>0</v>
      </c>
      <c r="S203" s="1">
        <f t="shared" si="68"/>
        <v>0</v>
      </c>
      <c r="T203" s="1">
        <f t="shared" si="69"/>
        <v>0</v>
      </c>
      <c r="U203" s="1">
        <f t="shared" si="70"/>
        <v>0</v>
      </c>
      <c r="V203" s="1">
        <f t="shared" si="71"/>
        <v>0</v>
      </c>
      <c r="W203" s="1">
        <f t="shared" si="72"/>
        <v>0</v>
      </c>
      <c r="X203" s="1">
        <f t="shared" si="73"/>
        <v>1</v>
      </c>
      <c r="Y203" s="1">
        <f t="shared" si="74"/>
        <v>0</v>
      </c>
      <c r="Z203" s="1">
        <f t="shared" si="75"/>
        <v>0</v>
      </c>
      <c r="AA203" s="1">
        <f t="shared" si="76"/>
        <v>0</v>
      </c>
      <c r="AC203" s="1">
        <f t="shared" si="77"/>
        <v>0</v>
      </c>
      <c r="AD203" s="1">
        <f t="shared" si="78"/>
        <v>1</v>
      </c>
      <c r="AE203" s="1">
        <f t="shared" si="79"/>
        <v>0</v>
      </c>
      <c r="AF203" s="1">
        <f t="shared" si="80"/>
        <v>1</v>
      </c>
      <c r="AG203" s="1">
        <f t="shared" si="81"/>
        <v>0</v>
      </c>
      <c r="AH203" s="1">
        <f t="shared" si="82"/>
        <v>1</v>
      </c>
    </row>
    <row r="204" spans="1:34" ht="14.25" customHeight="1" x14ac:dyDescent="0.25">
      <c r="A204" s="34">
        <v>0</v>
      </c>
      <c r="B204" s="34">
        <v>1</v>
      </c>
      <c r="C204" s="34">
        <v>6</v>
      </c>
      <c r="D204" s="35" t="s">
        <v>92</v>
      </c>
      <c r="E204" s="35" t="s">
        <v>167</v>
      </c>
      <c r="F204" s="39" t="s">
        <v>1888</v>
      </c>
      <c r="G204" s="35" t="s">
        <v>242</v>
      </c>
      <c r="H204" s="35" t="s">
        <v>358</v>
      </c>
      <c r="I204" s="34" t="s">
        <v>444</v>
      </c>
      <c r="J204" s="34">
        <v>1</v>
      </c>
      <c r="K204" s="36" t="s">
        <v>972</v>
      </c>
      <c r="L204" s="36" t="s">
        <v>39</v>
      </c>
      <c r="M204" s="37" t="s">
        <v>39</v>
      </c>
      <c r="N204" s="37" t="s">
        <v>1743</v>
      </c>
      <c r="O204" s="38">
        <v>1</v>
      </c>
      <c r="P204" s="38">
        <v>1</v>
      </c>
      <c r="R204" s="1">
        <f t="shared" si="67"/>
        <v>1</v>
      </c>
      <c r="S204" s="1">
        <f t="shared" si="68"/>
        <v>0</v>
      </c>
      <c r="T204" s="1">
        <f t="shared" si="69"/>
        <v>0</v>
      </c>
      <c r="U204" s="1">
        <f t="shared" si="70"/>
        <v>0</v>
      </c>
      <c r="V204" s="1">
        <f t="shared" si="71"/>
        <v>0</v>
      </c>
      <c r="W204" s="1">
        <f t="shared" si="72"/>
        <v>0</v>
      </c>
      <c r="X204" s="1">
        <f t="shared" si="73"/>
        <v>0</v>
      </c>
      <c r="Y204" s="1">
        <f t="shared" si="74"/>
        <v>0</v>
      </c>
      <c r="Z204" s="1">
        <f t="shared" si="75"/>
        <v>0</v>
      </c>
      <c r="AA204" s="1">
        <f t="shared" si="76"/>
        <v>0</v>
      </c>
      <c r="AC204" s="1">
        <f t="shared" si="77"/>
        <v>1</v>
      </c>
      <c r="AD204" s="1">
        <f t="shared" si="78"/>
        <v>0</v>
      </c>
      <c r="AE204" s="1">
        <f t="shared" si="79"/>
        <v>1</v>
      </c>
      <c r="AF204" s="1">
        <f t="shared" si="80"/>
        <v>0</v>
      </c>
      <c r="AG204" s="1">
        <f t="shared" si="81"/>
        <v>1</v>
      </c>
      <c r="AH204" s="1">
        <f t="shared" si="82"/>
        <v>0</v>
      </c>
    </row>
    <row r="205" spans="1:34" ht="14.25" customHeight="1" x14ac:dyDescent="0.25">
      <c r="A205" s="34">
        <v>0</v>
      </c>
      <c r="B205" s="34">
        <v>1</v>
      </c>
      <c r="C205" s="34">
        <v>6</v>
      </c>
      <c r="D205" s="35" t="s">
        <v>93</v>
      </c>
      <c r="E205" s="35" t="s">
        <v>169</v>
      </c>
      <c r="F205" s="35" t="s">
        <v>289</v>
      </c>
      <c r="G205" s="35" t="s">
        <v>202</v>
      </c>
      <c r="H205" s="35" t="s">
        <v>358</v>
      </c>
      <c r="I205" s="34" t="s">
        <v>445</v>
      </c>
      <c r="J205" s="34">
        <v>2</v>
      </c>
      <c r="K205" s="36" t="s">
        <v>970</v>
      </c>
      <c r="L205" s="36" t="s">
        <v>39</v>
      </c>
      <c r="M205" s="37" t="s">
        <v>39</v>
      </c>
      <c r="N205" s="37" t="s">
        <v>1743</v>
      </c>
      <c r="O205" s="38">
        <v>1</v>
      </c>
      <c r="P205" s="38">
        <v>1</v>
      </c>
      <c r="R205" s="1">
        <f t="shared" ref="R205:R267" si="83">IF(J205=$R$7,1,0)</f>
        <v>0</v>
      </c>
      <c r="S205" s="1">
        <f t="shared" ref="S205:S267" si="84">IF(J205=$S$7,1,0)</f>
        <v>1</v>
      </c>
      <c r="T205" s="1">
        <f t="shared" ref="T205:T267" si="85">IF(J205=$T$7,1,0)</f>
        <v>0</v>
      </c>
      <c r="U205" s="1">
        <f t="shared" ref="U205:U267" si="86">IF(J205=$U$7,1,0)</f>
        <v>0</v>
      </c>
      <c r="V205" s="1">
        <f t="shared" ref="V205:V267" si="87">IF(J205=$V$7,1,0)</f>
        <v>0</v>
      </c>
      <c r="W205" s="1">
        <f t="shared" ref="W205:W267" si="88">IF(J205=$W$7,1,0)</f>
        <v>0</v>
      </c>
      <c r="X205" s="1">
        <f t="shared" ref="X205:X267" si="89">IF(J205=$X$7,1,0)</f>
        <v>0</v>
      </c>
      <c r="Y205" s="1">
        <f t="shared" ref="Y205:Y267" si="90">IF(J205=$Y$7,1,0)</f>
        <v>0</v>
      </c>
      <c r="Z205" s="1">
        <f t="shared" ref="Z205:Z267" si="91">IF(J205=$Z$7,1,0)</f>
        <v>0</v>
      </c>
      <c r="AA205" s="1">
        <f t="shared" ref="AA205:AA267" si="92">IF(J205=$AA$7,1,0)</f>
        <v>0</v>
      </c>
      <c r="AC205" s="1">
        <f t="shared" ref="AC205:AC267" si="93">+O205*P205</f>
        <v>1</v>
      </c>
      <c r="AD205" s="1">
        <f t="shared" ref="AD205:AD267" si="94">O205*(1-P205)</f>
        <v>0</v>
      </c>
      <c r="AE205" s="1">
        <f t="shared" ref="AE205:AE267" si="95">+O205*P205*(1-A205)</f>
        <v>1</v>
      </c>
      <c r="AF205" s="1">
        <f t="shared" ref="AF205:AF267" si="96">O205*(1-P205)*(1-A205)</f>
        <v>0</v>
      </c>
      <c r="AG205" s="1">
        <f t="shared" ref="AG205:AG267" si="97">+P205*(1-A205)</f>
        <v>1</v>
      </c>
      <c r="AH205" s="1">
        <f t="shared" ref="AH205:AH267" si="98">+(1-A205)*(1-P205)</f>
        <v>0</v>
      </c>
    </row>
    <row r="206" spans="1:34" ht="14.25" customHeight="1" x14ac:dyDescent="0.25">
      <c r="A206" s="47">
        <v>0</v>
      </c>
      <c r="B206" s="47">
        <v>1</v>
      </c>
      <c r="C206" s="47">
        <v>6</v>
      </c>
      <c r="D206" s="48" t="s">
        <v>1291</v>
      </c>
      <c r="E206" s="48" t="s">
        <v>169</v>
      </c>
      <c r="F206" s="48" t="s">
        <v>1161</v>
      </c>
      <c r="G206" s="48" t="s">
        <v>1357</v>
      </c>
      <c r="H206" s="48" t="s">
        <v>358</v>
      </c>
      <c r="I206" s="47" t="s">
        <v>1162</v>
      </c>
      <c r="J206" s="47">
        <v>99</v>
      </c>
      <c r="K206" s="49" t="s">
        <v>710</v>
      </c>
      <c r="L206" s="49">
        <v>45</v>
      </c>
      <c r="M206" s="50" t="s">
        <v>39</v>
      </c>
      <c r="N206" s="50" t="s">
        <v>1751</v>
      </c>
      <c r="O206" s="51"/>
      <c r="P206" s="51"/>
      <c r="R206" s="1">
        <f t="shared" si="83"/>
        <v>0</v>
      </c>
      <c r="S206" s="1">
        <f t="shared" si="84"/>
        <v>0</v>
      </c>
      <c r="T206" s="1">
        <f t="shared" si="85"/>
        <v>0</v>
      </c>
      <c r="U206" s="1">
        <f t="shared" si="86"/>
        <v>0</v>
      </c>
      <c r="V206" s="1">
        <f t="shared" si="87"/>
        <v>0</v>
      </c>
      <c r="W206" s="1">
        <f t="shared" si="88"/>
        <v>0</v>
      </c>
      <c r="X206" s="1">
        <f t="shared" si="89"/>
        <v>0</v>
      </c>
      <c r="Y206" s="1">
        <f t="shared" si="90"/>
        <v>0</v>
      </c>
      <c r="Z206" s="1">
        <f t="shared" si="91"/>
        <v>0</v>
      </c>
      <c r="AA206" s="1">
        <f t="shared" si="92"/>
        <v>0</v>
      </c>
      <c r="AC206" s="1">
        <f t="shared" si="93"/>
        <v>0</v>
      </c>
      <c r="AD206" s="1">
        <f t="shared" si="94"/>
        <v>0</v>
      </c>
      <c r="AE206" s="1">
        <f t="shared" si="95"/>
        <v>0</v>
      </c>
      <c r="AF206" s="1">
        <f t="shared" si="96"/>
        <v>0</v>
      </c>
      <c r="AG206" s="1">
        <f t="shared" si="97"/>
        <v>0</v>
      </c>
      <c r="AH206" s="1">
        <f t="shared" si="98"/>
        <v>1</v>
      </c>
    </row>
    <row r="207" spans="1:34" ht="14.25" customHeight="1" x14ac:dyDescent="0.25">
      <c r="A207" s="41">
        <v>0</v>
      </c>
      <c r="B207" s="41">
        <v>1</v>
      </c>
      <c r="C207" s="41">
        <v>6</v>
      </c>
      <c r="D207" s="57" t="s">
        <v>1807</v>
      </c>
      <c r="E207" s="42" t="s">
        <v>169</v>
      </c>
      <c r="F207" s="42" t="s">
        <v>1782</v>
      </c>
      <c r="G207" s="42"/>
      <c r="H207" s="42" t="s">
        <v>358</v>
      </c>
      <c r="I207" s="41" t="s">
        <v>1783</v>
      </c>
      <c r="J207" s="41"/>
      <c r="K207" s="43" t="s">
        <v>711</v>
      </c>
      <c r="L207" s="43"/>
      <c r="M207" s="44"/>
      <c r="N207" s="45"/>
      <c r="O207" s="46"/>
      <c r="P207" s="46">
        <v>1</v>
      </c>
      <c r="R207" s="1">
        <f t="shared" si="83"/>
        <v>0</v>
      </c>
      <c r="S207" s="1">
        <f t="shared" si="84"/>
        <v>0</v>
      </c>
      <c r="T207" s="1">
        <f t="shared" si="85"/>
        <v>0</v>
      </c>
      <c r="U207" s="1">
        <f t="shared" si="86"/>
        <v>0</v>
      </c>
      <c r="V207" s="1">
        <f t="shared" si="87"/>
        <v>0</v>
      </c>
      <c r="W207" s="1">
        <f t="shared" si="88"/>
        <v>0</v>
      </c>
      <c r="X207" s="1">
        <f t="shared" si="89"/>
        <v>0</v>
      </c>
      <c r="Y207" s="1">
        <f t="shared" si="90"/>
        <v>0</v>
      </c>
      <c r="Z207" s="1">
        <f t="shared" si="91"/>
        <v>0</v>
      </c>
      <c r="AA207" s="1">
        <f t="shared" si="92"/>
        <v>0</v>
      </c>
      <c r="AC207" s="1">
        <f t="shared" si="93"/>
        <v>0</v>
      </c>
      <c r="AD207" s="1">
        <f t="shared" si="94"/>
        <v>0</v>
      </c>
      <c r="AE207" s="1">
        <f t="shared" si="95"/>
        <v>0</v>
      </c>
      <c r="AF207" s="1">
        <f t="shared" si="96"/>
        <v>0</v>
      </c>
      <c r="AG207" s="1">
        <f t="shared" si="97"/>
        <v>1</v>
      </c>
      <c r="AH207" s="1">
        <f t="shared" si="98"/>
        <v>0</v>
      </c>
    </row>
    <row r="208" spans="1:34" ht="14.25" customHeight="1" x14ac:dyDescent="0.25">
      <c r="A208" s="34">
        <v>0</v>
      </c>
      <c r="B208" s="34">
        <v>1</v>
      </c>
      <c r="C208" s="34">
        <v>6</v>
      </c>
      <c r="D208" s="35" t="s">
        <v>1022</v>
      </c>
      <c r="E208" s="35" t="s">
        <v>169</v>
      </c>
      <c r="F208" s="35" t="s">
        <v>1023</v>
      </c>
      <c r="G208" s="35" t="s">
        <v>1114</v>
      </c>
      <c r="H208" s="35" t="s">
        <v>358</v>
      </c>
      <c r="I208" s="34" t="s">
        <v>1024</v>
      </c>
      <c r="J208" s="34">
        <v>99</v>
      </c>
      <c r="K208" s="36" t="s">
        <v>972</v>
      </c>
      <c r="L208" s="36" t="s">
        <v>39</v>
      </c>
      <c r="M208" s="37" t="s">
        <v>39</v>
      </c>
      <c r="N208" s="37" t="s">
        <v>1743</v>
      </c>
      <c r="O208" s="38">
        <v>1</v>
      </c>
      <c r="P208" s="38">
        <v>1</v>
      </c>
      <c r="R208" s="1">
        <f t="shared" si="83"/>
        <v>0</v>
      </c>
      <c r="S208" s="1">
        <f t="shared" si="84"/>
        <v>0</v>
      </c>
      <c r="T208" s="1">
        <f t="shared" si="85"/>
        <v>0</v>
      </c>
      <c r="U208" s="1">
        <f t="shared" si="86"/>
        <v>0</v>
      </c>
      <c r="V208" s="1">
        <f t="shared" si="87"/>
        <v>0</v>
      </c>
      <c r="W208" s="1">
        <f t="shared" si="88"/>
        <v>0</v>
      </c>
      <c r="X208" s="1">
        <f t="shared" si="89"/>
        <v>0</v>
      </c>
      <c r="Y208" s="1">
        <f t="shared" si="90"/>
        <v>0</v>
      </c>
      <c r="Z208" s="1">
        <f t="shared" si="91"/>
        <v>0</v>
      </c>
      <c r="AA208" s="1">
        <f t="shared" si="92"/>
        <v>0</v>
      </c>
      <c r="AC208" s="1">
        <f t="shared" si="93"/>
        <v>1</v>
      </c>
      <c r="AD208" s="1">
        <f t="shared" si="94"/>
        <v>0</v>
      </c>
      <c r="AE208" s="1">
        <f t="shared" si="95"/>
        <v>1</v>
      </c>
      <c r="AF208" s="1">
        <f t="shared" si="96"/>
        <v>0</v>
      </c>
      <c r="AG208" s="1">
        <f t="shared" si="97"/>
        <v>1</v>
      </c>
      <c r="AH208" s="1">
        <f t="shared" si="98"/>
        <v>0</v>
      </c>
    </row>
    <row r="209" spans="1:34" ht="14.25" customHeight="1" x14ac:dyDescent="0.25">
      <c r="A209" s="47">
        <v>0</v>
      </c>
      <c r="B209" s="47">
        <v>1</v>
      </c>
      <c r="C209" s="47">
        <v>6</v>
      </c>
      <c r="D209" s="48" t="s">
        <v>95</v>
      </c>
      <c r="E209" s="48" t="s">
        <v>171</v>
      </c>
      <c r="F209" s="48" t="s">
        <v>292</v>
      </c>
      <c r="G209" s="48" t="s">
        <v>196</v>
      </c>
      <c r="H209" s="48" t="s">
        <v>358</v>
      </c>
      <c r="I209" s="47" t="s">
        <v>447</v>
      </c>
      <c r="J209" s="47">
        <v>9</v>
      </c>
      <c r="K209" s="49" t="s">
        <v>710</v>
      </c>
      <c r="L209" s="49" t="s">
        <v>702</v>
      </c>
      <c r="M209" s="50" t="s">
        <v>714</v>
      </c>
      <c r="N209" s="50" t="s">
        <v>1755</v>
      </c>
      <c r="O209" s="51"/>
      <c r="P209" s="51"/>
      <c r="R209" s="1">
        <f t="shared" si="83"/>
        <v>0</v>
      </c>
      <c r="S209" s="1">
        <f t="shared" si="84"/>
        <v>0</v>
      </c>
      <c r="T209" s="1">
        <f t="shared" si="85"/>
        <v>0</v>
      </c>
      <c r="U209" s="1">
        <f t="shared" si="86"/>
        <v>0</v>
      </c>
      <c r="V209" s="1">
        <f t="shared" si="87"/>
        <v>0</v>
      </c>
      <c r="W209" s="1">
        <f t="shared" si="88"/>
        <v>0</v>
      </c>
      <c r="X209" s="1">
        <f t="shared" si="89"/>
        <v>0</v>
      </c>
      <c r="Y209" s="1">
        <f t="shared" si="90"/>
        <v>0</v>
      </c>
      <c r="Z209" s="1">
        <f t="shared" si="91"/>
        <v>1</v>
      </c>
      <c r="AA209" s="1">
        <f t="shared" si="92"/>
        <v>0</v>
      </c>
      <c r="AC209" s="1">
        <f t="shared" si="93"/>
        <v>0</v>
      </c>
      <c r="AD209" s="1">
        <f t="shared" si="94"/>
        <v>0</v>
      </c>
      <c r="AE209" s="1">
        <f t="shared" si="95"/>
        <v>0</v>
      </c>
      <c r="AF209" s="1">
        <f t="shared" si="96"/>
        <v>0</v>
      </c>
      <c r="AG209" s="1">
        <f t="shared" si="97"/>
        <v>0</v>
      </c>
      <c r="AH209" s="1">
        <f t="shared" si="98"/>
        <v>1</v>
      </c>
    </row>
    <row r="210" spans="1:34" ht="14.25" customHeight="1" x14ac:dyDescent="0.25">
      <c r="A210" s="41">
        <v>0</v>
      </c>
      <c r="B210" s="41">
        <v>1</v>
      </c>
      <c r="C210" s="41">
        <v>6</v>
      </c>
      <c r="D210" s="42" t="s">
        <v>1625</v>
      </c>
      <c r="E210" s="42" t="s">
        <v>1626</v>
      </c>
      <c r="F210" s="42" t="s">
        <v>1627</v>
      </c>
      <c r="G210" s="42" t="s">
        <v>194</v>
      </c>
      <c r="H210" s="42" t="s">
        <v>358</v>
      </c>
      <c r="I210" s="41" t="s">
        <v>1628</v>
      </c>
      <c r="J210" s="41">
        <v>10</v>
      </c>
      <c r="K210" s="43" t="s">
        <v>964</v>
      </c>
      <c r="L210" s="43" t="s">
        <v>694</v>
      </c>
      <c r="M210" s="44" t="s">
        <v>1629</v>
      </c>
      <c r="N210" s="45"/>
      <c r="O210" s="46"/>
      <c r="P210" s="46">
        <v>1</v>
      </c>
      <c r="R210" s="1">
        <f t="shared" si="83"/>
        <v>0</v>
      </c>
      <c r="S210" s="1">
        <f t="shared" si="84"/>
        <v>0</v>
      </c>
      <c r="T210" s="1">
        <f t="shared" si="85"/>
        <v>0</v>
      </c>
      <c r="U210" s="1">
        <f t="shared" si="86"/>
        <v>0</v>
      </c>
      <c r="V210" s="1">
        <f t="shared" si="87"/>
        <v>0</v>
      </c>
      <c r="W210" s="1">
        <f t="shared" si="88"/>
        <v>0</v>
      </c>
      <c r="X210" s="1">
        <f t="shared" si="89"/>
        <v>0</v>
      </c>
      <c r="Y210" s="1">
        <f t="shared" si="90"/>
        <v>0</v>
      </c>
      <c r="Z210" s="1">
        <f t="shared" si="91"/>
        <v>0</v>
      </c>
      <c r="AA210" s="1">
        <f t="shared" si="92"/>
        <v>1</v>
      </c>
      <c r="AC210" s="1">
        <f t="shared" si="93"/>
        <v>0</v>
      </c>
      <c r="AD210" s="1">
        <f t="shared" si="94"/>
        <v>0</v>
      </c>
      <c r="AE210" s="1">
        <f t="shared" si="95"/>
        <v>0</v>
      </c>
      <c r="AF210" s="1">
        <f t="shared" si="96"/>
        <v>0</v>
      </c>
      <c r="AG210" s="1">
        <f t="shared" si="97"/>
        <v>1</v>
      </c>
      <c r="AH210" s="1">
        <f t="shared" si="98"/>
        <v>0</v>
      </c>
    </row>
    <row r="211" spans="1:34" ht="14.25" customHeight="1" x14ac:dyDescent="0.25">
      <c r="A211" s="47">
        <v>0</v>
      </c>
      <c r="B211" s="47">
        <v>1</v>
      </c>
      <c r="C211" s="47">
        <v>6</v>
      </c>
      <c r="D211" s="48" t="s">
        <v>96</v>
      </c>
      <c r="E211" s="48" t="s">
        <v>167</v>
      </c>
      <c r="F211" s="48" t="s">
        <v>293</v>
      </c>
      <c r="G211" s="48" t="s">
        <v>294</v>
      </c>
      <c r="H211" s="48" t="s">
        <v>358</v>
      </c>
      <c r="I211" s="47" t="s">
        <v>448</v>
      </c>
      <c r="J211" s="47">
        <v>7</v>
      </c>
      <c r="K211" s="49" t="s">
        <v>710</v>
      </c>
      <c r="L211" s="49" t="s">
        <v>702</v>
      </c>
      <c r="M211" s="50" t="s">
        <v>706</v>
      </c>
      <c r="N211" s="50" t="s">
        <v>1750</v>
      </c>
      <c r="O211" s="51"/>
      <c r="P211" s="51"/>
      <c r="R211" s="1">
        <f t="shared" si="83"/>
        <v>0</v>
      </c>
      <c r="S211" s="1">
        <f t="shared" si="84"/>
        <v>0</v>
      </c>
      <c r="T211" s="1">
        <f t="shared" si="85"/>
        <v>0</v>
      </c>
      <c r="U211" s="1">
        <f t="shared" si="86"/>
        <v>0</v>
      </c>
      <c r="V211" s="1">
        <f t="shared" si="87"/>
        <v>0</v>
      </c>
      <c r="W211" s="1">
        <f t="shared" si="88"/>
        <v>0</v>
      </c>
      <c r="X211" s="1">
        <f t="shared" si="89"/>
        <v>1</v>
      </c>
      <c r="Y211" s="1">
        <f t="shared" si="90"/>
        <v>0</v>
      </c>
      <c r="Z211" s="1">
        <f t="shared" si="91"/>
        <v>0</v>
      </c>
      <c r="AA211" s="1">
        <f t="shared" si="92"/>
        <v>0</v>
      </c>
      <c r="AC211" s="1">
        <f t="shared" si="93"/>
        <v>0</v>
      </c>
      <c r="AD211" s="1">
        <f t="shared" si="94"/>
        <v>0</v>
      </c>
      <c r="AE211" s="1">
        <f t="shared" si="95"/>
        <v>0</v>
      </c>
      <c r="AF211" s="1">
        <f t="shared" si="96"/>
        <v>0</v>
      </c>
      <c r="AG211" s="1">
        <f t="shared" si="97"/>
        <v>0</v>
      </c>
      <c r="AH211" s="1">
        <f t="shared" si="98"/>
        <v>1</v>
      </c>
    </row>
    <row r="212" spans="1:34" ht="14.25" customHeight="1" x14ac:dyDescent="0.25">
      <c r="A212" s="34">
        <v>0</v>
      </c>
      <c r="B212" s="34">
        <v>1</v>
      </c>
      <c r="C212" s="34">
        <v>6</v>
      </c>
      <c r="D212" s="35" t="s">
        <v>1096</v>
      </c>
      <c r="E212" s="35" t="s">
        <v>169</v>
      </c>
      <c r="F212" s="35" t="s">
        <v>667</v>
      </c>
      <c r="G212" s="35" t="s">
        <v>181</v>
      </c>
      <c r="H212" s="35" t="s">
        <v>358</v>
      </c>
      <c r="I212" s="34" t="s">
        <v>385</v>
      </c>
      <c r="J212" s="34">
        <v>10</v>
      </c>
      <c r="K212" s="36" t="s">
        <v>730</v>
      </c>
      <c r="L212" s="36" t="s">
        <v>712</v>
      </c>
      <c r="M212" s="37" t="s">
        <v>715</v>
      </c>
      <c r="N212" s="37" t="s">
        <v>1766</v>
      </c>
      <c r="O212" s="38">
        <v>1</v>
      </c>
      <c r="P212" s="38"/>
      <c r="R212" s="1">
        <f t="shared" si="83"/>
        <v>0</v>
      </c>
      <c r="S212" s="1">
        <f t="shared" si="84"/>
        <v>0</v>
      </c>
      <c r="T212" s="1">
        <f t="shared" si="85"/>
        <v>0</v>
      </c>
      <c r="U212" s="1">
        <f t="shared" si="86"/>
        <v>0</v>
      </c>
      <c r="V212" s="1">
        <f t="shared" si="87"/>
        <v>0</v>
      </c>
      <c r="W212" s="1">
        <f t="shared" si="88"/>
        <v>0</v>
      </c>
      <c r="X212" s="1">
        <f t="shared" si="89"/>
        <v>0</v>
      </c>
      <c r="Y212" s="1">
        <f t="shared" si="90"/>
        <v>0</v>
      </c>
      <c r="Z212" s="1">
        <f t="shared" si="91"/>
        <v>0</v>
      </c>
      <c r="AA212" s="1">
        <f t="shared" si="92"/>
        <v>1</v>
      </c>
      <c r="AC212" s="1">
        <f t="shared" si="93"/>
        <v>0</v>
      </c>
      <c r="AD212" s="1">
        <f t="shared" si="94"/>
        <v>1</v>
      </c>
      <c r="AE212" s="1">
        <f t="shared" si="95"/>
        <v>0</v>
      </c>
      <c r="AF212" s="1">
        <f t="shared" si="96"/>
        <v>1</v>
      </c>
      <c r="AG212" s="1">
        <f t="shared" si="97"/>
        <v>0</v>
      </c>
      <c r="AH212" s="1">
        <f t="shared" si="98"/>
        <v>1</v>
      </c>
    </row>
    <row r="213" spans="1:34" ht="14.25" customHeight="1" x14ac:dyDescent="0.25">
      <c r="A213" s="34">
        <v>0</v>
      </c>
      <c r="B213" s="34">
        <v>1</v>
      </c>
      <c r="C213" s="34">
        <v>6</v>
      </c>
      <c r="D213" s="35" t="s">
        <v>1244</v>
      </c>
      <c r="E213" s="35" t="s">
        <v>167</v>
      </c>
      <c r="F213" s="35" t="s">
        <v>1245</v>
      </c>
      <c r="G213" s="35" t="s">
        <v>1247</v>
      </c>
      <c r="H213" s="35" t="s">
        <v>358</v>
      </c>
      <c r="I213" s="34" t="s">
        <v>1246</v>
      </c>
      <c r="J213" s="34">
        <v>99</v>
      </c>
      <c r="K213" s="36" t="s">
        <v>730</v>
      </c>
      <c r="L213" s="36" t="s">
        <v>701</v>
      </c>
      <c r="M213" s="37" t="s">
        <v>1416</v>
      </c>
      <c r="N213" s="37" t="s">
        <v>1759</v>
      </c>
      <c r="O213" s="38">
        <v>1</v>
      </c>
      <c r="P213" s="38"/>
      <c r="R213" s="1">
        <f t="shared" si="83"/>
        <v>0</v>
      </c>
      <c r="S213" s="1">
        <f t="shared" si="84"/>
        <v>0</v>
      </c>
      <c r="T213" s="1">
        <f t="shared" si="85"/>
        <v>0</v>
      </c>
      <c r="U213" s="1">
        <f t="shared" si="86"/>
        <v>0</v>
      </c>
      <c r="V213" s="1">
        <f t="shared" si="87"/>
        <v>0</v>
      </c>
      <c r="W213" s="1">
        <f t="shared" si="88"/>
        <v>0</v>
      </c>
      <c r="X213" s="1">
        <f t="shared" si="89"/>
        <v>0</v>
      </c>
      <c r="Y213" s="1">
        <f t="shared" si="90"/>
        <v>0</v>
      </c>
      <c r="Z213" s="1">
        <f t="shared" si="91"/>
        <v>0</v>
      </c>
      <c r="AA213" s="1">
        <f t="shared" si="92"/>
        <v>0</v>
      </c>
      <c r="AC213" s="1">
        <f t="shared" si="93"/>
        <v>0</v>
      </c>
      <c r="AD213" s="1">
        <f t="shared" si="94"/>
        <v>1</v>
      </c>
      <c r="AE213" s="1">
        <f t="shared" si="95"/>
        <v>0</v>
      </c>
      <c r="AF213" s="1">
        <f t="shared" si="96"/>
        <v>1</v>
      </c>
      <c r="AG213" s="1">
        <f t="shared" si="97"/>
        <v>0</v>
      </c>
      <c r="AH213" s="1">
        <f t="shared" si="98"/>
        <v>1</v>
      </c>
    </row>
    <row r="214" spans="1:34" ht="14.25" customHeight="1" x14ac:dyDescent="0.25">
      <c r="A214" s="34">
        <v>0</v>
      </c>
      <c r="B214" s="34">
        <v>1</v>
      </c>
      <c r="C214" s="34">
        <v>6</v>
      </c>
      <c r="D214" s="35" t="s">
        <v>986</v>
      </c>
      <c r="E214" s="35" t="s">
        <v>167</v>
      </c>
      <c r="F214" s="35" t="s">
        <v>984</v>
      </c>
      <c r="G214" s="35" t="s">
        <v>1116</v>
      </c>
      <c r="H214" s="35" t="s">
        <v>358</v>
      </c>
      <c r="I214" s="34" t="s">
        <v>985</v>
      </c>
      <c r="J214" s="34">
        <v>1</v>
      </c>
      <c r="K214" s="36" t="s">
        <v>964</v>
      </c>
      <c r="L214" s="36" t="s">
        <v>697</v>
      </c>
      <c r="M214" s="37" t="s">
        <v>1417</v>
      </c>
      <c r="N214" s="37" t="s">
        <v>1764</v>
      </c>
      <c r="O214" s="38">
        <v>1</v>
      </c>
      <c r="P214" s="38"/>
      <c r="R214" s="1">
        <f t="shared" si="83"/>
        <v>1</v>
      </c>
      <c r="S214" s="1">
        <f t="shared" si="84"/>
        <v>0</v>
      </c>
      <c r="T214" s="1">
        <f t="shared" si="85"/>
        <v>0</v>
      </c>
      <c r="U214" s="1">
        <f t="shared" si="86"/>
        <v>0</v>
      </c>
      <c r="V214" s="1">
        <f t="shared" si="87"/>
        <v>0</v>
      </c>
      <c r="W214" s="1">
        <f t="shared" si="88"/>
        <v>0</v>
      </c>
      <c r="X214" s="1">
        <f t="shared" si="89"/>
        <v>0</v>
      </c>
      <c r="Y214" s="1">
        <f t="shared" si="90"/>
        <v>0</v>
      </c>
      <c r="Z214" s="1">
        <f t="shared" si="91"/>
        <v>0</v>
      </c>
      <c r="AA214" s="1">
        <f t="shared" si="92"/>
        <v>0</v>
      </c>
      <c r="AC214" s="1">
        <f t="shared" si="93"/>
        <v>0</v>
      </c>
      <c r="AD214" s="1">
        <f t="shared" si="94"/>
        <v>1</v>
      </c>
      <c r="AE214" s="1">
        <f t="shared" si="95"/>
        <v>0</v>
      </c>
      <c r="AF214" s="1">
        <f t="shared" si="96"/>
        <v>1</v>
      </c>
      <c r="AG214" s="1">
        <f t="shared" si="97"/>
        <v>0</v>
      </c>
      <c r="AH214" s="1">
        <f t="shared" si="98"/>
        <v>1</v>
      </c>
    </row>
    <row r="215" spans="1:34" ht="14.25" customHeight="1" x14ac:dyDescent="0.25">
      <c r="A215" s="47">
        <v>0</v>
      </c>
      <c r="B215" s="47">
        <v>1</v>
      </c>
      <c r="C215" s="47">
        <v>6</v>
      </c>
      <c r="D215" s="48" t="s">
        <v>527</v>
      </c>
      <c r="E215" s="48" t="s">
        <v>169</v>
      </c>
      <c r="F215" s="48" t="s">
        <v>528</v>
      </c>
      <c r="G215" s="48" t="s">
        <v>529</v>
      </c>
      <c r="H215" s="48" t="s">
        <v>358</v>
      </c>
      <c r="I215" s="47" t="s">
        <v>530</v>
      </c>
      <c r="J215" s="47">
        <v>99</v>
      </c>
      <c r="K215" s="49" t="s">
        <v>710</v>
      </c>
      <c r="L215" s="49" t="s">
        <v>702</v>
      </c>
      <c r="M215" s="50" t="s">
        <v>715</v>
      </c>
      <c r="N215" s="50" t="s">
        <v>1825</v>
      </c>
      <c r="O215" s="51"/>
      <c r="P215" s="51"/>
      <c r="R215" s="1">
        <f t="shared" si="83"/>
        <v>0</v>
      </c>
      <c r="S215" s="1">
        <f t="shared" si="84"/>
        <v>0</v>
      </c>
      <c r="T215" s="1">
        <f t="shared" si="85"/>
        <v>0</v>
      </c>
      <c r="U215" s="1">
        <f t="shared" si="86"/>
        <v>0</v>
      </c>
      <c r="V215" s="1">
        <f t="shared" si="87"/>
        <v>0</v>
      </c>
      <c r="W215" s="1">
        <f t="shared" si="88"/>
        <v>0</v>
      </c>
      <c r="X215" s="1">
        <f t="shared" si="89"/>
        <v>0</v>
      </c>
      <c r="Y215" s="1">
        <f t="shared" si="90"/>
        <v>0</v>
      </c>
      <c r="Z215" s="1">
        <f t="shared" si="91"/>
        <v>0</v>
      </c>
      <c r="AA215" s="1">
        <f t="shared" si="92"/>
        <v>0</v>
      </c>
      <c r="AC215" s="1">
        <f t="shared" si="93"/>
        <v>0</v>
      </c>
      <c r="AD215" s="1">
        <f t="shared" si="94"/>
        <v>0</v>
      </c>
      <c r="AE215" s="1">
        <f t="shared" si="95"/>
        <v>0</v>
      </c>
      <c r="AF215" s="1">
        <f t="shared" si="96"/>
        <v>0</v>
      </c>
      <c r="AG215" s="1">
        <f t="shared" si="97"/>
        <v>0</v>
      </c>
      <c r="AH215" s="1">
        <f t="shared" si="98"/>
        <v>1</v>
      </c>
    </row>
    <row r="216" spans="1:34" ht="14.25" customHeight="1" x14ac:dyDescent="0.25">
      <c r="A216" s="41">
        <v>0</v>
      </c>
      <c r="B216" s="41">
        <v>1</v>
      </c>
      <c r="C216" s="41">
        <v>6</v>
      </c>
      <c r="D216" s="42" t="s">
        <v>1853</v>
      </c>
      <c r="E216" s="42" t="s">
        <v>1854</v>
      </c>
      <c r="F216" s="42" t="s">
        <v>1855</v>
      </c>
      <c r="G216" s="42"/>
      <c r="H216" s="42" t="s">
        <v>358</v>
      </c>
      <c r="I216" s="41" t="s">
        <v>1856</v>
      </c>
      <c r="J216" s="41"/>
      <c r="K216" s="43" t="s">
        <v>711</v>
      </c>
      <c r="L216" s="43"/>
      <c r="M216" s="44"/>
      <c r="N216" s="45"/>
      <c r="O216" s="46"/>
      <c r="P216" s="46">
        <v>1</v>
      </c>
      <c r="R216" s="1">
        <f t="shared" si="83"/>
        <v>0</v>
      </c>
      <c r="S216" s="1">
        <f t="shared" si="84"/>
        <v>0</v>
      </c>
      <c r="T216" s="1">
        <f t="shared" si="85"/>
        <v>0</v>
      </c>
      <c r="U216" s="1">
        <f t="shared" si="86"/>
        <v>0</v>
      </c>
      <c r="V216" s="1">
        <f t="shared" si="87"/>
        <v>0</v>
      </c>
      <c r="W216" s="1">
        <f t="shared" si="88"/>
        <v>0</v>
      </c>
      <c r="X216" s="1">
        <f t="shared" si="89"/>
        <v>0</v>
      </c>
      <c r="Y216" s="1">
        <f t="shared" si="90"/>
        <v>0</v>
      </c>
      <c r="Z216" s="1">
        <f t="shared" si="91"/>
        <v>0</v>
      </c>
      <c r="AA216" s="1">
        <f t="shared" si="92"/>
        <v>0</v>
      </c>
      <c r="AC216" s="1">
        <f t="shared" si="93"/>
        <v>0</v>
      </c>
      <c r="AD216" s="1">
        <f t="shared" si="94"/>
        <v>0</v>
      </c>
      <c r="AE216" s="1">
        <f t="shared" si="95"/>
        <v>0</v>
      </c>
      <c r="AF216" s="1">
        <f t="shared" si="96"/>
        <v>0</v>
      </c>
      <c r="AG216" s="1">
        <f t="shared" si="97"/>
        <v>1</v>
      </c>
      <c r="AH216" s="1">
        <f t="shared" si="98"/>
        <v>0</v>
      </c>
    </row>
    <row r="217" spans="1:34" ht="14.25" customHeight="1" x14ac:dyDescent="0.25">
      <c r="A217" s="47">
        <v>0</v>
      </c>
      <c r="B217" s="47">
        <v>1</v>
      </c>
      <c r="C217" s="47">
        <v>6</v>
      </c>
      <c r="D217" s="48" t="s">
        <v>1496</v>
      </c>
      <c r="E217" s="48" t="s">
        <v>169</v>
      </c>
      <c r="F217" s="48" t="s">
        <v>1498</v>
      </c>
      <c r="G217" s="48" t="s">
        <v>1499</v>
      </c>
      <c r="H217" s="48" t="s">
        <v>358</v>
      </c>
      <c r="I217" s="47" t="s">
        <v>1497</v>
      </c>
      <c r="J217" s="47">
        <v>99</v>
      </c>
      <c r="K217" s="49" t="s">
        <v>711</v>
      </c>
      <c r="L217" s="49">
        <v>62</v>
      </c>
      <c r="M217" s="50"/>
      <c r="N217" s="50" t="s">
        <v>1750</v>
      </c>
      <c r="O217" s="51"/>
      <c r="P217" s="51"/>
      <c r="R217" s="1">
        <f t="shared" si="83"/>
        <v>0</v>
      </c>
      <c r="S217" s="1">
        <f t="shared" si="84"/>
        <v>0</v>
      </c>
      <c r="T217" s="1">
        <f t="shared" si="85"/>
        <v>0</v>
      </c>
      <c r="U217" s="1">
        <f t="shared" si="86"/>
        <v>0</v>
      </c>
      <c r="V217" s="1">
        <f t="shared" si="87"/>
        <v>0</v>
      </c>
      <c r="W217" s="1">
        <f t="shared" si="88"/>
        <v>0</v>
      </c>
      <c r="X217" s="1">
        <f t="shared" si="89"/>
        <v>0</v>
      </c>
      <c r="Y217" s="1">
        <f t="shared" si="90"/>
        <v>0</v>
      </c>
      <c r="Z217" s="1">
        <f t="shared" si="91"/>
        <v>0</v>
      </c>
      <c r="AA217" s="1">
        <f t="shared" si="92"/>
        <v>0</v>
      </c>
      <c r="AC217" s="1">
        <f t="shared" si="93"/>
        <v>0</v>
      </c>
      <c r="AD217" s="1">
        <f t="shared" si="94"/>
        <v>0</v>
      </c>
      <c r="AE217" s="1">
        <f t="shared" si="95"/>
        <v>0</v>
      </c>
      <c r="AF217" s="1">
        <f t="shared" si="96"/>
        <v>0</v>
      </c>
      <c r="AG217" s="1">
        <f t="shared" si="97"/>
        <v>0</v>
      </c>
      <c r="AH217" s="1">
        <f t="shared" si="98"/>
        <v>1</v>
      </c>
    </row>
    <row r="218" spans="1:34" ht="14.25" customHeight="1" x14ac:dyDescent="0.25">
      <c r="A218" s="34">
        <v>0</v>
      </c>
      <c r="B218" s="34">
        <v>1</v>
      </c>
      <c r="C218" s="34">
        <v>6</v>
      </c>
      <c r="D218" s="35" t="s">
        <v>1211</v>
      </c>
      <c r="E218" s="35" t="s">
        <v>167</v>
      </c>
      <c r="F218" s="35" t="s">
        <v>1686</v>
      </c>
      <c r="G218" s="35" t="s">
        <v>215</v>
      </c>
      <c r="H218" s="35" t="s">
        <v>358</v>
      </c>
      <c r="I218" s="34" t="s">
        <v>1212</v>
      </c>
      <c r="J218" s="34">
        <v>1</v>
      </c>
      <c r="K218" s="36" t="s">
        <v>970</v>
      </c>
      <c r="L218" s="36" t="s">
        <v>694</v>
      </c>
      <c r="M218" s="37" t="s">
        <v>1588</v>
      </c>
      <c r="N218" s="37" t="s">
        <v>1771</v>
      </c>
      <c r="O218" s="38">
        <v>1</v>
      </c>
      <c r="P218" s="38"/>
      <c r="R218" s="1">
        <f t="shared" si="83"/>
        <v>1</v>
      </c>
      <c r="S218" s="1">
        <f t="shared" si="84"/>
        <v>0</v>
      </c>
      <c r="T218" s="1">
        <f t="shared" si="85"/>
        <v>0</v>
      </c>
      <c r="U218" s="1">
        <f t="shared" si="86"/>
        <v>0</v>
      </c>
      <c r="V218" s="1">
        <f t="shared" si="87"/>
        <v>0</v>
      </c>
      <c r="W218" s="1">
        <f t="shared" si="88"/>
        <v>0</v>
      </c>
      <c r="X218" s="1">
        <f t="shared" si="89"/>
        <v>0</v>
      </c>
      <c r="Y218" s="1">
        <f t="shared" si="90"/>
        <v>0</v>
      </c>
      <c r="Z218" s="1">
        <f t="shared" si="91"/>
        <v>0</v>
      </c>
      <c r="AA218" s="1">
        <f t="shared" si="92"/>
        <v>0</v>
      </c>
      <c r="AC218" s="1">
        <f t="shared" si="93"/>
        <v>0</v>
      </c>
      <c r="AD218" s="1">
        <f t="shared" si="94"/>
        <v>1</v>
      </c>
      <c r="AE218" s="1">
        <f t="shared" si="95"/>
        <v>0</v>
      </c>
      <c r="AF218" s="1">
        <f t="shared" si="96"/>
        <v>1</v>
      </c>
      <c r="AG218" s="1">
        <f t="shared" si="97"/>
        <v>0</v>
      </c>
      <c r="AH218" s="1">
        <f t="shared" si="98"/>
        <v>1</v>
      </c>
    </row>
    <row r="219" spans="1:34" ht="14.25" customHeight="1" x14ac:dyDescent="0.25">
      <c r="A219" s="34">
        <v>0</v>
      </c>
      <c r="B219" s="34">
        <v>1</v>
      </c>
      <c r="C219" s="34">
        <v>6</v>
      </c>
      <c r="D219" s="35" t="s">
        <v>99</v>
      </c>
      <c r="E219" s="35" t="s">
        <v>169</v>
      </c>
      <c r="F219" s="35" t="s">
        <v>299</v>
      </c>
      <c r="G219" s="35" t="s">
        <v>288</v>
      </c>
      <c r="H219" s="35" t="s">
        <v>358</v>
      </c>
      <c r="I219" s="34" t="s">
        <v>1129</v>
      </c>
      <c r="J219" s="34">
        <v>10</v>
      </c>
      <c r="K219" s="36" t="s">
        <v>964</v>
      </c>
      <c r="L219" s="36" t="s">
        <v>702</v>
      </c>
      <c r="M219" s="37" t="s">
        <v>713</v>
      </c>
      <c r="N219" s="37" t="s">
        <v>1765</v>
      </c>
      <c r="O219" s="38">
        <v>1</v>
      </c>
      <c r="P219" s="38"/>
      <c r="R219" s="1">
        <f t="shared" si="83"/>
        <v>0</v>
      </c>
      <c r="S219" s="1">
        <f t="shared" si="84"/>
        <v>0</v>
      </c>
      <c r="T219" s="1">
        <f t="shared" si="85"/>
        <v>0</v>
      </c>
      <c r="U219" s="1">
        <f t="shared" si="86"/>
        <v>0</v>
      </c>
      <c r="V219" s="1">
        <f t="shared" si="87"/>
        <v>0</v>
      </c>
      <c r="W219" s="1">
        <f t="shared" si="88"/>
        <v>0</v>
      </c>
      <c r="X219" s="1">
        <f t="shared" si="89"/>
        <v>0</v>
      </c>
      <c r="Y219" s="1">
        <f t="shared" si="90"/>
        <v>0</v>
      </c>
      <c r="Z219" s="1">
        <f t="shared" si="91"/>
        <v>0</v>
      </c>
      <c r="AA219" s="1">
        <f t="shared" si="92"/>
        <v>1</v>
      </c>
      <c r="AC219" s="1">
        <f t="shared" si="93"/>
        <v>0</v>
      </c>
      <c r="AD219" s="1">
        <f t="shared" si="94"/>
        <v>1</v>
      </c>
      <c r="AE219" s="1">
        <f t="shared" si="95"/>
        <v>0</v>
      </c>
      <c r="AF219" s="1">
        <f t="shared" si="96"/>
        <v>1</v>
      </c>
      <c r="AG219" s="1">
        <f t="shared" si="97"/>
        <v>0</v>
      </c>
      <c r="AH219" s="1">
        <f t="shared" si="98"/>
        <v>1</v>
      </c>
    </row>
    <row r="220" spans="1:34" ht="14.25" customHeight="1" x14ac:dyDescent="0.25">
      <c r="A220" s="34">
        <v>0</v>
      </c>
      <c r="B220" s="34">
        <v>1</v>
      </c>
      <c r="C220" s="34">
        <v>6</v>
      </c>
      <c r="D220" s="35" t="s">
        <v>609</v>
      </c>
      <c r="E220" s="35" t="s">
        <v>167</v>
      </c>
      <c r="F220" s="35" t="s">
        <v>611</v>
      </c>
      <c r="G220" s="35" t="s">
        <v>39</v>
      </c>
      <c r="H220" s="35" t="s">
        <v>358</v>
      </c>
      <c r="I220" s="34" t="s">
        <v>610</v>
      </c>
      <c r="J220" s="34">
        <v>99</v>
      </c>
      <c r="K220" s="36" t="s">
        <v>964</v>
      </c>
      <c r="L220" s="36" t="s">
        <v>701</v>
      </c>
      <c r="M220" s="37" t="s">
        <v>978</v>
      </c>
      <c r="N220" s="37" t="s">
        <v>1765</v>
      </c>
      <c r="O220" s="38">
        <v>1</v>
      </c>
      <c r="P220" s="38"/>
      <c r="R220" s="1">
        <f t="shared" si="83"/>
        <v>0</v>
      </c>
      <c r="S220" s="1">
        <f t="shared" si="84"/>
        <v>0</v>
      </c>
      <c r="T220" s="1">
        <f t="shared" si="85"/>
        <v>0</v>
      </c>
      <c r="U220" s="1">
        <f t="shared" si="86"/>
        <v>0</v>
      </c>
      <c r="V220" s="1">
        <f t="shared" si="87"/>
        <v>0</v>
      </c>
      <c r="W220" s="1">
        <f t="shared" si="88"/>
        <v>0</v>
      </c>
      <c r="X220" s="1">
        <f t="shared" si="89"/>
        <v>0</v>
      </c>
      <c r="Y220" s="1">
        <f t="shared" si="90"/>
        <v>0</v>
      </c>
      <c r="Z220" s="1">
        <f t="shared" si="91"/>
        <v>0</v>
      </c>
      <c r="AA220" s="1">
        <f t="shared" si="92"/>
        <v>0</v>
      </c>
      <c r="AC220" s="1">
        <f t="shared" si="93"/>
        <v>0</v>
      </c>
      <c r="AD220" s="1">
        <f t="shared" si="94"/>
        <v>1</v>
      </c>
      <c r="AE220" s="1">
        <f t="shared" si="95"/>
        <v>0</v>
      </c>
      <c r="AF220" s="1">
        <f t="shared" si="96"/>
        <v>1</v>
      </c>
      <c r="AG220" s="1">
        <f t="shared" si="97"/>
        <v>0</v>
      </c>
      <c r="AH220" s="1">
        <f t="shared" si="98"/>
        <v>1</v>
      </c>
    </row>
    <row r="221" spans="1:34" ht="14.25" customHeight="1" x14ac:dyDescent="0.25">
      <c r="A221" s="34">
        <v>0</v>
      </c>
      <c r="B221" s="34">
        <v>1</v>
      </c>
      <c r="C221" s="34">
        <v>6</v>
      </c>
      <c r="D221" s="35" t="s">
        <v>1176</v>
      </c>
      <c r="E221" s="35" t="s">
        <v>167</v>
      </c>
      <c r="F221" s="35" t="s">
        <v>1178</v>
      </c>
      <c r="G221" s="35" t="s">
        <v>222</v>
      </c>
      <c r="H221" s="35" t="s">
        <v>358</v>
      </c>
      <c r="I221" s="34" t="s">
        <v>1177</v>
      </c>
      <c r="J221" s="34">
        <v>8</v>
      </c>
      <c r="K221" s="36" t="s">
        <v>710</v>
      </c>
      <c r="L221" s="36" t="s">
        <v>1729</v>
      </c>
      <c r="M221" s="37" t="s">
        <v>1418</v>
      </c>
      <c r="N221" s="37" t="s">
        <v>1764</v>
      </c>
      <c r="O221" s="38">
        <v>1</v>
      </c>
      <c r="P221" s="38"/>
      <c r="R221" s="1">
        <f t="shared" si="83"/>
        <v>0</v>
      </c>
      <c r="S221" s="1">
        <f t="shared" si="84"/>
        <v>0</v>
      </c>
      <c r="T221" s="1">
        <f t="shared" si="85"/>
        <v>0</v>
      </c>
      <c r="U221" s="1">
        <f t="shared" si="86"/>
        <v>0</v>
      </c>
      <c r="V221" s="1">
        <f t="shared" si="87"/>
        <v>0</v>
      </c>
      <c r="W221" s="1">
        <f t="shared" si="88"/>
        <v>0</v>
      </c>
      <c r="X221" s="1">
        <f t="shared" si="89"/>
        <v>0</v>
      </c>
      <c r="Y221" s="1">
        <f t="shared" si="90"/>
        <v>1</v>
      </c>
      <c r="Z221" s="1">
        <f t="shared" si="91"/>
        <v>0</v>
      </c>
      <c r="AA221" s="1">
        <f t="shared" si="92"/>
        <v>0</v>
      </c>
      <c r="AC221" s="1">
        <f t="shared" si="93"/>
        <v>0</v>
      </c>
      <c r="AD221" s="1">
        <f t="shared" si="94"/>
        <v>1</v>
      </c>
      <c r="AE221" s="1">
        <f t="shared" si="95"/>
        <v>0</v>
      </c>
      <c r="AF221" s="1">
        <f t="shared" si="96"/>
        <v>1</v>
      </c>
      <c r="AG221" s="1">
        <f t="shared" si="97"/>
        <v>0</v>
      </c>
      <c r="AH221" s="1">
        <f t="shared" si="98"/>
        <v>1</v>
      </c>
    </row>
    <row r="222" spans="1:34" ht="14.25" customHeight="1" x14ac:dyDescent="0.25">
      <c r="A222" s="47">
        <v>0</v>
      </c>
      <c r="B222" s="47">
        <v>1</v>
      </c>
      <c r="C222" s="47">
        <v>6</v>
      </c>
      <c r="D222" s="48" t="s">
        <v>570</v>
      </c>
      <c r="E222" s="48" t="s">
        <v>169</v>
      </c>
      <c r="F222" s="48" t="s">
        <v>668</v>
      </c>
      <c r="G222" s="48" t="s">
        <v>204</v>
      </c>
      <c r="H222" s="48" t="s">
        <v>358</v>
      </c>
      <c r="I222" s="47" t="s">
        <v>589</v>
      </c>
      <c r="J222" s="47">
        <v>10</v>
      </c>
      <c r="K222" s="49" t="s">
        <v>970</v>
      </c>
      <c r="L222" s="49" t="s">
        <v>701</v>
      </c>
      <c r="M222" s="50" t="s">
        <v>713</v>
      </c>
      <c r="N222" s="50" t="s">
        <v>1755</v>
      </c>
      <c r="O222" s="51"/>
      <c r="P222" s="51"/>
      <c r="R222" s="1">
        <f t="shared" si="83"/>
        <v>0</v>
      </c>
      <c r="S222" s="1">
        <f t="shared" si="84"/>
        <v>0</v>
      </c>
      <c r="T222" s="1">
        <f t="shared" si="85"/>
        <v>0</v>
      </c>
      <c r="U222" s="1">
        <f t="shared" si="86"/>
        <v>0</v>
      </c>
      <c r="V222" s="1">
        <f t="shared" si="87"/>
        <v>0</v>
      </c>
      <c r="W222" s="1">
        <f t="shared" si="88"/>
        <v>0</v>
      </c>
      <c r="X222" s="1">
        <f t="shared" si="89"/>
        <v>0</v>
      </c>
      <c r="Y222" s="1">
        <f t="shared" si="90"/>
        <v>0</v>
      </c>
      <c r="Z222" s="1">
        <f t="shared" si="91"/>
        <v>0</v>
      </c>
      <c r="AA222" s="1">
        <f t="shared" si="92"/>
        <v>1</v>
      </c>
      <c r="AC222" s="1">
        <f t="shared" si="93"/>
        <v>0</v>
      </c>
      <c r="AD222" s="1">
        <f t="shared" si="94"/>
        <v>0</v>
      </c>
      <c r="AE222" s="1">
        <f t="shared" si="95"/>
        <v>0</v>
      </c>
      <c r="AF222" s="1">
        <f t="shared" si="96"/>
        <v>0</v>
      </c>
      <c r="AG222" s="1">
        <f t="shared" si="97"/>
        <v>0</v>
      </c>
      <c r="AH222" s="1">
        <f t="shared" si="98"/>
        <v>1</v>
      </c>
    </row>
    <row r="223" spans="1:34" ht="14.25" customHeight="1" x14ac:dyDescent="0.25">
      <c r="A223" s="47">
        <v>0</v>
      </c>
      <c r="B223" s="47">
        <v>1</v>
      </c>
      <c r="C223" s="47">
        <v>6</v>
      </c>
      <c r="D223" s="48" t="s">
        <v>905</v>
      </c>
      <c r="E223" s="48" t="s">
        <v>169</v>
      </c>
      <c r="F223" s="48" t="s">
        <v>946</v>
      </c>
      <c r="G223" s="48" t="s">
        <v>947</v>
      </c>
      <c r="H223" s="48" t="s">
        <v>358</v>
      </c>
      <c r="I223" s="47" t="s">
        <v>961</v>
      </c>
      <c r="J223" s="47">
        <v>99</v>
      </c>
      <c r="K223" s="49" t="s">
        <v>710</v>
      </c>
      <c r="L223" s="49" t="s">
        <v>697</v>
      </c>
      <c r="M223" s="50" t="s">
        <v>1419</v>
      </c>
      <c r="N223" s="50" t="s">
        <v>1754</v>
      </c>
      <c r="O223" s="51"/>
      <c r="P223" s="51"/>
      <c r="R223" s="1">
        <f t="shared" si="83"/>
        <v>0</v>
      </c>
      <c r="S223" s="1">
        <f t="shared" si="84"/>
        <v>0</v>
      </c>
      <c r="T223" s="1">
        <f t="shared" si="85"/>
        <v>0</v>
      </c>
      <c r="U223" s="1">
        <f t="shared" si="86"/>
        <v>0</v>
      </c>
      <c r="V223" s="1">
        <f t="shared" si="87"/>
        <v>0</v>
      </c>
      <c r="W223" s="1">
        <f t="shared" si="88"/>
        <v>0</v>
      </c>
      <c r="X223" s="1">
        <f t="shared" si="89"/>
        <v>0</v>
      </c>
      <c r="Y223" s="1">
        <f t="shared" si="90"/>
        <v>0</v>
      </c>
      <c r="Z223" s="1">
        <f t="shared" si="91"/>
        <v>0</v>
      </c>
      <c r="AA223" s="1">
        <f t="shared" si="92"/>
        <v>0</v>
      </c>
      <c r="AC223" s="1">
        <f t="shared" si="93"/>
        <v>0</v>
      </c>
      <c r="AD223" s="1">
        <f t="shared" si="94"/>
        <v>0</v>
      </c>
      <c r="AE223" s="1">
        <f t="shared" si="95"/>
        <v>0</v>
      </c>
      <c r="AF223" s="1">
        <f t="shared" si="96"/>
        <v>0</v>
      </c>
      <c r="AG223" s="1">
        <f t="shared" si="97"/>
        <v>0</v>
      </c>
      <c r="AH223" s="1">
        <f t="shared" si="98"/>
        <v>1</v>
      </c>
    </row>
    <row r="224" spans="1:34" ht="14.25" customHeight="1" x14ac:dyDescent="0.25">
      <c r="A224" s="34">
        <v>0</v>
      </c>
      <c r="B224" s="34">
        <v>1</v>
      </c>
      <c r="C224" s="34">
        <v>6</v>
      </c>
      <c r="D224" s="35" t="s">
        <v>101</v>
      </c>
      <c r="E224" s="35" t="s">
        <v>169</v>
      </c>
      <c r="F224" s="35" t="s">
        <v>669</v>
      </c>
      <c r="G224" s="35" t="s">
        <v>671</v>
      </c>
      <c r="H224" s="35" t="s">
        <v>358</v>
      </c>
      <c r="I224" s="34" t="s">
        <v>452</v>
      </c>
      <c r="J224" s="34">
        <v>99</v>
      </c>
      <c r="K224" s="36" t="s">
        <v>730</v>
      </c>
      <c r="L224" s="36" t="s">
        <v>704</v>
      </c>
      <c r="M224" s="37" t="s">
        <v>715</v>
      </c>
      <c r="N224" s="37" t="s">
        <v>1765</v>
      </c>
      <c r="O224" s="38">
        <v>1</v>
      </c>
      <c r="P224" s="38"/>
      <c r="R224" s="1">
        <f t="shared" si="83"/>
        <v>0</v>
      </c>
      <c r="S224" s="1">
        <f t="shared" si="84"/>
        <v>0</v>
      </c>
      <c r="T224" s="1">
        <f t="shared" si="85"/>
        <v>0</v>
      </c>
      <c r="U224" s="1">
        <f t="shared" si="86"/>
        <v>0</v>
      </c>
      <c r="V224" s="1">
        <f t="shared" si="87"/>
        <v>0</v>
      </c>
      <c r="W224" s="1">
        <f t="shared" si="88"/>
        <v>0</v>
      </c>
      <c r="X224" s="1">
        <f t="shared" si="89"/>
        <v>0</v>
      </c>
      <c r="Y224" s="1">
        <f t="shared" si="90"/>
        <v>0</v>
      </c>
      <c r="Z224" s="1">
        <f t="shared" si="91"/>
        <v>0</v>
      </c>
      <c r="AA224" s="1">
        <f t="shared" si="92"/>
        <v>0</v>
      </c>
      <c r="AC224" s="1">
        <f t="shared" si="93"/>
        <v>0</v>
      </c>
      <c r="AD224" s="1">
        <f t="shared" si="94"/>
        <v>1</v>
      </c>
      <c r="AE224" s="1">
        <f t="shared" si="95"/>
        <v>0</v>
      </c>
      <c r="AF224" s="1">
        <f t="shared" si="96"/>
        <v>1</v>
      </c>
      <c r="AG224" s="1">
        <f t="shared" si="97"/>
        <v>0</v>
      </c>
      <c r="AH224" s="1">
        <f t="shared" si="98"/>
        <v>1</v>
      </c>
    </row>
    <row r="225" spans="1:34" ht="14.25" customHeight="1" x14ac:dyDescent="0.25">
      <c r="A225" s="41">
        <v>0</v>
      </c>
      <c r="B225" s="41">
        <v>1</v>
      </c>
      <c r="C225" s="41">
        <v>7</v>
      </c>
      <c r="D225" s="42" t="s">
        <v>87</v>
      </c>
      <c r="E225" s="42" t="s">
        <v>29</v>
      </c>
      <c r="F225" s="42" t="s">
        <v>670</v>
      </c>
      <c r="G225" s="42" t="s">
        <v>671</v>
      </c>
      <c r="H225" s="42" t="s">
        <v>358</v>
      </c>
      <c r="I225" s="41" t="s">
        <v>637</v>
      </c>
      <c r="J225" s="41">
        <v>99</v>
      </c>
      <c r="K225" s="43" t="s">
        <v>962</v>
      </c>
      <c r="L225" s="43" t="s">
        <v>701</v>
      </c>
      <c r="M225" s="44" t="s">
        <v>1420</v>
      </c>
      <c r="N225" s="45"/>
      <c r="O225" s="46"/>
      <c r="P225" s="46">
        <v>1</v>
      </c>
      <c r="R225" s="1">
        <f t="shared" si="83"/>
        <v>0</v>
      </c>
      <c r="S225" s="1">
        <f t="shared" si="84"/>
        <v>0</v>
      </c>
      <c r="T225" s="1">
        <f t="shared" si="85"/>
        <v>0</v>
      </c>
      <c r="U225" s="1">
        <f t="shared" si="86"/>
        <v>0</v>
      </c>
      <c r="V225" s="1">
        <f t="shared" si="87"/>
        <v>0</v>
      </c>
      <c r="W225" s="1">
        <f t="shared" si="88"/>
        <v>0</v>
      </c>
      <c r="X225" s="1">
        <f t="shared" si="89"/>
        <v>0</v>
      </c>
      <c r="Y225" s="1">
        <f t="shared" si="90"/>
        <v>0</v>
      </c>
      <c r="Z225" s="1">
        <f t="shared" si="91"/>
        <v>0</v>
      </c>
      <c r="AA225" s="1">
        <f t="shared" si="92"/>
        <v>0</v>
      </c>
      <c r="AC225" s="1">
        <f t="shared" si="93"/>
        <v>0</v>
      </c>
      <c r="AD225" s="1">
        <f t="shared" si="94"/>
        <v>0</v>
      </c>
      <c r="AE225" s="1">
        <f t="shared" si="95"/>
        <v>0</v>
      </c>
      <c r="AF225" s="1">
        <f t="shared" si="96"/>
        <v>0</v>
      </c>
      <c r="AG225" s="1">
        <f t="shared" si="97"/>
        <v>1</v>
      </c>
      <c r="AH225" s="1">
        <f t="shared" si="98"/>
        <v>0</v>
      </c>
    </row>
    <row r="226" spans="1:34" ht="14.25" customHeight="1" x14ac:dyDescent="0.25">
      <c r="A226" s="47">
        <v>0</v>
      </c>
      <c r="B226" s="47">
        <v>1</v>
      </c>
      <c r="C226" s="47">
        <v>7</v>
      </c>
      <c r="D226" s="48" t="s">
        <v>656</v>
      </c>
      <c r="E226" s="48" t="s">
        <v>29</v>
      </c>
      <c r="F226" s="48" t="s">
        <v>632</v>
      </c>
      <c r="G226" s="48" t="s">
        <v>234</v>
      </c>
      <c r="H226" s="48" t="s">
        <v>358</v>
      </c>
      <c r="I226" s="47" t="s">
        <v>633</v>
      </c>
      <c r="J226" s="47">
        <v>99</v>
      </c>
      <c r="K226" s="49" t="s">
        <v>721</v>
      </c>
      <c r="L226" s="49" t="s">
        <v>704</v>
      </c>
      <c r="M226" s="50" t="s">
        <v>981</v>
      </c>
      <c r="N226" s="50" t="s">
        <v>1825</v>
      </c>
      <c r="O226" s="51"/>
      <c r="P226" s="51"/>
      <c r="R226" s="1">
        <f t="shared" si="83"/>
        <v>0</v>
      </c>
      <c r="S226" s="1">
        <f t="shared" si="84"/>
        <v>0</v>
      </c>
      <c r="T226" s="1">
        <f t="shared" si="85"/>
        <v>0</v>
      </c>
      <c r="U226" s="1">
        <f t="shared" si="86"/>
        <v>0</v>
      </c>
      <c r="V226" s="1">
        <f t="shared" si="87"/>
        <v>0</v>
      </c>
      <c r="W226" s="1">
        <f t="shared" si="88"/>
        <v>0</v>
      </c>
      <c r="X226" s="1">
        <f t="shared" si="89"/>
        <v>0</v>
      </c>
      <c r="Y226" s="1">
        <f t="shared" si="90"/>
        <v>0</v>
      </c>
      <c r="Z226" s="1">
        <f t="shared" si="91"/>
        <v>0</v>
      </c>
      <c r="AA226" s="1">
        <f t="shared" si="92"/>
        <v>0</v>
      </c>
      <c r="AC226" s="1">
        <f t="shared" si="93"/>
        <v>0</v>
      </c>
      <c r="AD226" s="1">
        <f t="shared" si="94"/>
        <v>0</v>
      </c>
      <c r="AE226" s="1">
        <f t="shared" si="95"/>
        <v>0</v>
      </c>
      <c r="AF226" s="1">
        <f t="shared" si="96"/>
        <v>0</v>
      </c>
      <c r="AG226" s="1">
        <f t="shared" si="97"/>
        <v>0</v>
      </c>
      <c r="AH226" s="1">
        <f t="shared" si="98"/>
        <v>1</v>
      </c>
    </row>
    <row r="227" spans="1:34" ht="14.25" customHeight="1" x14ac:dyDescent="0.25">
      <c r="A227" s="15">
        <v>0</v>
      </c>
      <c r="B227" s="15">
        <v>1</v>
      </c>
      <c r="C227" s="15">
        <v>7</v>
      </c>
      <c r="D227" s="16" t="s">
        <v>991</v>
      </c>
      <c r="E227" s="16" t="s">
        <v>29</v>
      </c>
      <c r="F227" s="16" t="s">
        <v>992</v>
      </c>
      <c r="G227" s="16" t="s">
        <v>993</v>
      </c>
      <c r="H227" s="16" t="s">
        <v>358</v>
      </c>
      <c r="I227" s="15" t="s">
        <v>990</v>
      </c>
      <c r="J227" s="15">
        <v>99</v>
      </c>
      <c r="K227" s="10" t="s">
        <v>711</v>
      </c>
      <c r="L227" s="10">
        <v>20</v>
      </c>
      <c r="M227" s="19" t="s">
        <v>981</v>
      </c>
      <c r="N227" s="19"/>
      <c r="R227" s="1">
        <f t="shared" si="83"/>
        <v>0</v>
      </c>
      <c r="S227" s="1">
        <f t="shared" si="84"/>
        <v>0</v>
      </c>
      <c r="T227" s="1">
        <f t="shared" si="85"/>
        <v>0</v>
      </c>
      <c r="U227" s="1">
        <f t="shared" si="86"/>
        <v>0</v>
      </c>
      <c r="V227" s="1">
        <f t="shared" si="87"/>
        <v>0</v>
      </c>
      <c r="W227" s="1">
        <f t="shared" si="88"/>
        <v>0</v>
      </c>
      <c r="X227" s="1">
        <f t="shared" si="89"/>
        <v>0</v>
      </c>
      <c r="Y227" s="1">
        <f t="shared" si="90"/>
        <v>0</v>
      </c>
      <c r="Z227" s="1">
        <f t="shared" si="91"/>
        <v>0</v>
      </c>
      <c r="AA227" s="1">
        <f t="shared" si="92"/>
        <v>0</v>
      </c>
      <c r="AC227" s="1">
        <f t="shared" si="93"/>
        <v>0</v>
      </c>
      <c r="AD227" s="1">
        <f t="shared" si="94"/>
        <v>0</v>
      </c>
      <c r="AE227" s="1">
        <f t="shared" si="95"/>
        <v>0</v>
      </c>
      <c r="AF227" s="1">
        <f t="shared" si="96"/>
        <v>0</v>
      </c>
      <c r="AG227" s="1">
        <f t="shared" si="97"/>
        <v>0</v>
      </c>
      <c r="AH227" s="1">
        <f t="shared" si="98"/>
        <v>1</v>
      </c>
    </row>
    <row r="228" spans="1:34" ht="14.25" customHeight="1" x14ac:dyDescent="0.25">
      <c r="A228" s="15">
        <v>0</v>
      </c>
      <c r="B228" s="15">
        <v>1</v>
      </c>
      <c r="C228" s="15">
        <v>7</v>
      </c>
      <c r="D228" s="16" t="s">
        <v>597</v>
      </c>
      <c r="E228" s="16" t="s">
        <v>29</v>
      </c>
      <c r="F228" s="16" t="s">
        <v>598</v>
      </c>
      <c r="G228" s="16" t="s">
        <v>1084</v>
      </c>
      <c r="H228" s="16" t="s">
        <v>358</v>
      </c>
      <c r="I228" s="15" t="s">
        <v>599</v>
      </c>
      <c r="J228" s="15">
        <v>99</v>
      </c>
      <c r="K228" s="10" t="s">
        <v>711</v>
      </c>
      <c r="L228" s="10">
        <v>35</v>
      </c>
      <c r="M228" s="19" t="s">
        <v>1420</v>
      </c>
      <c r="N228" s="19"/>
      <c r="R228" s="1">
        <f t="shared" si="83"/>
        <v>0</v>
      </c>
      <c r="S228" s="1">
        <f t="shared" si="84"/>
        <v>0</v>
      </c>
      <c r="T228" s="1">
        <f t="shared" si="85"/>
        <v>0</v>
      </c>
      <c r="U228" s="1">
        <f t="shared" si="86"/>
        <v>0</v>
      </c>
      <c r="V228" s="1">
        <f t="shared" si="87"/>
        <v>0</v>
      </c>
      <c r="W228" s="1">
        <f t="shared" si="88"/>
        <v>0</v>
      </c>
      <c r="X228" s="1">
        <f t="shared" si="89"/>
        <v>0</v>
      </c>
      <c r="Y228" s="1">
        <f t="shared" si="90"/>
        <v>0</v>
      </c>
      <c r="Z228" s="1">
        <f t="shared" si="91"/>
        <v>0</v>
      </c>
      <c r="AA228" s="1">
        <f t="shared" si="92"/>
        <v>0</v>
      </c>
      <c r="AC228" s="1">
        <f t="shared" si="93"/>
        <v>0</v>
      </c>
      <c r="AD228" s="1">
        <f t="shared" si="94"/>
        <v>0</v>
      </c>
      <c r="AE228" s="1">
        <f t="shared" si="95"/>
        <v>0</v>
      </c>
      <c r="AF228" s="1">
        <f t="shared" si="96"/>
        <v>0</v>
      </c>
      <c r="AG228" s="1">
        <f t="shared" si="97"/>
        <v>0</v>
      </c>
      <c r="AH228" s="1">
        <f t="shared" si="98"/>
        <v>1</v>
      </c>
    </row>
    <row r="229" spans="1:34" ht="14.25" customHeight="1" x14ac:dyDescent="0.25">
      <c r="A229" s="41">
        <v>0</v>
      </c>
      <c r="B229" s="41">
        <v>1</v>
      </c>
      <c r="C229" s="41">
        <v>7</v>
      </c>
      <c r="D229" s="42" t="s">
        <v>1643</v>
      </c>
      <c r="E229" s="42" t="s">
        <v>29</v>
      </c>
      <c r="F229" s="42" t="s">
        <v>1698</v>
      </c>
      <c r="G229" s="42" t="s">
        <v>315</v>
      </c>
      <c r="H229" s="42" t="s">
        <v>358</v>
      </c>
      <c r="I229" s="41" t="s">
        <v>1644</v>
      </c>
      <c r="J229" s="41"/>
      <c r="K229" s="43" t="s">
        <v>721</v>
      </c>
      <c r="L229" s="43">
        <v>45</v>
      </c>
      <c r="M229" s="44" t="s">
        <v>1816</v>
      </c>
      <c r="N229" s="45"/>
      <c r="O229" s="46"/>
      <c r="P229" s="46">
        <v>1</v>
      </c>
      <c r="R229" s="1">
        <f t="shared" si="83"/>
        <v>0</v>
      </c>
      <c r="S229" s="1">
        <f t="shared" si="84"/>
        <v>0</v>
      </c>
      <c r="T229" s="1">
        <f t="shared" si="85"/>
        <v>0</v>
      </c>
      <c r="U229" s="1">
        <f t="shared" si="86"/>
        <v>0</v>
      </c>
      <c r="V229" s="1">
        <f t="shared" si="87"/>
        <v>0</v>
      </c>
      <c r="W229" s="1">
        <f t="shared" si="88"/>
        <v>0</v>
      </c>
      <c r="X229" s="1">
        <f t="shared" si="89"/>
        <v>0</v>
      </c>
      <c r="Y229" s="1">
        <f t="shared" si="90"/>
        <v>0</v>
      </c>
      <c r="Z229" s="1">
        <f t="shared" si="91"/>
        <v>0</v>
      </c>
      <c r="AA229" s="1">
        <f t="shared" si="92"/>
        <v>0</v>
      </c>
      <c r="AC229" s="1">
        <f t="shared" si="93"/>
        <v>0</v>
      </c>
      <c r="AD229" s="1">
        <f t="shared" si="94"/>
        <v>0</v>
      </c>
      <c r="AE229" s="1">
        <f t="shared" si="95"/>
        <v>0</v>
      </c>
      <c r="AF229" s="1">
        <f t="shared" si="96"/>
        <v>0</v>
      </c>
      <c r="AG229" s="1">
        <f t="shared" si="97"/>
        <v>1</v>
      </c>
      <c r="AH229" s="1">
        <f t="shared" si="98"/>
        <v>0</v>
      </c>
    </row>
    <row r="230" spans="1:34" ht="14.25" customHeight="1" x14ac:dyDescent="0.25">
      <c r="A230" s="34">
        <v>0</v>
      </c>
      <c r="B230" s="34">
        <v>1</v>
      </c>
      <c r="C230" s="34">
        <v>7</v>
      </c>
      <c r="D230" s="35" t="s">
        <v>867</v>
      </c>
      <c r="E230" s="35" t="s">
        <v>29</v>
      </c>
      <c r="F230" s="35" t="s">
        <v>868</v>
      </c>
      <c r="G230" s="35" t="s">
        <v>204</v>
      </c>
      <c r="H230" s="35" t="s">
        <v>358</v>
      </c>
      <c r="I230" s="34" t="s">
        <v>869</v>
      </c>
      <c r="J230" s="34">
        <v>10</v>
      </c>
      <c r="K230" s="36" t="s">
        <v>721</v>
      </c>
      <c r="L230" s="36" t="s">
        <v>701</v>
      </c>
      <c r="M230" s="37" t="s">
        <v>1420</v>
      </c>
      <c r="N230" s="37" t="s">
        <v>1771</v>
      </c>
      <c r="O230" s="38">
        <v>1</v>
      </c>
      <c r="P230" s="38"/>
      <c r="R230" s="1">
        <f t="shared" si="83"/>
        <v>0</v>
      </c>
      <c r="S230" s="1">
        <f t="shared" si="84"/>
        <v>0</v>
      </c>
      <c r="T230" s="1">
        <f t="shared" si="85"/>
        <v>0</v>
      </c>
      <c r="U230" s="1">
        <f t="shared" si="86"/>
        <v>0</v>
      </c>
      <c r="V230" s="1">
        <f t="shared" si="87"/>
        <v>0</v>
      </c>
      <c r="W230" s="1">
        <f t="shared" si="88"/>
        <v>0</v>
      </c>
      <c r="X230" s="1">
        <f t="shared" si="89"/>
        <v>0</v>
      </c>
      <c r="Y230" s="1">
        <f t="shared" si="90"/>
        <v>0</v>
      </c>
      <c r="Z230" s="1">
        <f t="shared" si="91"/>
        <v>0</v>
      </c>
      <c r="AA230" s="1">
        <f t="shared" si="92"/>
        <v>1</v>
      </c>
      <c r="AC230" s="1">
        <f t="shared" si="93"/>
        <v>0</v>
      </c>
      <c r="AD230" s="1">
        <f t="shared" si="94"/>
        <v>1</v>
      </c>
      <c r="AE230" s="1">
        <f t="shared" si="95"/>
        <v>0</v>
      </c>
      <c r="AF230" s="1">
        <f t="shared" si="96"/>
        <v>1</v>
      </c>
      <c r="AG230" s="1">
        <f t="shared" si="97"/>
        <v>0</v>
      </c>
      <c r="AH230" s="1">
        <f t="shared" si="98"/>
        <v>1</v>
      </c>
    </row>
    <row r="231" spans="1:34" ht="14.25" customHeight="1" x14ac:dyDescent="0.25">
      <c r="A231" s="41">
        <v>0</v>
      </c>
      <c r="B231" s="41">
        <v>1</v>
      </c>
      <c r="C231" s="41">
        <v>7</v>
      </c>
      <c r="D231" s="42" t="s">
        <v>40</v>
      </c>
      <c r="E231" s="42" t="s">
        <v>29</v>
      </c>
      <c r="F231" s="42" t="s">
        <v>283</v>
      </c>
      <c r="G231" s="42" t="s">
        <v>232</v>
      </c>
      <c r="H231" s="42" t="s">
        <v>358</v>
      </c>
      <c r="I231" s="41" t="s">
        <v>440</v>
      </c>
      <c r="J231" s="41">
        <v>7</v>
      </c>
      <c r="K231" s="43" t="s">
        <v>721</v>
      </c>
      <c r="L231" s="43" t="s">
        <v>704</v>
      </c>
      <c r="M231" s="44" t="s">
        <v>981</v>
      </c>
      <c r="N231" s="45"/>
      <c r="O231" s="46"/>
      <c r="P231" s="46">
        <v>1</v>
      </c>
      <c r="R231" s="1">
        <f t="shared" si="83"/>
        <v>0</v>
      </c>
      <c r="S231" s="1">
        <f t="shared" si="84"/>
        <v>0</v>
      </c>
      <c r="T231" s="1">
        <f t="shared" si="85"/>
        <v>0</v>
      </c>
      <c r="U231" s="1">
        <f t="shared" si="86"/>
        <v>0</v>
      </c>
      <c r="V231" s="1">
        <f t="shared" si="87"/>
        <v>0</v>
      </c>
      <c r="W231" s="1">
        <f t="shared" si="88"/>
        <v>0</v>
      </c>
      <c r="X231" s="1">
        <f t="shared" si="89"/>
        <v>1</v>
      </c>
      <c r="Y231" s="1">
        <f t="shared" si="90"/>
        <v>0</v>
      </c>
      <c r="Z231" s="1">
        <f t="shared" si="91"/>
        <v>0</v>
      </c>
      <c r="AA231" s="1">
        <f t="shared" si="92"/>
        <v>0</v>
      </c>
      <c r="AC231" s="1">
        <f t="shared" si="93"/>
        <v>0</v>
      </c>
      <c r="AD231" s="1">
        <f t="shared" si="94"/>
        <v>0</v>
      </c>
      <c r="AE231" s="1">
        <f t="shared" si="95"/>
        <v>0</v>
      </c>
      <c r="AF231" s="1">
        <f t="shared" si="96"/>
        <v>0</v>
      </c>
      <c r="AG231" s="1">
        <f t="shared" si="97"/>
        <v>1</v>
      </c>
      <c r="AH231" s="1">
        <f t="shared" si="98"/>
        <v>0</v>
      </c>
    </row>
    <row r="232" spans="1:34" ht="14.25" customHeight="1" x14ac:dyDescent="0.25">
      <c r="A232" s="41">
        <v>1</v>
      </c>
      <c r="B232" s="41">
        <v>1</v>
      </c>
      <c r="C232" s="41">
        <v>7</v>
      </c>
      <c r="D232" s="42" t="s">
        <v>40</v>
      </c>
      <c r="E232" s="42" t="s">
        <v>29</v>
      </c>
      <c r="F232" s="42" t="s">
        <v>1617</v>
      </c>
      <c r="G232" s="42" t="s">
        <v>39</v>
      </c>
      <c r="H232" s="42" t="s">
        <v>358</v>
      </c>
      <c r="I232" s="41" t="s">
        <v>1618</v>
      </c>
      <c r="J232" s="41">
        <v>99</v>
      </c>
      <c r="K232" s="43" t="s">
        <v>721</v>
      </c>
      <c r="L232" s="43" t="s">
        <v>704</v>
      </c>
      <c r="M232" s="44" t="s">
        <v>981</v>
      </c>
      <c r="N232" s="45"/>
      <c r="O232" s="46"/>
      <c r="P232" s="46">
        <v>1</v>
      </c>
      <c r="R232" s="1">
        <f t="shared" si="83"/>
        <v>0</v>
      </c>
      <c r="S232" s="1">
        <f t="shared" si="84"/>
        <v>0</v>
      </c>
      <c r="T232" s="1">
        <f t="shared" si="85"/>
        <v>0</v>
      </c>
      <c r="U232" s="1">
        <f t="shared" si="86"/>
        <v>0</v>
      </c>
      <c r="V232" s="1">
        <f t="shared" si="87"/>
        <v>0</v>
      </c>
      <c r="W232" s="1">
        <f t="shared" si="88"/>
        <v>0</v>
      </c>
      <c r="X232" s="1">
        <f t="shared" si="89"/>
        <v>0</v>
      </c>
      <c r="Y232" s="1">
        <f t="shared" si="90"/>
        <v>0</v>
      </c>
      <c r="Z232" s="1">
        <f t="shared" si="91"/>
        <v>0</v>
      </c>
      <c r="AA232" s="1">
        <f t="shared" si="92"/>
        <v>0</v>
      </c>
      <c r="AC232" s="1">
        <f t="shared" si="93"/>
        <v>0</v>
      </c>
      <c r="AD232" s="1">
        <f t="shared" si="94"/>
        <v>0</v>
      </c>
      <c r="AE232" s="1">
        <f t="shared" si="95"/>
        <v>0</v>
      </c>
      <c r="AF232" s="1">
        <f t="shared" si="96"/>
        <v>0</v>
      </c>
      <c r="AG232" s="1">
        <f t="shared" si="97"/>
        <v>0</v>
      </c>
      <c r="AH232" s="1">
        <f t="shared" si="98"/>
        <v>0</v>
      </c>
    </row>
    <row r="233" spans="1:34" ht="14.25" customHeight="1" x14ac:dyDescent="0.25">
      <c r="A233" s="52">
        <v>0</v>
      </c>
      <c r="B233" s="52">
        <v>1</v>
      </c>
      <c r="C233" s="52">
        <v>7</v>
      </c>
      <c r="D233" s="58" t="s">
        <v>1500</v>
      </c>
      <c r="E233" s="53" t="s">
        <v>29</v>
      </c>
      <c r="F233" s="58" t="s">
        <v>1012</v>
      </c>
      <c r="G233" s="58" t="s">
        <v>1113</v>
      </c>
      <c r="H233" s="58" t="s">
        <v>358</v>
      </c>
      <c r="I233" s="66" t="s">
        <v>1121</v>
      </c>
      <c r="J233" s="52">
        <v>10</v>
      </c>
      <c r="K233" s="54" t="s">
        <v>721</v>
      </c>
      <c r="L233" s="54" t="s">
        <v>702</v>
      </c>
      <c r="M233" s="55" t="s">
        <v>981</v>
      </c>
      <c r="N233" s="55" t="s">
        <v>1759</v>
      </c>
      <c r="O233" s="56">
        <v>1</v>
      </c>
      <c r="P233" s="56"/>
      <c r="R233" s="1">
        <f t="shared" si="83"/>
        <v>0</v>
      </c>
      <c r="S233" s="1">
        <f t="shared" si="84"/>
        <v>0</v>
      </c>
      <c r="T233" s="1">
        <f t="shared" si="85"/>
        <v>0</v>
      </c>
      <c r="U233" s="1">
        <f t="shared" si="86"/>
        <v>0</v>
      </c>
      <c r="V233" s="1">
        <f t="shared" si="87"/>
        <v>0</v>
      </c>
      <c r="W233" s="1">
        <f t="shared" si="88"/>
        <v>0</v>
      </c>
      <c r="X233" s="1">
        <f t="shared" si="89"/>
        <v>0</v>
      </c>
      <c r="Y233" s="1">
        <f t="shared" si="90"/>
        <v>0</v>
      </c>
      <c r="Z233" s="1">
        <f t="shared" si="91"/>
        <v>0</v>
      </c>
      <c r="AA233" s="1">
        <f t="shared" si="92"/>
        <v>1</v>
      </c>
      <c r="AC233" s="1">
        <f t="shared" si="93"/>
        <v>0</v>
      </c>
      <c r="AD233" s="1">
        <f t="shared" si="94"/>
        <v>1</v>
      </c>
      <c r="AE233" s="1">
        <f t="shared" si="95"/>
        <v>0</v>
      </c>
      <c r="AF233" s="1">
        <f t="shared" si="96"/>
        <v>1</v>
      </c>
      <c r="AG233" s="1">
        <f t="shared" si="97"/>
        <v>0</v>
      </c>
      <c r="AH233" s="1">
        <f t="shared" si="98"/>
        <v>1</v>
      </c>
    </row>
    <row r="234" spans="1:34" ht="14.25" customHeight="1" x14ac:dyDescent="0.25">
      <c r="A234" s="47">
        <v>0</v>
      </c>
      <c r="B234" s="47">
        <v>1</v>
      </c>
      <c r="C234" s="47">
        <v>7</v>
      </c>
      <c r="D234" s="48" t="s">
        <v>1501</v>
      </c>
      <c r="E234" s="48" t="s">
        <v>29</v>
      </c>
      <c r="F234" s="48" t="s">
        <v>1010</v>
      </c>
      <c r="G234" s="48" t="s">
        <v>242</v>
      </c>
      <c r="H234" s="48" t="s">
        <v>358</v>
      </c>
      <c r="I234" s="47" t="s">
        <v>1011</v>
      </c>
      <c r="J234" s="47">
        <v>1</v>
      </c>
      <c r="K234" s="49" t="s">
        <v>969</v>
      </c>
      <c r="L234" s="49" t="s">
        <v>702</v>
      </c>
      <c r="M234" s="50" t="s">
        <v>981</v>
      </c>
      <c r="N234" s="50" t="s">
        <v>1752</v>
      </c>
      <c r="O234" s="51"/>
      <c r="P234" s="51"/>
      <c r="R234" s="1">
        <f t="shared" si="83"/>
        <v>1</v>
      </c>
      <c r="S234" s="1">
        <f t="shared" si="84"/>
        <v>0</v>
      </c>
      <c r="T234" s="1">
        <f t="shared" si="85"/>
        <v>0</v>
      </c>
      <c r="U234" s="1">
        <f t="shared" si="86"/>
        <v>0</v>
      </c>
      <c r="V234" s="1">
        <f t="shared" si="87"/>
        <v>0</v>
      </c>
      <c r="W234" s="1">
        <f t="shared" si="88"/>
        <v>0</v>
      </c>
      <c r="X234" s="1">
        <f t="shared" si="89"/>
        <v>0</v>
      </c>
      <c r="Y234" s="1">
        <f t="shared" si="90"/>
        <v>0</v>
      </c>
      <c r="Z234" s="1">
        <f t="shared" si="91"/>
        <v>0</v>
      </c>
      <c r="AA234" s="1">
        <f t="shared" si="92"/>
        <v>0</v>
      </c>
      <c r="AC234" s="1">
        <f t="shared" si="93"/>
        <v>0</v>
      </c>
      <c r="AD234" s="1">
        <f t="shared" si="94"/>
        <v>0</v>
      </c>
      <c r="AE234" s="1">
        <f t="shared" si="95"/>
        <v>0</v>
      </c>
      <c r="AF234" s="1">
        <f t="shared" si="96"/>
        <v>0</v>
      </c>
      <c r="AG234" s="1">
        <f t="shared" si="97"/>
        <v>0</v>
      </c>
      <c r="AH234" s="1">
        <f t="shared" si="98"/>
        <v>1</v>
      </c>
    </row>
    <row r="235" spans="1:34" ht="14.25" customHeight="1" x14ac:dyDescent="0.25">
      <c r="A235" s="47">
        <v>0</v>
      </c>
      <c r="B235" s="47">
        <v>1</v>
      </c>
      <c r="C235" s="47">
        <v>7</v>
      </c>
      <c r="D235" s="48" t="s">
        <v>906</v>
      </c>
      <c r="E235" s="48" t="s">
        <v>29</v>
      </c>
      <c r="F235" s="48" t="s">
        <v>907</v>
      </c>
      <c r="G235" s="48" t="s">
        <v>39</v>
      </c>
      <c r="H235" s="48" t="s">
        <v>359</v>
      </c>
      <c r="I235" s="47" t="s">
        <v>908</v>
      </c>
      <c r="J235" s="47">
        <v>11</v>
      </c>
      <c r="K235" s="49" t="s">
        <v>711</v>
      </c>
      <c r="L235" s="49">
        <v>35</v>
      </c>
      <c r="M235" s="50" t="s">
        <v>1420</v>
      </c>
      <c r="N235" s="50" t="s">
        <v>1763</v>
      </c>
      <c r="O235" s="51"/>
      <c r="P235" s="51"/>
      <c r="R235" s="1">
        <f t="shared" si="83"/>
        <v>0</v>
      </c>
      <c r="S235" s="1">
        <f t="shared" si="84"/>
        <v>0</v>
      </c>
      <c r="T235" s="1">
        <f t="shared" si="85"/>
        <v>0</v>
      </c>
      <c r="U235" s="1">
        <f t="shared" si="86"/>
        <v>0</v>
      </c>
      <c r="V235" s="1">
        <f t="shared" si="87"/>
        <v>0</v>
      </c>
      <c r="W235" s="1">
        <f t="shared" si="88"/>
        <v>0</v>
      </c>
      <c r="X235" s="1">
        <f t="shared" si="89"/>
        <v>0</v>
      </c>
      <c r="Y235" s="1">
        <f t="shared" si="90"/>
        <v>0</v>
      </c>
      <c r="Z235" s="1">
        <f t="shared" si="91"/>
        <v>0</v>
      </c>
      <c r="AA235" s="1">
        <f t="shared" si="92"/>
        <v>0</v>
      </c>
      <c r="AC235" s="1">
        <f t="shared" si="93"/>
        <v>0</v>
      </c>
      <c r="AD235" s="1">
        <f t="shared" si="94"/>
        <v>0</v>
      </c>
      <c r="AE235" s="1">
        <f t="shared" si="95"/>
        <v>0</v>
      </c>
      <c r="AF235" s="1">
        <f t="shared" si="96"/>
        <v>0</v>
      </c>
      <c r="AG235" s="1">
        <f t="shared" si="97"/>
        <v>0</v>
      </c>
      <c r="AH235" s="1">
        <f t="shared" si="98"/>
        <v>1</v>
      </c>
    </row>
    <row r="236" spans="1:34" ht="14.25" customHeight="1" x14ac:dyDescent="0.25">
      <c r="A236" s="34">
        <v>0</v>
      </c>
      <c r="B236" s="34">
        <v>1</v>
      </c>
      <c r="C236" s="34">
        <v>7</v>
      </c>
      <c r="D236" s="39" t="s">
        <v>1095</v>
      </c>
      <c r="E236" s="35" t="s">
        <v>29</v>
      </c>
      <c r="F236" s="39" t="s">
        <v>994</v>
      </c>
      <c r="G236" s="39" t="s">
        <v>205</v>
      </c>
      <c r="H236" s="39" t="s">
        <v>358</v>
      </c>
      <c r="I236" s="40" t="s">
        <v>995</v>
      </c>
      <c r="J236" s="34">
        <v>99</v>
      </c>
      <c r="K236" s="36" t="s">
        <v>721</v>
      </c>
      <c r="L236" s="36" t="s">
        <v>702</v>
      </c>
      <c r="M236" s="37" t="s">
        <v>1458</v>
      </c>
      <c r="N236" s="37" t="s">
        <v>1743</v>
      </c>
      <c r="O236" s="38">
        <v>1</v>
      </c>
      <c r="P236" s="38">
        <v>1</v>
      </c>
      <c r="R236" s="1">
        <f t="shared" si="83"/>
        <v>0</v>
      </c>
      <c r="S236" s="1">
        <f t="shared" si="84"/>
        <v>0</v>
      </c>
      <c r="T236" s="1">
        <f t="shared" si="85"/>
        <v>0</v>
      </c>
      <c r="U236" s="1">
        <f t="shared" si="86"/>
        <v>0</v>
      </c>
      <c r="V236" s="1">
        <f t="shared" si="87"/>
        <v>0</v>
      </c>
      <c r="W236" s="1">
        <f t="shared" si="88"/>
        <v>0</v>
      </c>
      <c r="X236" s="1">
        <f t="shared" si="89"/>
        <v>0</v>
      </c>
      <c r="Y236" s="1">
        <f t="shared" si="90"/>
        <v>0</v>
      </c>
      <c r="Z236" s="1">
        <f t="shared" si="91"/>
        <v>0</v>
      </c>
      <c r="AA236" s="1">
        <f t="shared" si="92"/>
        <v>0</v>
      </c>
      <c r="AC236" s="1">
        <f t="shared" si="93"/>
        <v>1</v>
      </c>
      <c r="AD236" s="1">
        <f t="shared" si="94"/>
        <v>0</v>
      </c>
      <c r="AE236" s="1">
        <f t="shared" si="95"/>
        <v>1</v>
      </c>
      <c r="AF236" s="1">
        <f t="shared" si="96"/>
        <v>0</v>
      </c>
      <c r="AG236" s="1">
        <f t="shared" si="97"/>
        <v>1</v>
      </c>
      <c r="AH236" s="1">
        <f t="shared" si="98"/>
        <v>0</v>
      </c>
    </row>
    <row r="237" spans="1:34" ht="14.25" customHeight="1" x14ac:dyDescent="0.25">
      <c r="A237" s="15">
        <v>0</v>
      </c>
      <c r="B237" s="15">
        <v>1</v>
      </c>
      <c r="C237" s="15">
        <v>7</v>
      </c>
      <c r="D237" s="16" t="s">
        <v>759</v>
      </c>
      <c r="E237" s="16" t="s">
        <v>29</v>
      </c>
      <c r="F237" s="16" t="s">
        <v>760</v>
      </c>
      <c r="G237" s="16" t="s">
        <v>761</v>
      </c>
      <c r="H237" s="16" t="s">
        <v>358</v>
      </c>
      <c r="I237" s="15" t="s">
        <v>762</v>
      </c>
      <c r="J237" s="15">
        <v>99</v>
      </c>
      <c r="K237" s="10" t="s">
        <v>711</v>
      </c>
      <c r="L237" s="10">
        <v>20</v>
      </c>
      <c r="M237" s="19" t="s">
        <v>1131</v>
      </c>
      <c r="N237" s="17"/>
      <c r="R237" s="1">
        <f t="shared" si="83"/>
        <v>0</v>
      </c>
      <c r="S237" s="1">
        <f t="shared" si="84"/>
        <v>0</v>
      </c>
      <c r="T237" s="1">
        <f t="shared" si="85"/>
        <v>0</v>
      </c>
      <c r="U237" s="1">
        <f t="shared" si="86"/>
        <v>0</v>
      </c>
      <c r="V237" s="1">
        <f t="shared" si="87"/>
        <v>0</v>
      </c>
      <c r="W237" s="1">
        <f t="shared" si="88"/>
        <v>0</v>
      </c>
      <c r="X237" s="1">
        <f t="shared" si="89"/>
        <v>0</v>
      </c>
      <c r="Y237" s="1">
        <f t="shared" si="90"/>
        <v>0</v>
      </c>
      <c r="Z237" s="1">
        <f t="shared" si="91"/>
        <v>0</v>
      </c>
      <c r="AA237" s="1">
        <f t="shared" si="92"/>
        <v>0</v>
      </c>
      <c r="AC237" s="1">
        <f t="shared" si="93"/>
        <v>0</v>
      </c>
      <c r="AD237" s="1">
        <f t="shared" si="94"/>
        <v>0</v>
      </c>
      <c r="AE237" s="1">
        <f t="shared" si="95"/>
        <v>0</v>
      </c>
      <c r="AF237" s="1">
        <f t="shared" si="96"/>
        <v>0</v>
      </c>
      <c r="AG237" s="1">
        <f t="shared" si="97"/>
        <v>0</v>
      </c>
      <c r="AH237" s="1">
        <f t="shared" si="98"/>
        <v>1</v>
      </c>
    </row>
    <row r="238" spans="1:34" ht="14.25" customHeight="1" x14ac:dyDescent="0.25">
      <c r="A238" s="34">
        <v>0</v>
      </c>
      <c r="B238" s="34">
        <v>1</v>
      </c>
      <c r="C238" s="34">
        <v>7</v>
      </c>
      <c r="D238" s="39" t="s">
        <v>836</v>
      </c>
      <c r="E238" s="35" t="s">
        <v>29</v>
      </c>
      <c r="F238" s="39" t="s">
        <v>837</v>
      </c>
      <c r="G238" s="39" t="s">
        <v>936</v>
      </c>
      <c r="H238" s="39" t="s">
        <v>358</v>
      </c>
      <c r="I238" s="40" t="s">
        <v>838</v>
      </c>
      <c r="J238" s="34">
        <v>99</v>
      </c>
      <c r="K238" s="36" t="s">
        <v>963</v>
      </c>
      <c r="L238" s="36" t="s">
        <v>702</v>
      </c>
      <c r="M238" s="37" t="s">
        <v>981</v>
      </c>
      <c r="N238" s="37" t="s">
        <v>1841</v>
      </c>
      <c r="O238" s="38">
        <v>1</v>
      </c>
      <c r="P238" s="38"/>
      <c r="R238" s="1">
        <f t="shared" si="83"/>
        <v>0</v>
      </c>
      <c r="S238" s="1">
        <f t="shared" si="84"/>
        <v>0</v>
      </c>
      <c r="T238" s="1">
        <f t="shared" si="85"/>
        <v>0</v>
      </c>
      <c r="U238" s="1">
        <f t="shared" si="86"/>
        <v>0</v>
      </c>
      <c r="V238" s="1">
        <f t="shared" si="87"/>
        <v>0</v>
      </c>
      <c r="W238" s="1">
        <f t="shared" si="88"/>
        <v>0</v>
      </c>
      <c r="X238" s="1">
        <f t="shared" si="89"/>
        <v>0</v>
      </c>
      <c r="Y238" s="1">
        <f t="shared" si="90"/>
        <v>0</v>
      </c>
      <c r="Z238" s="1">
        <f t="shared" si="91"/>
        <v>0</v>
      </c>
      <c r="AA238" s="1">
        <f t="shared" si="92"/>
        <v>0</v>
      </c>
      <c r="AC238" s="1">
        <f t="shared" si="93"/>
        <v>0</v>
      </c>
      <c r="AD238" s="1">
        <f t="shared" si="94"/>
        <v>1</v>
      </c>
      <c r="AE238" s="1">
        <f t="shared" si="95"/>
        <v>0</v>
      </c>
      <c r="AF238" s="1">
        <f t="shared" si="96"/>
        <v>1</v>
      </c>
      <c r="AG238" s="1">
        <f t="shared" si="97"/>
        <v>0</v>
      </c>
      <c r="AH238" s="1">
        <f t="shared" si="98"/>
        <v>1</v>
      </c>
    </row>
    <row r="239" spans="1:34" ht="14.25" customHeight="1" x14ac:dyDescent="0.25">
      <c r="A239" s="34">
        <v>0</v>
      </c>
      <c r="B239" s="34">
        <v>1</v>
      </c>
      <c r="C239" s="34">
        <v>7</v>
      </c>
      <c r="D239" s="39" t="s">
        <v>1736</v>
      </c>
      <c r="E239" s="35" t="s">
        <v>29</v>
      </c>
      <c r="F239" s="39" t="s">
        <v>1737</v>
      </c>
      <c r="G239" s="39" t="s">
        <v>251</v>
      </c>
      <c r="H239" s="39" t="s">
        <v>358</v>
      </c>
      <c r="I239" s="40" t="s">
        <v>1738</v>
      </c>
      <c r="J239" s="34"/>
      <c r="K239" s="36" t="s">
        <v>711</v>
      </c>
      <c r="L239" s="36"/>
      <c r="M239" s="37"/>
      <c r="N239" s="37" t="s">
        <v>1743</v>
      </c>
      <c r="O239" s="38">
        <v>1</v>
      </c>
      <c r="P239" s="38">
        <v>1</v>
      </c>
      <c r="R239" s="1">
        <f t="shared" si="83"/>
        <v>0</v>
      </c>
      <c r="S239" s="1">
        <f t="shared" si="84"/>
        <v>0</v>
      </c>
      <c r="T239" s="1">
        <f t="shared" si="85"/>
        <v>0</v>
      </c>
      <c r="U239" s="1">
        <f t="shared" si="86"/>
        <v>0</v>
      </c>
      <c r="V239" s="1">
        <f t="shared" si="87"/>
        <v>0</v>
      </c>
      <c r="W239" s="1">
        <f t="shared" si="88"/>
        <v>0</v>
      </c>
      <c r="X239" s="1">
        <f t="shared" si="89"/>
        <v>0</v>
      </c>
      <c r="Y239" s="1">
        <f t="shared" si="90"/>
        <v>0</v>
      </c>
      <c r="Z239" s="1">
        <f t="shared" si="91"/>
        <v>0</v>
      </c>
      <c r="AA239" s="1">
        <f t="shared" si="92"/>
        <v>0</v>
      </c>
      <c r="AC239" s="1">
        <f t="shared" si="93"/>
        <v>1</v>
      </c>
      <c r="AD239" s="1">
        <f t="shared" si="94"/>
        <v>0</v>
      </c>
      <c r="AE239" s="1">
        <f t="shared" si="95"/>
        <v>1</v>
      </c>
      <c r="AF239" s="1">
        <f t="shared" si="96"/>
        <v>0</v>
      </c>
      <c r="AG239" s="1">
        <f t="shared" si="97"/>
        <v>1</v>
      </c>
      <c r="AH239" s="1">
        <f t="shared" si="98"/>
        <v>0</v>
      </c>
    </row>
    <row r="240" spans="1:34" ht="14.25" customHeight="1" x14ac:dyDescent="0.25">
      <c r="A240" s="34">
        <v>0</v>
      </c>
      <c r="B240" s="34">
        <v>1</v>
      </c>
      <c r="C240" s="34">
        <v>7</v>
      </c>
      <c r="D240" s="35" t="s">
        <v>909</v>
      </c>
      <c r="E240" s="35" t="s">
        <v>29</v>
      </c>
      <c r="F240" s="35" t="s">
        <v>910</v>
      </c>
      <c r="G240" s="35" t="s">
        <v>230</v>
      </c>
      <c r="H240" s="35" t="s">
        <v>358</v>
      </c>
      <c r="I240" s="34" t="s">
        <v>911</v>
      </c>
      <c r="J240" s="34">
        <v>99</v>
      </c>
      <c r="K240" s="36" t="s">
        <v>721</v>
      </c>
      <c r="L240" s="36" t="s">
        <v>702</v>
      </c>
      <c r="M240" s="37" t="s">
        <v>1421</v>
      </c>
      <c r="N240" s="37" t="s">
        <v>1764</v>
      </c>
      <c r="O240" s="38">
        <v>1</v>
      </c>
      <c r="P240" s="38"/>
      <c r="R240" s="1">
        <f t="shared" si="83"/>
        <v>0</v>
      </c>
      <c r="S240" s="1">
        <f t="shared" si="84"/>
        <v>0</v>
      </c>
      <c r="T240" s="1">
        <f t="shared" si="85"/>
        <v>0</v>
      </c>
      <c r="U240" s="1">
        <f t="shared" si="86"/>
        <v>0</v>
      </c>
      <c r="V240" s="1">
        <f t="shared" si="87"/>
        <v>0</v>
      </c>
      <c r="W240" s="1">
        <f t="shared" si="88"/>
        <v>0</v>
      </c>
      <c r="X240" s="1">
        <f t="shared" si="89"/>
        <v>0</v>
      </c>
      <c r="Y240" s="1">
        <f t="shared" si="90"/>
        <v>0</v>
      </c>
      <c r="Z240" s="1">
        <f t="shared" si="91"/>
        <v>0</v>
      </c>
      <c r="AA240" s="1">
        <f t="shared" si="92"/>
        <v>0</v>
      </c>
      <c r="AC240" s="1">
        <f t="shared" si="93"/>
        <v>0</v>
      </c>
      <c r="AD240" s="1">
        <f t="shared" si="94"/>
        <v>1</v>
      </c>
      <c r="AE240" s="1">
        <f t="shared" si="95"/>
        <v>0</v>
      </c>
      <c r="AF240" s="1">
        <f t="shared" si="96"/>
        <v>1</v>
      </c>
      <c r="AG240" s="1">
        <f t="shared" si="97"/>
        <v>0</v>
      </c>
      <c r="AH240" s="1">
        <f t="shared" si="98"/>
        <v>1</v>
      </c>
    </row>
    <row r="241" spans="1:34" ht="14.25" customHeight="1" x14ac:dyDescent="0.25">
      <c r="A241" s="41">
        <v>0</v>
      </c>
      <c r="B241" s="41">
        <v>1</v>
      </c>
      <c r="C241" s="41">
        <v>7</v>
      </c>
      <c r="D241" s="42" t="s">
        <v>89</v>
      </c>
      <c r="E241" s="42" t="s">
        <v>29</v>
      </c>
      <c r="F241" s="42" t="s">
        <v>284</v>
      </c>
      <c r="G241" s="42" t="s">
        <v>240</v>
      </c>
      <c r="H241" s="42" t="s">
        <v>358</v>
      </c>
      <c r="I241" s="41" t="s">
        <v>442</v>
      </c>
      <c r="J241" s="41">
        <v>4</v>
      </c>
      <c r="K241" s="43" t="s">
        <v>962</v>
      </c>
      <c r="L241" s="43" t="s">
        <v>39</v>
      </c>
      <c r="M241" s="44" t="s">
        <v>39</v>
      </c>
      <c r="N241" s="45"/>
      <c r="O241" s="46"/>
      <c r="P241" s="46">
        <v>1</v>
      </c>
      <c r="R241" s="1">
        <f t="shared" si="83"/>
        <v>0</v>
      </c>
      <c r="S241" s="1">
        <f t="shared" si="84"/>
        <v>0</v>
      </c>
      <c r="T241" s="1">
        <f t="shared" si="85"/>
        <v>0</v>
      </c>
      <c r="U241" s="1">
        <f t="shared" si="86"/>
        <v>1</v>
      </c>
      <c r="V241" s="1">
        <f t="shared" si="87"/>
        <v>0</v>
      </c>
      <c r="W241" s="1">
        <f t="shared" si="88"/>
        <v>0</v>
      </c>
      <c r="X241" s="1">
        <f t="shared" si="89"/>
        <v>0</v>
      </c>
      <c r="Y241" s="1">
        <f t="shared" si="90"/>
        <v>0</v>
      </c>
      <c r="Z241" s="1">
        <f t="shared" si="91"/>
        <v>0</v>
      </c>
      <c r="AA241" s="1">
        <f t="shared" si="92"/>
        <v>0</v>
      </c>
      <c r="AC241" s="1">
        <f t="shared" si="93"/>
        <v>0</v>
      </c>
      <c r="AD241" s="1">
        <f t="shared" si="94"/>
        <v>0</v>
      </c>
      <c r="AE241" s="1">
        <f t="shared" si="95"/>
        <v>0</v>
      </c>
      <c r="AF241" s="1">
        <f t="shared" si="96"/>
        <v>0</v>
      </c>
      <c r="AG241" s="1">
        <f t="shared" si="97"/>
        <v>1</v>
      </c>
      <c r="AH241" s="1">
        <f t="shared" si="98"/>
        <v>0</v>
      </c>
    </row>
    <row r="242" spans="1:34" ht="14.25" customHeight="1" x14ac:dyDescent="0.25">
      <c r="A242" s="47">
        <v>0</v>
      </c>
      <c r="B242" s="47">
        <v>1</v>
      </c>
      <c r="C242" s="47">
        <v>7</v>
      </c>
      <c r="D242" s="48" t="s">
        <v>90</v>
      </c>
      <c r="E242" s="48" t="s">
        <v>29</v>
      </c>
      <c r="F242" s="48" t="s">
        <v>285</v>
      </c>
      <c r="G242" s="48" t="s">
        <v>286</v>
      </c>
      <c r="H242" s="48" t="s">
        <v>358</v>
      </c>
      <c r="I242" s="47" t="s">
        <v>951</v>
      </c>
      <c r="J242" s="47">
        <v>99</v>
      </c>
      <c r="K242" s="49" t="s">
        <v>963</v>
      </c>
      <c r="L242" s="49" t="s">
        <v>702</v>
      </c>
      <c r="M242" s="50" t="s">
        <v>981</v>
      </c>
      <c r="N242" s="50" t="s">
        <v>1825</v>
      </c>
      <c r="O242" s="51"/>
      <c r="P242" s="51"/>
      <c r="R242" s="1">
        <f t="shared" si="83"/>
        <v>0</v>
      </c>
      <c r="S242" s="1">
        <f t="shared" si="84"/>
        <v>0</v>
      </c>
      <c r="T242" s="1">
        <f t="shared" si="85"/>
        <v>0</v>
      </c>
      <c r="U242" s="1">
        <f t="shared" si="86"/>
        <v>0</v>
      </c>
      <c r="V242" s="1">
        <f t="shared" si="87"/>
        <v>0</v>
      </c>
      <c r="W242" s="1">
        <f t="shared" si="88"/>
        <v>0</v>
      </c>
      <c r="X242" s="1">
        <f t="shared" si="89"/>
        <v>0</v>
      </c>
      <c r="Y242" s="1">
        <f t="shared" si="90"/>
        <v>0</v>
      </c>
      <c r="Z242" s="1">
        <f t="shared" si="91"/>
        <v>0</v>
      </c>
      <c r="AA242" s="1">
        <f t="shared" si="92"/>
        <v>0</v>
      </c>
      <c r="AC242" s="1">
        <f t="shared" si="93"/>
        <v>0</v>
      </c>
      <c r="AD242" s="1">
        <f t="shared" si="94"/>
        <v>0</v>
      </c>
      <c r="AE242" s="1">
        <f t="shared" si="95"/>
        <v>0</v>
      </c>
      <c r="AF242" s="1">
        <f t="shared" si="96"/>
        <v>0</v>
      </c>
      <c r="AG242" s="1">
        <f t="shared" si="97"/>
        <v>0</v>
      </c>
      <c r="AH242" s="1">
        <f t="shared" si="98"/>
        <v>1</v>
      </c>
    </row>
    <row r="243" spans="1:34" ht="14.25" customHeight="1" x14ac:dyDescent="0.25">
      <c r="A243" s="34">
        <v>0</v>
      </c>
      <c r="B243" s="34">
        <v>1</v>
      </c>
      <c r="C243" s="34">
        <v>7</v>
      </c>
      <c r="D243" s="39" t="s">
        <v>1652</v>
      </c>
      <c r="E243" s="35" t="s">
        <v>29</v>
      </c>
      <c r="F243" s="39" t="s">
        <v>1551</v>
      </c>
      <c r="G243" s="39" t="s">
        <v>39</v>
      </c>
      <c r="H243" s="39" t="s">
        <v>894</v>
      </c>
      <c r="I243" s="40" t="s">
        <v>1552</v>
      </c>
      <c r="J243" s="34">
        <v>17</v>
      </c>
      <c r="K243" s="36" t="s">
        <v>721</v>
      </c>
      <c r="L243" s="36" t="s">
        <v>705</v>
      </c>
      <c r="M243" s="37" t="s">
        <v>1473</v>
      </c>
      <c r="N243" s="37" t="s">
        <v>1743</v>
      </c>
      <c r="O243" s="38">
        <v>1</v>
      </c>
      <c r="P243" s="38">
        <v>1</v>
      </c>
      <c r="R243" s="1">
        <f t="shared" si="83"/>
        <v>0</v>
      </c>
      <c r="S243" s="1">
        <f t="shared" si="84"/>
        <v>0</v>
      </c>
      <c r="T243" s="1">
        <f t="shared" si="85"/>
        <v>0</v>
      </c>
      <c r="U243" s="1">
        <f t="shared" si="86"/>
        <v>0</v>
      </c>
      <c r="V243" s="1">
        <f t="shared" si="87"/>
        <v>0</v>
      </c>
      <c r="W243" s="1">
        <f t="shared" si="88"/>
        <v>0</v>
      </c>
      <c r="X243" s="1">
        <f t="shared" si="89"/>
        <v>0</v>
      </c>
      <c r="Y243" s="1">
        <f t="shared" si="90"/>
        <v>0</v>
      </c>
      <c r="Z243" s="1">
        <f t="shared" si="91"/>
        <v>0</v>
      </c>
      <c r="AA243" s="1">
        <f t="shared" si="92"/>
        <v>0</v>
      </c>
      <c r="AC243" s="1">
        <f t="shared" si="93"/>
        <v>1</v>
      </c>
      <c r="AD243" s="1">
        <f t="shared" si="94"/>
        <v>0</v>
      </c>
      <c r="AE243" s="1">
        <f t="shared" si="95"/>
        <v>1</v>
      </c>
      <c r="AF243" s="1">
        <f t="shared" si="96"/>
        <v>0</v>
      </c>
      <c r="AG243" s="1">
        <f t="shared" si="97"/>
        <v>1</v>
      </c>
      <c r="AH243" s="1">
        <f t="shared" si="98"/>
        <v>0</v>
      </c>
    </row>
    <row r="244" spans="1:34" ht="14.25" customHeight="1" x14ac:dyDescent="0.25">
      <c r="A244" s="47">
        <v>0</v>
      </c>
      <c r="B244" s="47">
        <v>1</v>
      </c>
      <c r="C244" s="47">
        <v>7</v>
      </c>
      <c r="D244" s="48" t="s">
        <v>1470</v>
      </c>
      <c r="E244" s="48" t="s">
        <v>29</v>
      </c>
      <c r="F244" s="48" t="s">
        <v>1471</v>
      </c>
      <c r="G244" s="48" t="s">
        <v>324</v>
      </c>
      <c r="H244" s="48" t="s">
        <v>358</v>
      </c>
      <c r="I244" s="47" t="s">
        <v>1472</v>
      </c>
      <c r="J244" s="47">
        <v>99</v>
      </c>
      <c r="K244" s="49" t="s">
        <v>711</v>
      </c>
      <c r="L244" s="49">
        <v>30</v>
      </c>
      <c r="M244" s="50" t="s">
        <v>1473</v>
      </c>
      <c r="N244" s="50" t="s">
        <v>1818</v>
      </c>
      <c r="O244" s="51"/>
      <c r="P244" s="51"/>
      <c r="R244" s="1">
        <f t="shared" si="83"/>
        <v>0</v>
      </c>
      <c r="S244" s="1">
        <f t="shared" si="84"/>
        <v>0</v>
      </c>
      <c r="T244" s="1">
        <f t="shared" si="85"/>
        <v>0</v>
      </c>
      <c r="U244" s="1">
        <f t="shared" si="86"/>
        <v>0</v>
      </c>
      <c r="V244" s="1">
        <f t="shared" si="87"/>
        <v>0</v>
      </c>
      <c r="W244" s="1">
        <f t="shared" si="88"/>
        <v>0</v>
      </c>
      <c r="X244" s="1">
        <f t="shared" si="89"/>
        <v>0</v>
      </c>
      <c r="Y244" s="1">
        <f t="shared" si="90"/>
        <v>0</v>
      </c>
      <c r="Z244" s="1">
        <f t="shared" si="91"/>
        <v>0</v>
      </c>
      <c r="AA244" s="1">
        <f t="shared" si="92"/>
        <v>0</v>
      </c>
      <c r="AC244" s="1">
        <f t="shared" si="93"/>
        <v>0</v>
      </c>
      <c r="AD244" s="1">
        <f t="shared" si="94"/>
        <v>0</v>
      </c>
      <c r="AE244" s="1">
        <f t="shared" si="95"/>
        <v>0</v>
      </c>
      <c r="AF244" s="1">
        <f t="shared" si="96"/>
        <v>0</v>
      </c>
      <c r="AG244" s="1">
        <f t="shared" si="97"/>
        <v>0</v>
      </c>
      <c r="AH244" s="1">
        <f t="shared" si="98"/>
        <v>1</v>
      </c>
    </row>
    <row r="245" spans="1:34" ht="14.25" customHeight="1" x14ac:dyDescent="0.25">
      <c r="A245" s="34">
        <v>0</v>
      </c>
      <c r="B245" s="34">
        <v>1</v>
      </c>
      <c r="C245" s="34">
        <v>7</v>
      </c>
      <c r="D245" s="39" t="s">
        <v>854</v>
      </c>
      <c r="E245" s="35" t="s">
        <v>29</v>
      </c>
      <c r="F245" s="39" t="s">
        <v>855</v>
      </c>
      <c r="G245" s="39" t="s">
        <v>224</v>
      </c>
      <c r="H245" s="39" t="s">
        <v>358</v>
      </c>
      <c r="I245" s="40" t="s">
        <v>856</v>
      </c>
      <c r="J245" s="34">
        <v>99</v>
      </c>
      <c r="K245" s="36" t="s">
        <v>963</v>
      </c>
      <c r="L245" s="36" t="s">
        <v>702</v>
      </c>
      <c r="M245" s="37" t="s">
        <v>981</v>
      </c>
      <c r="N245" s="37" t="s">
        <v>1865</v>
      </c>
      <c r="O245" s="38">
        <v>1</v>
      </c>
      <c r="P245" s="38"/>
      <c r="R245" s="1">
        <f t="shared" si="83"/>
        <v>0</v>
      </c>
      <c r="S245" s="1">
        <f t="shared" si="84"/>
        <v>0</v>
      </c>
      <c r="T245" s="1">
        <f t="shared" si="85"/>
        <v>0</v>
      </c>
      <c r="U245" s="1">
        <f t="shared" si="86"/>
        <v>0</v>
      </c>
      <c r="V245" s="1">
        <f t="shared" si="87"/>
        <v>0</v>
      </c>
      <c r="W245" s="1">
        <f t="shared" si="88"/>
        <v>0</v>
      </c>
      <c r="X245" s="1">
        <f t="shared" si="89"/>
        <v>0</v>
      </c>
      <c r="Y245" s="1">
        <f t="shared" si="90"/>
        <v>0</v>
      </c>
      <c r="Z245" s="1">
        <f t="shared" si="91"/>
        <v>0</v>
      </c>
      <c r="AA245" s="1">
        <f t="shared" si="92"/>
        <v>0</v>
      </c>
      <c r="AC245" s="1">
        <f t="shared" si="93"/>
        <v>0</v>
      </c>
      <c r="AD245" s="1">
        <f t="shared" si="94"/>
        <v>1</v>
      </c>
      <c r="AE245" s="1">
        <f t="shared" si="95"/>
        <v>0</v>
      </c>
      <c r="AF245" s="1">
        <f t="shared" si="96"/>
        <v>1</v>
      </c>
      <c r="AG245" s="1">
        <f t="shared" si="97"/>
        <v>0</v>
      </c>
      <c r="AH245" s="1">
        <f t="shared" si="98"/>
        <v>1</v>
      </c>
    </row>
    <row r="246" spans="1:34" ht="14.25" customHeight="1" x14ac:dyDescent="0.25">
      <c r="A246" s="34">
        <v>1</v>
      </c>
      <c r="B246" s="34">
        <v>1</v>
      </c>
      <c r="C246" s="34">
        <v>7</v>
      </c>
      <c r="D246" s="39" t="s">
        <v>854</v>
      </c>
      <c r="E246" s="35" t="s">
        <v>29</v>
      </c>
      <c r="F246" s="39" t="s">
        <v>938</v>
      </c>
      <c r="G246" s="39" t="s">
        <v>282</v>
      </c>
      <c r="H246" s="39" t="s">
        <v>358</v>
      </c>
      <c r="I246" s="40" t="s">
        <v>857</v>
      </c>
      <c r="J246" s="34">
        <v>99</v>
      </c>
      <c r="K246" s="36" t="s">
        <v>963</v>
      </c>
      <c r="L246" s="36" t="s">
        <v>702</v>
      </c>
      <c r="M246" s="37" t="s">
        <v>981</v>
      </c>
      <c r="N246" s="37" t="s">
        <v>1865</v>
      </c>
      <c r="O246" s="38">
        <v>1</v>
      </c>
      <c r="P246" s="38"/>
      <c r="R246" s="1">
        <f t="shared" si="83"/>
        <v>0</v>
      </c>
      <c r="S246" s="1">
        <f t="shared" si="84"/>
        <v>0</v>
      </c>
      <c r="T246" s="1">
        <f t="shared" si="85"/>
        <v>0</v>
      </c>
      <c r="U246" s="1">
        <f t="shared" si="86"/>
        <v>0</v>
      </c>
      <c r="V246" s="1">
        <f t="shared" si="87"/>
        <v>0</v>
      </c>
      <c r="W246" s="1">
        <f t="shared" si="88"/>
        <v>0</v>
      </c>
      <c r="X246" s="1">
        <f t="shared" si="89"/>
        <v>0</v>
      </c>
      <c r="Y246" s="1">
        <f t="shared" si="90"/>
        <v>0</v>
      </c>
      <c r="Z246" s="1">
        <f t="shared" si="91"/>
        <v>0</v>
      </c>
      <c r="AA246" s="1">
        <f t="shared" si="92"/>
        <v>0</v>
      </c>
      <c r="AC246" s="1">
        <f t="shared" si="93"/>
        <v>0</v>
      </c>
      <c r="AD246" s="1">
        <f t="shared" si="94"/>
        <v>1</v>
      </c>
      <c r="AE246" s="1">
        <f t="shared" si="95"/>
        <v>0</v>
      </c>
      <c r="AF246" s="1">
        <f t="shared" si="96"/>
        <v>0</v>
      </c>
      <c r="AG246" s="1">
        <f t="shared" si="97"/>
        <v>0</v>
      </c>
      <c r="AH246" s="1">
        <f t="shared" si="98"/>
        <v>0</v>
      </c>
    </row>
    <row r="247" spans="1:34" ht="14.25" customHeight="1" x14ac:dyDescent="0.25">
      <c r="A247" s="34">
        <v>0</v>
      </c>
      <c r="B247" s="34">
        <v>1</v>
      </c>
      <c r="C247" s="34">
        <v>7</v>
      </c>
      <c r="D247" s="35" t="s">
        <v>1231</v>
      </c>
      <c r="E247" s="35" t="s">
        <v>29</v>
      </c>
      <c r="F247" s="35" t="s">
        <v>1232</v>
      </c>
      <c r="G247" s="35" t="s">
        <v>240</v>
      </c>
      <c r="H247" s="35" t="s">
        <v>358</v>
      </c>
      <c r="I247" s="34" t="s">
        <v>1376</v>
      </c>
      <c r="J247" s="34">
        <v>99</v>
      </c>
      <c r="K247" s="36" t="s">
        <v>721</v>
      </c>
      <c r="L247" s="36" t="s">
        <v>702</v>
      </c>
      <c r="M247" s="37" t="s">
        <v>1422</v>
      </c>
      <c r="N247" s="37" t="s">
        <v>1771</v>
      </c>
      <c r="O247" s="38">
        <v>1</v>
      </c>
      <c r="P247" s="38"/>
      <c r="R247" s="1">
        <f t="shared" si="83"/>
        <v>0</v>
      </c>
      <c r="S247" s="1">
        <f t="shared" si="84"/>
        <v>0</v>
      </c>
      <c r="T247" s="1">
        <f t="shared" si="85"/>
        <v>0</v>
      </c>
      <c r="U247" s="1">
        <f t="shared" si="86"/>
        <v>0</v>
      </c>
      <c r="V247" s="1">
        <f t="shared" si="87"/>
        <v>0</v>
      </c>
      <c r="W247" s="1">
        <f t="shared" si="88"/>
        <v>0</v>
      </c>
      <c r="X247" s="1">
        <f t="shared" si="89"/>
        <v>0</v>
      </c>
      <c r="Y247" s="1">
        <f t="shared" si="90"/>
        <v>0</v>
      </c>
      <c r="Z247" s="1">
        <f t="shared" si="91"/>
        <v>0</v>
      </c>
      <c r="AA247" s="1">
        <f t="shared" si="92"/>
        <v>0</v>
      </c>
      <c r="AC247" s="1">
        <f t="shared" si="93"/>
        <v>0</v>
      </c>
      <c r="AD247" s="1">
        <f t="shared" si="94"/>
        <v>1</v>
      </c>
      <c r="AE247" s="1">
        <f t="shared" si="95"/>
        <v>0</v>
      </c>
      <c r="AF247" s="1">
        <f t="shared" si="96"/>
        <v>1</v>
      </c>
      <c r="AG247" s="1">
        <f t="shared" si="97"/>
        <v>0</v>
      </c>
      <c r="AH247" s="1">
        <f t="shared" si="98"/>
        <v>1</v>
      </c>
    </row>
    <row r="248" spans="1:34" ht="14.25" customHeight="1" x14ac:dyDescent="0.25">
      <c r="A248" s="34">
        <v>0</v>
      </c>
      <c r="B248" s="34">
        <v>1</v>
      </c>
      <c r="C248" s="34">
        <v>7</v>
      </c>
      <c r="D248" s="39" t="s">
        <v>1248</v>
      </c>
      <c r="E248" s="35" t="s">
        <v>29</v>
      </c>
      <c r="F248" s="39" t="s">
        <v>1249</v>
      </c>
      <c r="G248" s="39" t="s">
        <v>240</v>
      </c>
      <c r="H248" s="39" t="s">
        <v>358</v>
      </c>
      <c r="I248" s="40" t="s">
        <v>1250</v>
      </c>
      <c r="J248" s="34">
        <v>99</v>
      </c>
      <c r="K248" s="36" t="s">
        <v>721</v>
      </c>
      <c r="L248" s="36" t="s">
        <v>701</v>
      </c>
      <c r="M248" s="37" t="s">
        <v>1422</v>
      </c>
      <c r="N248" s="37" t="s">
        <v>1841</v>
      </c>
      <c r="O248" s="38">
        <v>1</v>
      </c>
      <c r="P248" s="38"/>
      <c r="R248" s="1">
        <f t="shared" si="83"/>
        <v>0</v>
      </c>
      <c r="S248" s="1">
        <f t="shared" si="84"/>
        <v>0</v>
      </c>
      <c r="T248" s="1">
        <f t="shared" si="85"/>
        <v>0</v>
      </c>
      <c r="U248" s="1">
        <f t="shared" si="86"/>
        <v>0</v>
      </c>
      <c r="V248" s="1">
        <f t="shared" si="87"/>
        <v>0</v>
      </c>
      <c r="W248" s="1">
        <f t="shared" si="88"/>
        <v>0</v>
      </c>
      <c r="X248" s="1">
        <f t="shared" si="89"/>
        <v>0</v>
      </c>
      <c r="Y248" s="1">
        <f t="shared" si="90"/>
        <v>0</v>
      </c>
      <c r="Z248" s="1">
        <f t="shared" si="91"/>
        <v>0</v>
      </c>
      <c r="AA248" s="1">
        <f t="shared" si="92"/>
        <v>0</v>
      </c>
      <c r="AC248" s="1">
        <f t="shared" si="93"/>
        <v>0</v>
      </c>
      <c r="AD248" s="1">
        <f t="shared" si="94"/>
        <v>1</v>
      </c>
      <c r="AE248" s="1">
        <f t="shared" si="95"/>
        <v>0</v>
      </c>
      <c r="AF248" s="1">
        <f t="shared" si="96"/>
        <v>1</v>
      </c>
      <c r="AG248" s="1">
        <f t="shared" si="97"/>
        <v>0</v>
      </c>
      <c r="AH248" s="1">
        <f t="shared" si="98"/>
        <v>1</v>
      </c>
    </row>
    <row r="249" spans="1:34" ht="14.25" customHeight="1" x14ac:dyDescent="0.25">
      <c r="A249" s="34">
        <v>0</v>
      </c>
      <c r="B249" s="34">
        <v>1</v>
      </c>
      <c r="C249" s="34">
        <v>7</v>
      </c>
      <c r="D249" s="39" t="s">
        <v>94</v>
      </c>
      <c r="E249" s="35" t="s">
        <v>29</v>
      </c>
      <c r="F249" s="39" t="s">
        <v>291</v>
      </c>
      <c r="G249" s="39" t="s">
        <v>192</v>
      </c>
      <c r="H249" s="39" t="s">
        <v>358</v>
      </c>
      <c r="I249" s="40" t="s">
        <v>446</v>
      </c>
      <c r="J249" s="34">
        <v>99</v>
      </c>
      <c r="K249" s="36" t="s">
        <v>721</v>
      </c>
      <c r="L249" s="36" t="s">
        <v>702</v>
      </c>
      <c r="M249" s="37" t="s">
        <v>1423</v>
      </c>
      <c r="N249" s="37" t="s">
        <v>1766</v>
      </c>
      <c r="O249" s="38">
        <v>1</v>
      </c>
      <c r="P249" s="38"/>
      <c r="R249" s="1">
        <f t="shared" si="83"/>
        <v>0</v>
      </c>
      <c r="S249" s="1">
        <f t="shared" si="84"/>
        <v>0</v>
      </c>
      <c r="T249" s="1">
        <f t="shared" si="85"/>
        <v>0</v>
      </c>
      <c r="U249" s="1">
        <f t="shared" si="86"/>
        <v>0</v>
      </c>
      <c r="V249" s="1">
        <f t="shared" si="87"/>
        <v>0</v>
      </c>
      <c r="W249" s="1">
        <f t="shared" si="88"/>
        <v>0</v>
      </c>
      <c r="X249" s="1">
        <f t="shared" si="89"/>
        <v>0</v>
      </c>
      <c r="Y249" s="1">
        <f t="shared" si="90"/>
        <v>0</v>
      </c>
      <c r="Z249" s="1">
        <f t="shared" si="91"/>
        <v>0</v>
      </c>
      <c r="AA249" s="1">
        <f t="shared" si="92"/>
        <v>0</v>
      </c>
      <c r="AC249" s="1">
        <f t="shared" si="93"/>
        <v>0</v>
      </c>
      <c r="AD249" s="1">
        <f t="shared" si="94"/>
        <v>1</v>
      </c>
      <c r="AE249" s="1">
        <f t="shared" si="95"/>
        <v>0</v>
      </c>
      <c r="AF249" s="1">
        <f t="shared" si="96"/>
        <v>1</v>
      </c>
      <c r="AG249" s="1">
        <f t="shared" si="97"/>
        <v>0</v>
      </c>
      <c r="AH249" s="1">
        <f t="shared" si="98"/>
        <v>1</v>
      </c>
    </row>
    <row r="250" spans="1:34" ht="14.25" customHeight="1" x14ac:dyDescent="0.25">
      <c r="A250" s="47">
        <v>0</v>
      </c>
      <c r="B250" s="47">
        <v>1</v>
      </c>
      <c r="C250" s="47">
        <v>7</v>
      </c>
      <c r="D250" s="48" t="s">
        <v>878</v>
      </c>
      <c r="E250" s="48" t="s">
        <v>29</v>
      </c>
      <c r="F250" s="48" t="s">
        <v>879</v>
      </c>
      <c r="G250" s="48" t="s">
        <v>196</v>
      </c>
      <c r="H250" s="48" t="s">
        <v>358</v>
      </c>
      <c r="I250" s="47" t="s">
        <v>880</v>
      </c>
      <c r="J250" s="47">
        <v>9</v>
      </c>
      <c r="K250" s="49" t="s">
        <v>721</v>
      </c>
      <c r="L250" s="49" t="s">
        <v>704</v>
      </c>
      <c r="M250" s="50" t="s">
        <v>716</v>
      </c>
      <c r="N250" s="50" t="s">
        <v>1751</v>
      </c>
      <c r="O250" s="51"/>
      <c r="P250" s="51"/>
      <c r="R250" s="1">
        <f t="shared" si="83"/>
        <v>0</v>
      </c>
      <c r="S250" s="1">
        <f t="shared" si="84"/>
        <v>0</v>
      </c>
      <c r="T250" s="1">
        <f t="shared" si="85"/>
        <v>0</v>
      </c>
      <c r="U250" s="1">
        <f t="shared" si="86"/>
        <v>0</v>
      </c>
      <c r="V250" s="1">
        <f t="shared" si="87"/>
        <v>0</v>
      </c>
      <c r="W250" s="1">
        <f t="shared" si="88"/>
        <v>0</v>
      </c>
      <c r="X250" s="1">
        <f t="shared" si="89"/>
        <v>0</v>
      </c>
      <c r="Y250" s="1">
        <f t="shared" si="90"/>
        <v>0</v>
      </c>
      <c r="Z250" s="1">
        <f t="shared" si="91"/>
        <v>1</v>
      </c>
      <c r="AA250" s="1">
        <f t="shared" si="92"/>
        <v>0</v>
      </c>
      <c r="AC250" s="1">
        <f t="shared" si="93"/>
        <v>0</v>
      </c>
      <c r="AD250" s="1">
        <f t="shared" si="94"/>
        <v>0</v>
      </c>
      <c r="AE250" s="1">
        <f t="shared" si="95"/>
        <v>0</v>
      </c>
      <c r="AF250" s="1">
        <f t="shared" si="96"/>
        <v>0</v>
      </c>
      <c r="AG250" s="1">
        <f t="shared" si="97"/>
        <v>0</v>
      </c>
      <c r="AH250" s="1">
        <f t="shared" si="98"/>
        <v>1</v>
      </c>
    </row>
    <row r="251" spans="1:34" ht="14.25" customHeight="1" x14ac:dyDescent="0.25">
      <c r="A251" s="47">
        <v>1</v>
      </c>
      <c r="B251" s="47">
        <v>1</v>
      </c>
      <c r="C251" s="47">
        <v>7</v>
      </c>
      <c r="D251" s="48" t="s">
        <v>878</v>
      </c>
      <c r="E251" s="48" t="s">
        <v>29</v>
      </c>
      <c r="F251" s="48" t="s">
        <v>1079</v>
      </c>
      <c r="G251" s="48" t="s">
        <v>324</v>
      </c>
      <c r="H251" s="48" t="s">
        <v>358</v>
      </c>
      <c r="I251" s="47" t="s">
        <v>1080</v>
      </c>
      <c r="J251" s="47">
        <v>99</v>
      </c>
      <c r="K251" s="49" t="s">
        <v>721</v>
      </c>
      <c r="L251" s="49" t="s">
        <v>704</v>
      </c>
      <c r="M251" s="50" t="s">
        <v>716</v>
      </c>
      <c r="N251" s="50" t="s">
        <v>1751</v>
      </c>
      <c r="O251" s="51"/>
      <c r="P251" s="51"/>
      <c r="R251" s="1">
        <f t="shared" si="83"/>
        <v>0</v>
      </c>
      <c r="S251" s="1">
        <f t="shared" si="84"/>
        <v>0</v>
      </c>
      <c r="T251" s="1">
        <f t="shared" si="85"/>
        <v>0</v>
      </c>
      <c r="U251" s="1">
        <f t="shared" si="86"/>
        <v>0</v>
      </c>
      <c r="V251" s="1">
        <f t="shared" si="87"/>
        <v>0</v>
      </c>
      <c r="W251" s="1">
        <f t="shared" si="88"/>
        <v>0</v>
      </c>
      <c r="X251" s="1">
        <f t="shared" si="89"/>
        <v>0</v>
      </c>
      <c r="Y251" s="1">
        <f t="shared" si="90"/>
        <v>0</v>
      </c>
      <c r="Z251" s="1">
        <f t="shared" si="91"/>
        <v>0</v>
      </c>
      <c r="AA251" s="1">
        <f t="shared" si="92"/>
        <v>0</v>
      </c>
      <c r="AC251" s="1">
        <f t="shared" si="93"/>
        <v>0</v>
      </c>
      <c r="AD251" s="1">
        <f t="shared" si="94"/>
        <v>0</v>
      </c>
      <c r="AE251" s="1">
        <f t="shared" si="95"/>
        <v>0</v>
      </c>
      <c r="AF251" s="1">
        <f t="shared" si="96"/>
        <v>0</v>
      </c>
      <c r="AG251" s="1">
        <f t="shared" si="97"/>
        <v>0</v>
      </c>
      <c r="AH251" s="1">
        <f t="shared" si="98"/>
        <v>0</v>
      </c>
    </row>
    <row r="252" spans="1:34" ht="14.25" customHeight="1" x14ac:dyDescent="0.25">
      <c r="A252" s="47">
        <v>0</v>
      </c>
      <c r="B252" s="47">
        <v>1</v>
      </c>
      <c r="C252" s="47">
        <v>7</v>
      </c>
      <c r="D252" s="48" t="s">
        <v>97</v>
      </c>
      <c r="E252" s="48" t="s">
        <v>29</v>
      </c>
      <c r="F252" s="48" t="s">
        <v>295</v>
      </c>
      <c r="G252" s="48" t="s">
        <v>296</v>
      </c>
      <c r="H252" s="48" t="s">
        <v>358</v>
      </c>
      <c r="I252" s="47" t="s">
        <v>1128</v>
      </c>
      <c r="J252" s="47">
        <v>99</v>
      </c>
      <c r="K252" s="49" t="s">
        <v>721</v>
      </c>
      <c r="L252" s="49" t="s">
        <v>704</v>
      </c>
      <c r="M252" s="50" t="s">
        <v>716</v>
      </c>
      <c r="N252" s="50" t="s">
        <v>1755</v>
      </c>
      <c r="O252" s="51"/>
      <c r="P252" s="51"/>
      <c r="R252" s="1">
        <f t="shared" si="83"/>
        <v>0</v>
      </c>
      <c r="S252" s="1">
        <f t="shared" si="84"/>
        <v>0</v>
      </c>
      <c r="T252" s="1">
        <f t="shared" si="85"/>
        <v>0</v>
      </c>
      <c r="U252" s="1">
        <f t="shared" si="86"/>
        <v>0</v>
      </c>
      <c r="V252" s="1">
        <f t="shared" si="87"/>
        <v>0</v>
      </c>
      <c r="W252" s="1">
        <f t="shared" si="88"/>
        <v>0</v>
      </c>
      <c r="X252" s="1">
        <f t="shared" si="89"/>
        <v>0</v>
      </c>
      <c r="Y252" s="1">
        <f t="shared" si="90"/>
        <v>0</v>
      </c>
      <c r="Z252" s="1">
        <f t="shared" si="91"/>
        <v>0</v>
      </c>
      <c r="AA252" s="1">
        <f t="shared" si="92"/>
        <v>0</v>
      </c>
      <c r="AC252" s="1">
        <f t="shared" si="93"/>
        <v>0</v>
      </c>
      <c r="AD252" s="1">
        <f t="shared" si="94"/>
        <v>0</v>
      </c>
      <c r="AE252" s="1">
        <f t="shared" si="95"/>
        <v>0</v>
      </c>
      <c r="AF252" s="1">
        <f t="shared" si="96"/>
        <v>0</v>
      </c>
      <c r="AG252" s="1">
        <f t="shared" si="97"/>
        <v>0</v>
      </c>
      <c r="AH252" s="1">
        <f t="shared" si="98"/>
        <v>1</v>
      </c>
    </row>
    <row r="253" spans="1:34" ht="14.25" customHeight="1" x14ac:dyDescent="0.25">
      <c r="A253" s="47">
        <v>0</v>
      </c>
      <c r="B253" s="47">
        <v>1</v>
      </c>
      <c r="C253" s="47">
        <v>7</v>
      </c>
      <c r="D253" s="48" t="s">
        <v>538</v>
      </c>
      <c r="E253" s="48" t="s">
        <v>29</v>
      </c>
      <c r="F253" s="48" t="s">
        <v>672</v>
      </c>
      <c r="G253" s="48" t="s">
        <v>39</v>
      </c>
      <c r="H253" s="48" t="s">
        <v>539</v>
      </c>
      <c r="I253" s="47" t="s">
        <v>1706</v>
      </c>
      <c r="J253" s="47">
        <v>14</v>
      </c>
      <c r="K253" s="49" t="s">
        <v>962</v>
      </c>
      <c r="L253" s="49">
        <v>40</v>
      </c>
      <c r="M253" s="50" t="s">
        <v>716</v>
      </c>
      <c r="N253" s="50" t="s">
        <v>1751</v>
      </c>
      <c r="O253" s="51"/>
      <c r="P253" s="51"/>
      <c r="R253" s="1">
        <f t="shared" si="83"/>
        <v>0</v>
      </c>
      <c r="S253" s="1">
        <f t="shared" si="84"/>
        <v>0</v>
      </c>
      <c r="T253" s="1">
        <f t="shared" si="85"/>
        <v>0</v>
      </c>
      <c r="U253" s="1">
        <f t="shared" si="86"/>
        <v>0</v>
      </c>
      <c r="V253" s="1">
        <f t="shared" si="87"/>
        <v>0</v>
      </c>
      <c r="W253" s="1">
        <f t="shared" si="88"/>
        <v>0</v>
      </c>
      <c r="X253" s="1">
        <f t="shared" si="89"/>
        <v>0</v>
      </c>
      <c r="Y253" s="1">
        <f t="shared" si="90"/>
        <v>0</v>
      </c>
      <c r="Z253" s="1">
        <f t="shared" si="91"/>
        <v>0</v>
      </c>
      <c r="AA253" s="1">
        <f t="shared" si="92"/>
        <v>0</v>
      </c>
      <c r="AC253" s="1">
        <f t="shared" si="93"/>
        <v>0</v>
      </c>
      <c r="AD253" s="1">
        <f t="shared" si="94"/>
        <v>0</v>
      </c>
      <c r="AE253" s="1">
        <f t="shared" si="95"/>
        <v>0</v>
      </c>
      <c r="AF253" s="1">
        <f t="shared" si="96"/>
        <v>0</v>
      </c>
      <c r="AG253" s="1">
        <f t="shared" si="97"/>
        <v>0</v>
      </c>
      <c r="AH253" s="1">
        <f t="shared" si="98"/>
        <v>1</v>
      </c>
    </row>
    <row r="254" spans="1:34" ht="14.25" customHeight="1" x14ac:dyDescent="0.25">
      <c r="A254" s="34">
        <v>0</v>
      </c>
      <c r="B254" s="34">
        <v>1</v>
      </c>
      <c r="C254" s="34">
        <v>7</v>
      </c>
      <c r="D254" s="39" t="s">
        <v>1336</v>
      </c>
      <c r="E254" s="35" t="s">
        <v>29</v>
      </c>
      <c r="F254" s="39" t="s">
        <v>1360</v>
      </c>
      <c r="G254" s="39" t="s">
        <v>39</v>
      </c>
      <c r="H254" s="39" t="s">
        <v>358</v>
      </c>
      <c r="I254" s="40" t="s">
        <v>1163</v>
      </c>
      <c r="J254" s="34">
        <v>99</v>
      </c>
      <c r="K254" s="36" t="s">
        <v>721</v>
      </c>
      <c r="L254" s="36" t="s">
        <v>701</v>
      </c>
      <c r="M254" s="37" t="s">
        <v>1424</v>
      </c>
      <c r="N254" s="37" t="s">
        <v>1749</v>
      </c>
      <c r="O254" s="38">
        <v>1</v>
      </c>
      <c r="P254" s="38">
        <v>1</v>
      </c>
      <c r="R254" s="1">
        <f t="shared" si="83"/>
        <v>0</v>
      </c>
      <c r="S254" s="1">
        <f t="shared" si="84"/>
        <v>0</v>
      </c>
      <c r="T254" s="1">
        <f t="shared" si="85"/>
        <v>0</v>
      </c>
      <c r="U254" s="1">
        <f t="shared" si="86"/>
        <v>0</v>
      </c>
      <c r="V254" s="1">
        <f t="shared" si="87"/>
        <v>0</v>
      </c>
      <c r="W254" s="1">
        <f t="shared" si="88"/>
        <v>0</v>
      </c>
      <c r="X254" s="1">
        <f t="shared" si="89"/>
        <v>0</v>
      </c>
      <c r="Y254" s="1">
        <f t="shared" si="90"/>
        <v>0</v>
      </c>
      <c r="Z254" s="1">
        <f t="shared" si="91"/>
        <v>0</v>
      </c>
      <c r="AA254" s="1">
        <f t="shared" si="92"/>
        <v>0</v>
      </c>
      <c r="AC254" s="1">
        <f t="shared" si="93"/>
        <v>1</v>
      </c>
      <c r="AD254" s="1">
        <f t="shared" si="94"/>
        <v>0</v>
      </c>
      <c r="AE254" s="1">
        <f t="shared" si="95"/>
        <v>1</v>
      </c>
      <c r="AF254" s="1">
        <f t="shared" si="96"/>
        <v>0</v>
      </c>
      <c r="AG254" s="1">
        <f t="shared" si="97"/>
        <v>1</v>
      </c>
      <c r="AH254" s="1">
        <f t="shared" si="98"/>
        <v>0</v>
      </c>
    </row>
    <row r="255" spans="1:34" ht="14.25" customHeight="1" x14ac:dyDescent="0.25">
      <c r="A255" s="47">
        <v>0</v>
      </c>
      <c r="B255" s="47">
        <v>1</v>
      </c>
      <c r="C255" s="47">
        <v>7</v>
      </c>
      <c r="D255" s="48" t="s">
        <v>98</v>
      </c>
      <c r="E255" s="48" t="s">
        <v>29</v>
      </c>
      <c r="F255" s="48" t="s">
        <v>298</v>
      </c>
      <c r="G255" s="48" t="s">
        <v>266</v>
      </c>
      <c r="H255" s="48" t="s">
        <v>358</v>
      </c>
      <c r="I255" s="47" t="s">
        <v>450</v>
      </c>
      <c r="J255" s="47">
        <v>1</v>
      </c>
      <c r="K255" s="49" t="s">
        <v>721</v>
      </c>
      <c r="L255" s="49" t="s">
        <v>702</v>
      </c>
      <c r="M255" s="50" t="s">
        <v>716</v>
      </c>
      <c r="N255" s="50" t="s">
        <v>1751</v>
      </c>
      <c r="O255" s="51"/>
      <c r="P255" s="51"/>
      <c r="R255" s="1">
        <f t="shared" si="83"/>
        <v>1</v>
      </c>
      <c r="S255" s="1">
        <f t="shared" si="84"/>
        <v>0</v>
      </c>
      <c r="T255" s="1">
        <f t="shared" si="85"/>
        <v>0</v>
      </c>
      <c r="U255" s="1">
        <f t="shared" si="86"/>
        <v>0</v>
      </c>
      <c r="V255" s="1">
        <f t="shared" si="87"/>
        <v>0</v>
      </c>
      <c r="W255" s="1">
        <f t="shared" si="88"/>
        <v>0</v>
      </c>
      <c r="X255" s="1">
        <f t="shared" si="89"/>
        <v>0</v>
      </c>
      <c r="Y255" s="1">
        <f t="shared" si="90"/>
        <v>0</v>
      </c>
      <c r="Z255" s="1">
        <f t="shared" si="91"/>
        <v>0</v>
      </c>
      <c r="AA255" s="1">
        <f t="shared" si="92"/>
        <v>0</v>
      </c>
      <c r="AC255" s="1">
        <f t="shared" si="93"/>
        <v>0</v>
      </c>
      <c r="AD255" s="1">
        <f t="shared" si="94"/>
        <v>0</v>
      </c>
      <c r="AE255" s="1">
        <f t="shared" si="95"/>
        <v>0</v>
      </c>
      <c r="AF255" s="1">
        <f t="shared" si="96"/>
        <v>0</v>
      </c>
      <c r="AG255" s="1">
        <f t="shared" si="97"/>
        <v>0</v>
      </c>
      <c r="AH255" s="1">
        <f t="shared" si="98"/>
        <v>1</v>
      </c>
    </row>
    <row r="256" spans="1:34" ht="14.25" customHeight="1" x14ac:dyDescent="0.25">
      <c r="A256" s="15">
        <v>0</v>
      </c>
      <c r="B256" s="15">
        <v>1</v>
      </c>
      <c r="C256" s="15">
        <v>7</v>
      </c>
      <c r="D256" s="16" t="s">
        <v>763</v>
      </c>
      <c r="E256" s="16" t="s">
        <v>29</v>
      </c>
      <c r="F256" s="16" t="s">
        <v>764</v>
      </c>
      <c r="G256" s="16" t="s">
        <v>39</v>
      </c>
      <c r="H256" s="16" t="s">
        <v>765</v>
      </c>
      <c r="I256" s="15" t="s">
        <v>766</v>
      </c>
      <c r="J256" s="15">
        <v>18</v>
      </c>
      <c r="K256" s="10" t="s">
        <v>711</v>
      </c>
      <c r="L256" s="10" t="s">
        <v>705</v>
      </c>
      <c r="M256" s="19" t="s">
        <v>716</v>
      </c>
      <c r="N256" s="17"/>
      <c r="R256" s="1">
        <f t="shared" si="83"/>
        <v>0</v>
      </c>
      <c r="S256" s="1">
        <f t="shared" si="84"/>
        <v>0</v>
      </c>
      <c r="T256" s="1">
        <f t="shared" si="85"/>
        <v>0</v>
      </c>
      <c r="U256" s="1">
        <f t="shared" si="86"/>
        <v>0</v>
      </c>
      <c r="V256" s="1">
        <f t="shared" si="87"/>
        <v>0</v>
      </c>
      <c r="W256" s="1">
        <f t="shared" si="88"/>
        <v>0</v>
      </c>
      <c r="X256" s="1">
        <f t="shared" si="89"/>
        <v>0</v>
      </c>
      <c r="Y256" s="1">
        <f t="shared" si="90"/>
        <v>0</v>
      </c>
      <c r="Z256" s="1">
        <f t="shared" si="91"/>
        <v>0</v>
      </c>
      <c r="AA256" s="1">
        <f t="shared" si="92"/>
        <v>0</v>
      </c>
      <c r="AC256" s="1">
        <f t="shared" si="93"/>
        <v>0</v>
      </c>
      <c r="AD256" s="1">
        <f t="shared" si="94"/>
        <v>0</v>
      </c>
      <c r="AE256" s="1">
        <f t="shared" si="95"/>
        <v>0</v>
      </c>
      <c r="AF256" s="1">
        <f t="shared" si="96"/>
        <v>0</v>
      </c>
      <c r="AG256" s="1">
        <f t="shared" si="97"/>
        <v>0</v>
      </c>
      <c r="AH256" s="1">
        <f t="shared" si="98"/>
        <v>1</v>
      </c>
    </row>
    <row r="257" spans="1:34" ht="14.25" customHeight="1" x14ac:dyDescent="0.25">
      <c r="A257" s="15">
        <v>1</v>
      </c>
      <c r="B257" s="15">
        <v>1</v>
      </c>
      <c r="C257" s="15">
        <v>7</v>
      </c>
      <c r="D257" s="16" t="s">
        <v>763</v>
      </c>
      <c r="E257" s="16" t="s">
        <v>29</v>
      </c>
      <c r="F257" s="16" t="s">
        <v>767</v>
      </c>
      <c r="G257" s="16" t="s">
        <v>39</v>
      </c>
      <c r="H257" s="16" t="s">
        <v>753</v>
      </c>
      <c r="I257" s="15" t="s">
        <v>768</v>
      </c>
      <c r="J257" s="15">
        <v>17</v>
      </c>
      <c r="K257" s="10" t="s">
        <v>711</v>
      </c>
      <c r="L257" s="10" t="s">
        <v>705</v>
      </c>
      <c r="M257" s="19" t="s">
        <v>716</v>
      </c>
      <c r="N257" s="17"/>
      <c r="R257" s="1">
        <f t="shared" si="83"/>
        <v>0</v>
      </c>
      <c r="S257" s="1">
        <f t="shared" si="84"/>
        <v>0</v>
      </c>
      <c r="T257" s="1">
        <f t="shared" si="85"/>
        <v>0</v>
      </c>
      <c r="U257" s="1">
        <f t="shared" si="86"/>
        <v>0</v>
      </c>
      <c r="V257" s="1">
        <f t="shared" si="87"/>
        <v>0</v>
      </c>
      <c r="W257" s="1">
        <f t="shared" si="88"/>
        <v>0</v>
      </c>
      <c r="X257" s="1">
        <f t="shared" si="89"/>
        <v>0</v>
      </c>
      <c r="Y257" s="1">
        <f t="shared" si="90"/>
        <v>0</v>
      </c>
      <c r="Z257" s="1">
        <f t="shared" si="91"/>
        <v>0</v>
      </c>
      <c r="AA257" s="1">
        <f t="shared" si="92"/>
        <v>0</v>
      </c>
      <c r="AC257" s="1">
        <f t="shared" si="93"/>
        <v>0</v>
      </c>
      <c r="AD257" s="1">
        <f t="shared" si="94"/>
        <v>0</v>
      </c>
      <c r="AE257" s="1">
        <f t="shared" si="95"/>
        <v>0</v>
      </c>
      <c r="AF257" s="1">
        <f t="shared" si="96"/>
        <v>0</v>
      </c>
      <c r="AG257" s="1">
        <f t="shared" si="97"/>
        <v>0</v>
      </c>
      <c r="AH257" s="1">
        <f t="shared" si="98"/>
        <v>0</v>
      </c>
    </row>
    <row r="258" spans="1:34" ht="14.25" customHeight="1" x14ac:dyDescent="0.25">
      <c r="A258" s="34">
        <v>0</v>
      </c>
      <c r="B258" s="34">
        <v>1</v>
      </c>
      <c r="C258" s="34">
        <v>7</v>
      </c>
      <c r="D258" s="39" t="s">
        <v>1534</v>
      </c>
      <c r="E258" s="35" t="s">
        <v>29</v>
      </c>
      <c r="F258" s="39" t="s">
        <v>1687</v>
      </c>
      <c r="G258" s="39" t="s">
        <v>1688</v>
      </c>
      <c r="H258" s="39" t="s">
        <v>358</v>
      </c>
      <c r="I258" s="40" t="s">
        <v>1535</v>
      </c>
      <c r="J258" s="34">
        <v>99</v>
      </c>
      <c r="K258" s="36" t="s">
        <v>721</v>
      </c>
      <c r="L258" s="36" t="s">
        <v>39</v>
      </c>
      <c r="M258" s="37" t="s">
        <v>39</v>
      </c>
      <c r="N258" s="37" t="s">
        <v>1743</v>
      </c>
      <c r="O258" s="38">
        <v>1</v>
      </c>
      <c r="P258" s="38">
        <v>1</v>
      </c>
      <c r="R258" s="1">
        <f t="shared" si="83"/>
        <v>0</v>
      </c>
      <c r="S258" s="1">
        <f t="shared" si="84"/>
        <v>0</v>
      </c>
      <c r="T258" s="1">
        <f t="shared" si="85"/>
        <v>0</v>
      </c>
      <c r="U258" s="1">
        <f t="shared" si="86"/>
        <v>0</v>
      </c>
      <c r="V258" s="1">
        <f t="shared" si="87"/>
        <v>0</v>
      </c>
      <c r="W258" s="1">
        <f t="shared" si="88"/>
        <v>0</v>
      </c>
      <c r="X258" s="1">
        <f t="shared" si="89"/>
        <v>0</v>
      </c>
      <c r="Y258" s="1">
        <f t="shared" si="90"/>
        <v>0</v>
      </c>
      <c r="Z258" s="1">
        <f t="shared" si="91"/>
        <v>0</v>
      </c>
      <c r="AA258" s="1">
        <f t="shared" si="92"/>
        <v>0</v>
      </c>
      <c r="AC258" s="1">
        <f t="shared" si="93"/>
        <v>1</v>
      </c>
      <c r="AD258" s="1">
        <f t="shared" si="94"/>
        <v>0</v>
      </c>
      <c r="AE258" s="1">
        <f t="shared" si="95"/>
        <v>1</v>
      </c>
      <c r="AF258" s="1">
        <f t="shared" si="96"/>
        <v>0</v>
      </c>
      <c r="AG258" s="1">
        <f t="shared" si="97"/>
        <v>1</v>
      </c>
      <c r="AH258" s="1">
        <f t="shared" si="98"/>
        <v>0</v>
      </c>
    </row>
    <row r="259" spans="1:34" ht="14.25" customHeight="1" x14ac:dyDescent="0.25">
      <c r="A259" s="15">
        <v>0</v>
      </c>
      <c r="B259" s="15">
        <v>1</v>
      </c>
      <c r="C259" s="15">
        <v>7</v>
      </c>
      <c r="D259" s="16" t="s">
        <v>1157</v>
      </c>
      <c r="E259" s="16" t="s">
        <v>29</v>
      </c>
      <c r="F259" s="16" t="s">
        <v>1158</v>
      </c>
      <c r="G259" s="16" t="s">
        <v>1160</v>
      </c>
      <c r="H259" s="16" t="s">
        <v>358</v>
      </c>
      <c r="I259" s="15" t="s">
        <v>1159</v>
      </c>
      <c r="J259" s="15">
        <v>99</v>
      </c>
      <c r="K259" s="10" t="s">
        <v>711</v>
      </c>
      <c r="L259" s="10">
        <v>30</v>
      </c>
      <c r="M259" s="19" t="s">
        <v>1425</v>
      </c>
      <c r="N259" s="19"/>
      <c r="R259" s="1">
        <f t="shared" si="83"/>
        <v>0</v>
      </c>
      <c r="S259" s="1">
        <f t="shared" si="84"/>
        <v>0</v>
      </c>
      <c r="T259" s="1">
        <f t="shared" si="85"/>
        <v>0</v>
      </c>
      <c r="U259" s="1">
        <f t="shared" si="86"/>
        <v>0</v>
      </c>
      <c r="V259" s="1">
        <f t="shared" si="87"/>
        <v>0</v>
      </c>
      <c r="W259" s="1">
        <f t="shared" si="88"/>
        <v>0</v>
      </c>
      <c r="X259" s="1">
        <f t="shared" si="89"/>
        <v>0</v>
      </c>
      <c r="Y259" s="1">
        <f t="shared" si="90"/>
        <v>0</v>
      </c>
      <c r="Z259" s="1">
        <f t="shared" si="91"/>
        <v>0</v>
      </c>
      <c r="AA259" s="1">
        <f t="shared" si="92"/>
        <v>0</v>
      </c>
      <c r="AC259" s="1">
        <f t="shared" si="93"/>
        <v>0</v>
      </c>
      <c r="AD259" s="1">
        <f t="shared" si="94"/>
        <v>0</v>
      </c>
      <c r="AE259" s="1">
        <f t="shared" si="95"/>
        <v>0</v>
      </c>
      <c r="AF259" s="1">
        <f t="shared" si="96"/>
        <v>0</v>
      </c>
      <c r="AG259" s="1">
        <f t="shared" si="97"/>
        <v>0</v>
      </c>
      <c r="AH259" s="1">
        <f t="shared" si="98"/>
        <v>1</v>
      </c>
    </row>
    <row r="260" spans="1:34" ht="14.25" customHeight="1" x14ac:dyDescent="0.25">
      <c r="A260" s="47">
        <v>0</v>
      </c>
      <c r="B260" s="47">
        <v>1</v>
      </c>
      <c r="C260" s="47">
        <v>7</v>
      </c>
      <c r="D260" s="48" t="s">
        <v>100</v>
      </c>
      <c r="E260" s="48" t="s">
        <v>29</v>
      </c>
      <c r="F260" s="48" t="s">
        <v>300</v>
      </c>
      <c r="G260" s="48" t="s">
        <v>199</v>
      </c>
      <c r="H260" s="48" t="s">
        <v>358</v>
      </c>
      <c r="I260" s="47" t="s">
        <v>451</v>
      </c>
      <c r="J260" s="47">
        <v>9</v>
      </c>
      <c r="K260" s="49" t="s">
        <v>711</v>
      </c>
      <c r="L260" s="49">
        <v>30</v>
      </c>
      <c r="M260" s="50" t="s">
        <v>716</v>
      </c>
      <c r="N260" s="50" t="s">
        <v>1751</v>
      </c>
      <c r="O260" s="51"/>
      <c r="P260" s="51"/>
      <c r="R260" s="1">
        <f t="shared" si="83"/>
        <v>0</v>
      </c>
      <c r="S260" s="1">
        <f t="shared" si="84"/>
        <v>0</v>
      </c>
      <c r="T260" s="1">
        <f t="shared" si="85"/>
        <v>0</v>
      </c>
      <c r="U260" s="1">
        <f t="shared" si="86"/>
        <v>0</v>
      </c>
      <c r="V260" s="1">
        <f t="shared" si="87"/>
        <v>0</v>
      </c>
      <c r="W260" s="1">
        <f t="shared" si="88"/>
        <v>0</v>
      </c>
      <c r="X260" s="1">
        <f t="shared" si="89"/>
        <v>0</v>
      </c>
      <c r="Y260" s="1">
        <f t="shared" si="90"/>
        <v>0</v>
      </c>
      <c r="Z260" s="1">
        <f t="shared" si="91"/>
        <v>1</v>
      </c>
      <c r="AA260" s="1">
        <f t="shared" si="92"/>
        <v>0</v>
      </c>
      <c r="AC260" s="1">
        <f t="shared" si="93"/>
        <v>0</v>
      </c>
      <c r="AD260" s="1">
        <f t="shared" si="94"/>
        <v>0</v>
      </c>
      <c r="AE260" s="1">
        <f t="shared" si="95"/>
        <v>0</v>
      </c>
      <c r="AF260" s="1">
        <f t="shared" si="96"/>
        <v>0</v>
      </c>
      <c r="AG260" s="1">
        <f t="shared" si="97"/>
        <v>0</v>
      </c>
      <c r="AH260" s="1">
        <f t="shared" si="98"/>
        <v>1</v>
      </c>
    </row>
    <row r="261" spans="1:34" ht="14.25" customHeight="1" x14ac:dyDescent="0.25">
      <c r="A261" s="47">
        <v>0</v>
      </c>
      <c r="B261" s="47">
        <v>1</v>
      </c>
      <c r="C261" s="47">
        <v>7</v>
      </c>
      <c r="D261" s="48" t="s">
        <v>811</v>
      </c>
      <c r="E261" s="48" t="s">
        <v>29</v>
      </c>
      <c r="F261" s="48" t="s">
        <v>790</v>
      </c>
      <c r="G261" s="48" t="s">
        <v>812</v>
      </c>
      <c r="H261" s="48" t="s">
        <v>358</v>
      </c>
      <c r="I261" s="47" t="s">
        <v>960</v>
      </c>
      <c r="J261" s="47">
        <v>99</v>
      </c>
      <c r="K261" s="49" t="s">
        <v>721</v>
      </c>
      <c r="L261" s="49" t="s">
        <v>702</v>
      </c>
      <c r="M261" s="50" t="s">
        <v>716</v>
      </c>
      <c r="N261" s="50" t="s">
        <v>1818</v>
      </c>
      <c r="O261" s="51"/>
      <c r="P261" s="51"/>
      <c r="R261" s="1">
        <f t="shared" si="83"/>
        <v>0</v>
      </c>
      <c r="S261" s="1">
        <f t="shared" si="84"/>
        <v>0</v>
      </c>
      <c r="T261" s="1">
        <f t="shared" si="85"/>
        <v>0</v>
      </c>
      <c r="U261" s="1">
        <f t="shared" si="86"/>
        <v>0</v>
      </c>
      <c r="V261" s="1">
        <f t="shared" si="87"/>
        <v>0</v>
      </c>
      <c r="W261" s="1">
        <f t="shared" si="88"/>
        <v>0</v>
      </c>
      <c r="X261" s="1">
        <f t="shared" si="89"/>
        <v>0</v>
      </c>
      <c r="Y261" s="1">
        <f t="shared" si="90"/>
        <v>0</v>
      </c>
      <c r="Z261" s="1">
        <f t="shared" si="91"/>
        <v>0</v>
      </c>
      <c r="AA261" s="1">
        <f t="shared" si="92"/>
        <v>0</v>
      </c>
      <c r="AC261" s="1">
        <f t="shared" si="93"/>
        <v>0</v>
      </c>
      <c r="AD261" s="1">
        <f t="shared" si="94"/>
        <v>0</v>
      </c>
      <c r="AE261" s="1">
        <f t="shared" si="95"/>
        <v>0</v>
      </c>
      <c r="AF261" s="1">
        <f t="shared" si="96"/>
        <v>0</v>
      </c>
      <c r="AG261" s="1">
        <f t="shared" si="97"/>
        <v>0</v>
      </c>
      <c r="AH261" s="1">
        <f t="shared" si="98"/>
        <v>1</v>
      </c>
    </row>
    <row r="262" spans="1:34" ht="14.25" customHeight="1" x14ac:dyDescent="0.25">
      <c r="A262" s="47">
        <v>0</v>
      </c>
      <c r="B262" s="47">
        <v>1</v>
      </c>
      <c r="C262" s="47">
        <v>7</v>
      </c>
      <c r="D262" s="48" t="s">
        <v>1339</v>
      </c>
      <c r="E262" s="48" t="s">
        <v>29</v>
      </c>
      <c r="F262" s="48" t="s">
        <v>1362</v>
      </c>
      <c r="G262" s="48" t="s">
        <v>1196</v>
      </c>
      <c r="H262" s="48" t="s">
        <v>358</v>
      </c>
      <c r="I262" s="47" t="s">
        <v>1708</v>
      </c>
      <c r="J262" s="47">
        <v>99</v>
      </c>
      <c r="K262" s="49" t="s">
        <v>721</v>
      </c>
      <c r="L262" s="49" t="s">
        <v>702</v>
      </c>
      <c r="M262" s="50" t="s">
        <v>1426</v>
      </c>
      <c r="N262" s="50" t="s">
        <v>1754</v>
      </c>
      <c r="O262" s="51"/>
      <c r="P262" s="51"/>
      <c r="R262" s="1">
        <f t="shared" si="83"/>
        <v>0</v>
      </c>
      <c r="S262" s="1">
        <f t="shared" si="84"/>
        <v>0</v>
      </c>
      <c r="T262" s="1">
        <f t="shared" si="85"/>
        <v>0</v>
      </c>
      <c r="U262" s="1">
        <f t="shared" si="86"/>
        <v>0</v>
      </c>
      <c r="V262" s="1">
        <f t="shared" si="87"/>
        <v>0</v>
      </c>
      <c r="W262" s="1">
        <f t="shared" si="88"/>
        <v>0</v>
      </c>
      <c r="X262" s="1">
        <f t="shared" si="89"/>
        <v>0</v>
      </c>
      <c r="Y262" s="1">
        <f t="shared" si="90"/>
        <v>0</v>
      </c>
      <c r="Z262" s="1">
        <f t="shared" si="91"/>
        <v>0</v>
      </c>
      <c r="AA262" s="1">
        <f t="shared" si="92"/>
        <v>0</v>
      </c>
      <c r="AC262" s="1">
        <f t="shared" si="93"/>
        <v>0</v>
      </c>
      <c r="AD262" s="1">
        <f t="shared" si="94"/>
        <v>0</v>
      </c>
      <c r="AE262" s="1">
        <f t="shared" si="95"/>
        <v>0</v>
      </c>
      <c r="AF262" s="1">
        <f t="shared" si="96"/>
        <v>0</v>
      </c>
      <c r="AG262" s="1">
        <f t="shared" si="97"/>
        <v>0</v>
      </c>
      <c r="AH262" s="1">
        <f t="shared" si="98"/>
        <v>1</v>
      </c>
    </row>
    <row r="263" spans="1:34" ht="14.25" customHeight="1" x14ac:dyDescent="0.25">
      <c r="A263" s="15">
        <v>0</v>
      </c>
      <c r="B263" s="15">
        <v>1</v>
      </c>
      <c r="C263" s="15">
        <v>7</v>
      </c>
      <c r="D263" s="16" t="s">
        <v>1294</v>
      </c>
      <c r="E263" s="16" t="s">
        <v>29</v>
      </c>
      <c r="F263" s="16" t="s">
        <v>1295</v>
      </c>
      <c r="G263" s="16" t="s">
        <v>1296</v>
      </c>
      <c r="H263" s="16" t="s">
        <v>358</v>
      </c>
      <c r="I263" s="15" t="s">
        <v>1297</v>
      </c>
      <c r="J263" s="15">
        <v>99</v>
      </c>
      <c r="K263" s="10" t="s">
        <v>721</v>
      </c>
      <c r="L263" s="10" t="s">
        <v>702</v>
      </c>
      <c r="M263" s="19" t="s">
        <v>716</v>
      </c>
      <c r="N263" s="17"/>
      <c r="R263" s="1">
        <f t="shared" si="83"/>
        <v>0</v>
      </c>
      <c r="S263" s="1">
        <f t="shared" si="84"/>
        <v>0</v>
      </c>
      <c r="T263" s="1">
        <f t="shared" si="85"/>
        <v>0</v>
      </c>
      <c r="U263" s="1">
        <f t="shared" si="86"/>
        <v>0</v>
      </c>
      <c r="V263" s="1">
        <f t="shared" si="87"/>
        <v>0</v>
      </c>
      <c r="W263" s="1">
        <f t="shared" si="88"/>
        <v>0</v>
      </c>
      <c r="X263" s="1">
        <f t="shared" si="89"/>
        <v>0</v>
      </c>
      <c r="Y263" s="1">
        <f t="shared" si="90"/>
        <v>0</v>
      </c>
      <c r="Z263" s="1">
        <f t="shared" si="91"/>
        <v>0</v>
      </c>
      <c r="AA263" s="1">
        <f t="shared" si="92"/>
        <v>0</v>
      </c>
      <c r="AC263" s="1">
        <f t="shared" si="93"/>
        <v>0</v>
      </c>
      <c r="AD263" s="1">
        <f t="shared" si="94"/>
        <v>0</v>
      </c>
      <c r="AE263" s="1">
        <f t="shared" si="95"/>
        <v>0</v>
      </c>
      <c r="AF263" s="1">
        <f t="shared" si="96"/>
        <v>0</v>
      </c>
      <c r="AG263" s="1">
        <f t="shared" si="97"/>
        <v>0</v>
      </c>
      <c r="AH263" s="1">
        <f t="shared" si="98"/>
        <v>1</v>
      </c>
    </row>
    <row r="264" spans="1:34" ht="14.25" customHeight="1" x14ac:dyDescent="0.25">
      <c r="A264" s="34">
        <v>0</v>
      </c>
      <c r="B264" s="34">
        <v>1</v>
      </c>
      <c r="C264" s="34">
        <v>7</v>
      </c>
      <c r="D264" s="35" t="s">
        <v>717</v>
      </c>
      <c r="E264" s="35" t="s">
        <v>29</v>
      </c>
      <c r="F264" s="35" t="s">
        <v>718</v>
      </c>
      <c r="G264" s="35" t="s">
        <v>186</v>
      </c>
      <c r="H264" s="35" t="s">
        <v>358</v>
      </c>
      <c r="I264" s="34" t="s">
        <v>719</v>
      </c>
      <c r="J264" s="34">
        <v>99</v>
      </c>
      <c r="K264" s="36" t="s">
        <v>963</v>
      </c>
      <c r="L264" s="36" t="s">
        <v>39</v>
      </c>
      <c r="M264" s="37" t="s">
        <v>39</v>
      </c>
      <c r="N264" s="37" t="s">
        <v>1749</v>
      </c>
      <c r="O264" s="38">
        <v>1</v>
      </c>
      <c r="P264" s="38">
        <v>1</v>
      </c>
      <c r="R264" s="1">
        <f t="shared" si="83"/>
        <v>0</v>
      </c>
      <c r="S264" s="1">
        <f t="shared" si="84"/>
        <v>0</v>
      </c>
      <c r="T264" s="1">
        <f t="shared" si="85"/>
        <v>0</v>
      </c>
      <c r="U264" s="1">
        <f t="shared" si="86"/>
        <v>0</v>
      </c>
      <c r="V264" s="1">
        <f t="shared" si="87"/>
        <v>0</v>
      </c>
      <c r="W264" s="1">
        <f t="shared" si="88"/>
        <v>0</v>
      </c>
      <c r="X264" s="1">
        <f t="shared" si="89"/>
        <v>0</v>
      </c>
      <c r="Y264" s="1">
        <f t="shared" si="90"/>
        <v>0</v>
      </c>
      <c r="Z264" s="1">
        <f t="shared" si="91"/>
        <v>0</v>
      </c>
      <c r="AA264" s="1">
        <f t="shared" si="92"/>
        <v>0</v>
      </c>
      <c r="AC264" s="1">
        <f t="shared" si="93"/>
        <v>1</v>
      </c>
      <c r="AD264" s="1">
        <f t="shared" si="94"/>
        <v>0</v>
      </c>
      <c r="AE264" s="1">
        <f t="shared" si="95"/>
        <v>1</v>
      </c>
      <c r="AF264" s="1">
        <f t="shared" si="96"/>
        <v>0</v>
      </c>
      <c r="AG264" s="1">
        <f t="shared" si="97"/>
        <v>1</v>
      </c>
      <c r="AH264" s="1">
        <f t="shared" si="98"/>
        <v>0</v>
      </c>
    </row>
    <row r="265" spans="1:34" ht="14.25" customHeight="1" x14ac:dyDescent="0.25">
      <c r="A265" s="34">
        <v>0</v>
      </c>
      <c r="B265" s="34">
        <v>2</v>
      </c>
      <c r="C265" s="34">
        <v>1</v>
      </c>
      <c r="D265" s="35" t="s">
        <v>542</v>
      </c>
      <c r="E265" s="35" t="s">
        <v>34</v>
      </c>
      <c r="F265" s="35" t="s">
        <v>543</v>
      </c>
      <c r="G265" s="35" t="s">
        <v>222</v>
      </c>
      <c r="H265" s="35" t="s">
        <v>358</v>
      </c>
      <c r="I265" s="34" t="s">
        <v>544</v>
      </c>
      <c r="J265" s="34">
        <v>8</v>
      </c>
      <c r="K265" s="36" t="s">
        <v>721</v>
      </c>
      <c r="L265" s="36" t="s">
        <v>721</v>
      </c>
      <c r="M265" s="37" t="s">
        <v>722</v>
      </c>
      <c r="N265" s="37" t="s">
        <v>1764</v>
      </c>
      <c r="O265" s="38">
        <v>1</v>
      </c>
      <c r="P265" s="38"/>
      <c r="R265" s="1">
        <f t="shared" si="83"/>
        <v>0</v>
      </c>
      <c r="S265" s="1">
        <f t="shared" si="84"/>
        <v>0</v>
      </c>
      <c r="T265" s="1">
        <f t="shared" si="85"/>
        <v>0</v>
      </c>
      <c r="U265" s="1">
        <f t="shared" si="86"/>
        <v>0</v>
      </c>
      <c r="V265" s="1">
        <f t="shared" si="87"/>
        <v>0</v>
      </c>
      <c r="W265" s="1">
        <f t="shared" si="88"/>
        <v>0</v>
      </c>
      <c r="X265" s="1">
        <f t="shared" si="89"/>
        <v>0</v>
      </c>
      <c r="Y265" s="1">
        <f t="shared" si="90"/>
        <v>1</v>
      </c>
      <c r="Z265" s="1">
        <f t="shared" si="91"/>
        <v>0</v>
      </c>
      <c r="AA265" s="1">
        <f t="shared" si="92"/>
        <v>0</v>
      </c>
      <c r="AC265" s="1">
        <f t="shared" si="93"/>
        <v>0</v>
      </c>
      <c r="AD265" s="1">
        <f t="shared" si="94"/>
        <v>1</v>
      </c>
      <c r="AE265" s="1">
        <f t="shared" si="95"/>
        <v>0</v>
      </c>
      <c r="AF265" s="1">
        <f t="shared" si="96"/>
        <v>1</v>
      </c>
      <c r="AG265" s="1">
        <f t="shared" si="97"/>
        <v>0</v>
      </c>
      <c r="AH265" s="1">
        <f t="shared" si="98"/>
        <v>1</v>
      </c>
    </row>
    <row r="266" spans="1:34" ht="14.25" customHeight="1" x14ac:dyDescent="0.25">
      <c r="A266" s="34">
        <v>0</v>
      </c>
      <c r="B266" s="34">
        <v>2</v>
      </c>
      <c r="C266" s="34">
        <v>1</v>
      </c>
      <c r="D266" s="35" t="s">
        <v>1305</v>
      </c>
      <c r="E266" s="35" t="s">
        <v>567</v>
      </c>
      <c r="F266" s="35" t="s">
        <v>1306</v>
      </c>
      <c r="G266" s="35" t="s">
        <v>232</v>
      </c>
      <c r="H266" s="35" t="s">
        <v>358</v>
      </c>
      <c r="I266" s="34" t="s">
        <v>1307</v>
      </c>
      <c r="J266" s="34">
        <v>7</v>
      </c>
      <c r="K266" s="36" t="s">
        <v>721</v>
      </c>
      <c r="L266" s="36" t="s">
        <v>721</v>
      </c>
      <c r="M266" s="37" t="s">
        <v>722</v>
      </c>
      <c r="N266" s="37" t="s">
        <v>1772</v>
      </c>
      <c r="O266" s="38">
        <v>1</v>
      </c>
      <c r="P266" s="38"/>
      <c r="R266" s="1">
        <f t="shared" si="83"/>
        <v>0</v>
      </c>
      <c r="S266" s="1">
        <f t="shared" si="84"/>
        <v>0</v>
      </c>
      <c r="T266" s="1">
        <f t="shared" si="85"/>
        <v>0</v>
      </c>
      <c r="U266" s="1">
        <f t="shared" si="86"/>
        <v>0</v>
      </c>
      <c r="V266" s="1">
        <f t="shared" si="87"/>
        <v>0</v>
      </c>
      <c r="W266" s="1">
        <f t="shared" si="88"/>
        <v>0</v>
      </c>
      <c r="X266" s="1">
        <f t="shared" si="89"/>
        <v>1</v>
      </c>
      <c r="Y266" s="1">
        <f t="shared" si="90"/>
        <v>0</v>
      </c>
      <c r="Z266" s="1">
        <f t="shared" si="91"/>
        <v>0</v>
      </c>
      <c r="AA266" s="1">
        <f t="shared" si="92"/>
        <v>0</v>
      </c>
      <c r="AC266" s="1">
        <f t="shared" si="93"/>
        <v>0</v>
      </c>
      <c r="AD266" s="1">
        <f t="shared" si="94"/>
        <v>1</v>
      </c>
      <c r="AE266" s="1">
        <f t="shared" si="95"/>
        <v>0</v>
      </c>
      <c r="AF266" s="1">
        <f t="shared" si="96"/>
        <v>1</v>
      </c>
      <c r="AG266" s="1">
        <f t="shared" si="97"/>
        <v>0</v>
      </c>
      <c r="AH266" s="1">
        <f t="shared" si="98"/>
        <v>1</v>
      </c>
    </row>
    <row r="267" spans="1:34" ht="14.25" customHeight="1" x14ac:dyDescent="0.25">
      <c r="A267" s="47">
        <v>0</v>
      </c>
      <c r="B267" s="47">
        <v>2</v>
      </c>
      <c r="C267" s="47">
        <v>1</v>
      </c>
      <c r="D267" s="48" t="s">
        <v>1341</v>
      </c>
      <c r="E267" s="48" t="s">
        <v>567</v>
      </c>
      <c r="F267" s="48" t="s">
        <v>1170</v>
      </c>
      <c r="G267" s="48" t="s">
        <v>215</v>
      </c>
      <c r="H267" s="48" t="s">
        <v>358</v>
      </c>
      <c r="I267" s="47" t="s">
        <v>1169</v>
      </c>
      <c r="J267" s="47">
        <v>1</v>
      </c>
      <c r="K267" s="49" t="s">
        <v>962</v>
      </c>
      <c r="L267" s="49" t="s">
        <v>721</v>
      </c>
      <c r="M267" s="50" t="s">
        <v>722</v>
      </c>
      <c r="N267" s="50" t="s">
        <v>1754</v>
      </c>
      <c r="O267" s="51"/>
      <c r="P267" s="51"/>
      <c r="R267" s="1">
        <f t="shared" si="83"/>
        <v>1</v>
      </c>
      <c r="S267" s="1">
        <f t="shared" si="84"/>
        <v>0</v>
      </c>
      <c r="T267" s="1">
        <f t="shared" si="85"/>
        <v>0</v>
      </c>
      <c r="U267" s="1">
        <f t="shared" si="86"/>
        <v>0</v>
      </c>
      <c r="V267" s="1">
        <f t="shared" si="87"/>
        <v>0</v>
      </c>
      <c r="W267" s="1">
        <f t="shared" si="88"/>
        <v>0</v>
      </c>
      <c r="X267" s="1">
        <f t="shared" si="89"/>
        <v>0</v>
      </c>
      <c r="Y267" s="1">
        <f t="shared" si="90"/>
        <v>0</v>
      </c>
      <c r="Z267" s="1">
        <f t="shared" si="91"/>
        <v>0</v>
      </c>
      <c r="AA267" s="1">
        <f t="shared" si="92"/>
        <v>0</v>
      </c>
      <c r="AC267" s="1">
        <f t="shared" si="93"/>
        <v>0</v>
      </c>
      <c r="AD267" s="1">
        <f t="shared" si="94"/>
        <v>0</v>
      </c>
      <c r="AE267" s="1">
        <f t="shared" si="95"/>
        <v>0</v>
      </c>
      <c r="AF267" s="1">
        <f t="shared" si="96"/>
        <v>0</v>
      </c>
      <c r="AG267" s="1">
        <f t="shared" si="97"/>
        <v>0</v>
      </c>
      <c r="AH267" s="1">
        <f t="shared" si="98"/>
        <v>1</v>
      </c>
    </row>
    <row r="268" spans="1:34" ht="14.25" customHeight="1" x14ac:dyDescent="0.25">
      <c r="A268" s="34">
        <v>0</v>
      </c>
      <c r="B268" s="34">
        <v>2</v>
      </c>
      <c r="C268" s="34">
        <v>1</v>
      </c>
      <c r="D268" s="35" t="s">
        <v>1342</v>
      </c>
      <c r="E268" s="35" t="s">
        <v>567</v>
      </c>
      <c r="F268" s="35" t="s">
        <v>1164</v>
      </c>
      <c r="G268" s="35" t="s">
        <v>288</v>
      </c>
      <c r="H268" s="35" t="s">
        <v>358</v>
      </c>
      <c r="I268" s="34" t="s">
        <v>1165</v>
      </c>
      <c r="J268" s="34">
        <v>10</v>
      </c>
      <c r="K268" s="36" t="s">
        <v>962</v>
      </c>
      <c r="L268" s="36" t="s">
        <v>721</v>
      </c>
      <c r="M268" s="37" t="s">
        <v>722</v>
      </c>
      <c r="N268" s="37" t="s">
        <v>1777</v>
      </c>
      <c r="O268" s="38">
        <v>1</v>
      </c>
      <c r="P268" s="38"/>
      <c r="R268" s="1">
        <f t="shared" ref="R268:R331" si="99">IF(J268=$R$7,1,0)</f>
        <v>0</v>
      </c>
      <c r="S268" s="1">
        <f t="shared" ref="S268:S331" si="100">IF(J268=$S$7,1,0)</f>
        <v>0</v>
      </c>
      <c r="T268" s="1">
        <f t="shared" ref="T268:T331" si="101">IF(J268=$T$7,1,0)</f>
        <v>0</v>
      </c>
      <c r="U268" s="1">
        <f t="shared" ref="U268:U331" si="102">IF(J268=$U$7,1,0)</f>
        <v>0</v>
      </c>
      <c r="V268" s="1">
        <f t="shared" ref="V268:V331" si="103">IF(J268=$V$7,1,0)</f>
        <v>0</v>
      </c>
      <c r="W268" s="1">
        <f t="shared" ref="W268:W331" si="104">IF(J268=$W$7,1,0)</f>
        <v>0</v>
      </c>
      <c r="X268" s="1">
        <f t="shared" ref="X268:X331" si="105">IF(J268=$X$7,1,0)</f>
        <v>0</v>
      </c>
      <c r="Y268" s="1">
        <f t="shared" ref="Y268:Y331" si="106">IF(J268=$Y$7,1,0)</f>
        <v>0</v>
      </c>
      <c r="Z268" s="1">
        <f t="shared" ref="Z268:Z331" si="107">IF(J268=$Z$7,1,0)</f>
        <v>0</v>
      </c>
      <c r="AA268" s="1">
        <f t="shared" ref="AA268:AA331" si="108">IF(J268=$AA$7,1,0)</f>
        <v>1</v>
      </c>
      <c r="AC268" s="1">
        <f t="shared" ref="AC268:AC331" si="109">+O268*P268</f>
        <v>0</v>
      </c>
      <c r="AD268" s="1">
        <f t="shared" ref="AD268:AD331" si="110">O268*(1-P268)</f>
        <v>1</v>
      </c>
      <c r="AE268" s="1">
        <f t="shared" ref="AE268:AE331" si="111">+O268*P268*(1-A268)</f>
        <v>0</v>
      </c>
      <c r="AF268" s="1">
        <f t="shared" ref="AF268:AF331" si="112">O268*(1-P268)*(1-A268)</f>
        <v>1</v>
      </c>
      <c r="AG268" s="1">
        <f t="shared" ref="AG268:AG331" si="113">+P268*(1-A268)</f>
        <v>0</v>
      </c>
      <c r="AH268" s="1">
        <f t="shared" ref="AH268:AH331" si="114">+(1-A268)*(1-P268)</f>
        <v>1</v>
      </c>
    </row>
    <row r="269" spans="1:34" ht="14.25" customHeight="1" x14ac:dyDescent="0.25">
      <c r="A269" s="15">
        <v>0</v>
      </c>
      <c r="B269" s="15">
        <v>2</v>
      </c>
      <c r="C269" s="15">
        <v>1</v>
      </c>
      <c r="D269" s="16" t="s">
        <v>518</v>
      </c>
      <c r="E269" s="16" t="s">
        <v>34</v>
      </c>
      <c r="F269" s="16" t="s">
        <v>517</v>
      </c>
      <c r="G269" s="16" t="s">
        <v>552</v>
      </c>
      <c r="H269" s="16" t="s">
        <v>358</v>
      </c>
      <c r="I269" s="15" t="s">
        <v>1379</v>
      </c>
      <c r="J269" s="15">
        <v>99</v>
      </c>
      <c r="K269" s="10" t="s">
        <v>963</v>
      </c>
      <c r="L269" s="10" t="s">
        <v>721</v>
      </c>
      <c r="M269" s="19" t="s">
        <v>722</v>
      </c>
      <c r="N269" s="19"/>
      <c r="R269" s="1">
        <f t="shared" si="99"/>
        <v>0</v>
      </c>
      <c r="S269" s="1">
        <f t="shared" si="100"/>
        <v>0</v>
      </c>
      <c r="T269" s="1">
        <f t="shared" si="101"/>
        <v>0</v>
      </c>
      <c r="U269" s="1">
        <f t="shared" si="102"/>
        <v>0</v>
      </c>
      <c r="V269" s="1">
        <f t="shared" si="103"/>
        <v>0</v>
      </c>
      <c r="W269" s="1">
        <f t="shared" si="104"/>
        <v>0</v>
      </c>
      <c r="X269" s="1">
        <f t="shared" si="105"/>
        <v>0</v>
      </c>
      <c r="Y269" s="1">
        <f t="shared" si="106"/>
        <v>0</v>
      </c>
      <c r="Z269" s="1">
        <f t="shared" si="107"/>
        <v>0</v>
      </c>
      <c r="AA269" s="1">
        <f t="shared" si="108"/>
        <v>0</v>
      </c>
      <c r="AC269" s="1">
        <f t="shared" si="109"/>
        <v>0</v>
      </c>
      <c r="AD269" s="1">
        <f t="shared" si="110"/>
        <v>0</v>
      </c>
      <c r="AE269" s="1">
        <f t="shared" si="111"/>
        <v>0</v>
      </c>
      <c r="AF269" s="1">
        <f t="shared" si="112"/>
        <v>0</v>
      </c>
      <c r="AG269" s="1">
        <f t="shared" si="113"/>
        <v>0</v>
      </c>
      <c r="AH269" s="1">
        <f t="shared" si="114"/>
        <v>1</v>
      </c>
    </row>
    <row r="270" spans="1:34" ht="14.25" customHeight="1" x14ac:dyDescent="0.25">
      <c r="A270" s="41">
        <v>0</v>
      </c>
      <c r="B270" s="41">
        <v>2</v>
      </c>
      <c r="C270" s="41">
        <v>1</v>
      </c>
      <c r="D270" s="42" t="s">
        <v>1053</v>
      </c>
      <c r="E270" s="42" t="s">
        <v>36</v>
      </c>
      <c r="F270" s="42" t="s">
        <v>1675</v>
      </c>
      <c r="G270" s="42" t="s">
        <v>634</v>
      </c>
      <c r="H270" s="42" t="s">
        <v>358</v>
      </c>
      <c r="I270" s="41" t="s">
        <v>1054</v>
      </c>
      <c r="J270" s="41">
        <v>99</v>
      </c>
      <c r="K270" s="43" t="s">
        <v>967</v>
      </c>
      <c r="L270" s="43" t="s">
        <v>721</v>
      </c>
      <c r="M270" s="44" t="s">
        <v>722</v>
      </c>
      <c r="N270" s="45"/>
      <c r="O270" s="46"/>
      <c r="P270" s="46">
        <v>1</v>
      </c>
      <c r="R270" s="1">
        <f t="shared" si="99"/>
        <v>0</v>
      </c>
      <c r="S270" s="1">
        <f t="shared" si="100"/>
        <v>0</v>
      </c>
      <c r="T270" s="1">
        <f t="shared" si="101"/>
        <v>0</v>
      </c>
      <c r="U270" s="1">
        <f t="shared" si="102"/>
        <v>0</v>
      </c>
      <c r="V270" s="1">
        <f t="shared" si="103"/>
        <v>0</v>
      </c>
      <c r="W270" s="1">
        <f t="shared" si="104"/>
        <v>0</v>
      </c>
      <c r="X270" s="1">
        <f t="shared" si="105"/>
        <v>0</v>
      </c>
      <c r="Y270" s="1">
        <f t="shared" si="106"/>
        <v>0</v>
      </c>
      <c r="Z270" s="1">
        <f t="shared" si="107"/>
        <v>0</v>
      </c>
      <c r="AA270" s="1">
        <f t="shared" si="108"/>
        <v>0</v>
      </c>
      <c r="AC270" s="1">
        <f t="shared" si="109"/>
        <v>0</v>
      </c>
      <c r="AD270" s="1">
        <f t="shared" si="110"/>
        <v>0</v>
      </c>
      <c r="AE270" s="1">
        <f t="shared" si="111"/>
        <v>0</v>
      </c>
      <c r="AF270" s="1">
        <f t="shared" si="112"/>
        <v>0</v>
      </c>
      <c r="AG270" s="1">
        <f t="shared" si="113"/>
        <v>1</v>
      </c>
      <c r="AH270" s="1">
        <f t="shared" si="114"/>
        <v>0</v>
      </c>
    </row>
    <row r="271" spans="1:34" ht="14.25" customHeight="1" x14ac:dyDescent="0.25">
      <c r="A271" s="34">
        <v>1</v>
      </c>
      <c r="B271" s="34">
        <v>2</v>
      </c>
      <c r="C271" s="34">
        <v>1</v>
      </c>
      <c r="D271" s="35" t="s">
        <v>49</v>
      </c>
      <c r="E271" s="35" t="s">
        <v>1329</v>
      </c>
      <c r="F271" s="35" t="s">
        <v>193</v>
      </c>
      <c r="G271" s="35" t="s">
        <v>194</v>
      </c>
      <c r="H271" s="35" t="s">
        <v>358</v>
      </c>
      <c r="I271" s="34" t="s">
        <v>390</v>
      </c>
      <c r="J271" s="34">
        <v>99</v>
      </c>
      <c r="K271" s="36" t="s">
        <v>720</v>
      </c>
      <c r="L271" s="36" t="s">
        <v>721</v>
      </c>
      <c r="M271" s="37" t="s">
        <v>722</v>
      </c>
      <c r="N271" s="37" t="s">
        <v>1772</v>
      </c>
      <c r="O271" s="38">
        <v>1</v>
      </c>
      <c r="P271" s="38"/>
      <c r="R271" s="1">
        <f t="shared" si="99"/>
        <v>0</v>
      </c>
      <c r="S271" s="1">
        <f t="shared" si="100"/>
        <v>0</v>
      </c>
      <c r="T271" s="1">
        <f t="shared" si="101"/>
        <v>0</v>
      </c>
      <c r="U271" s="1">
        <f t="shared" si="102"/>
        <v>0</v>
      </c>
      <c r="V271" s="1">
        <f t="shared" si="103"/>
        <v>0</v>
      </c>
      <c r="W271" s="1">
        <f t="shared" si="104"/>
        <v>0</v>
      </c>
      <c r="X271" s="1">
        <f t="shared" si="105"/>
        <v>0</v>
      </c>
      <c r="Y271" s="1">
        <f t="shared" si="106"/>
        <v>0</v>
      </c>
      <c r="Z271" s="1">
        <f t="shared" si="107"/>
        <v>0</v>
      </c>
      <c r="AA271" s="1">
        <f t="shared" si="108"/>
        <v>0</v>
      </c>
      <c r="AC271" s="1">
        <f t="shared" si="109"/>
        <v>0</v>
      </c>
      <c r="AD271" s="1">
        <f t="shared" si="110"/>
        <v>1</v>
      </c>
      <c r="AE271" s="1">
        <f t="shared" si="111"/>
        <v>0</v>
      </c>
      <c r="AF271" s="1">
        <f t="shared" si="112"/>
        <v>0</v>
      </c>
      <c r="AG271" s="1">
        <f t="shared" si="113"/>
        <v>0</v>
      </c>
      <c r="AH271" s="1">
        <f t="shared" si="114"/>
        <v>0</v>
      </c>
    </row>
    <row r="272" spans="1:34" ht="14.25" customHeight="1" x14ac:dyDescent="0.25">
      <c r="A272" s="34">
        <v>0</v>
      </c>
      <c r="B272" s="34">
        <v>2</v>
      </c>
      <c r="C272" s="34">
        <v>1</v>
      </c>
      <c r="D272" s="35" t="s">
        <v>1085</v>
      </c>
      <c r="E272" s="35" t="s">
        <v>1329</v>
      </c>
      <c r="F272" s="35" t="s">
        <v>1100</v>
      </c>
      <c r="G272" s="35" t="s">
        <v>204</v>
      </c>
      <c r="H272" s="35" t="s">
        <v>358</v>
      </c>
      <c r="I272" s="34" t="s">
        <v>390</v>
      </c>
      <c r="J272" s="34">
        <v>10</v>
      </c>
      <c r="K272" s="36" t="s">
        <v>720</v>
      </c>
      <c r="L272" s="36" t="s">
        <v>721</v>
      </c>
      <c r="M272" s="37" t="s">
        <v>722</v>
      </c>
      <c r="N272" s="37" t="s">
        <v>1772</v>
      </c>
      <c r="O272" s="38">
        <v>1</v>
      </c>
      <c r="P272" s="38"/>
      <c r="R272" s="1">
        <f t="shared" si="99"/>
        <v>0</v>
      </c>
      <c r="S272" s="1">
        <f t="shared" si="100"/>
        <v>0</v>
      </c>
      <c r="T272" s="1">
        <f t="shared" si="101"/>
        <v>0</v>
      </c>
      <c r="U272" s="1">
        <f t="shared" si="102"/>
        <v>0</v>
      </c>
      <c r="V272" s="1">
        <f t="shared" si="103"/>
        <v>0</v>
      </c>
      <c r="W272" s="1">
        <f t="shared" si="104"/>
        <v>0</v>
      </c>
      <c r="X272" s="1">
        <f t="shared" si="105"/>
        <v>0</v>
      </c>
      <c r="Y272" s="1">
        <f t="shared" si="106"/>
        <v>0</v>
      </c>
      <c r="Z272" s="1">
        <f t="shared" si="107"/>
        <v>0</v>
      </c>
      <c r="AA272" s="1">
        <f t="shared" si="108"/>
        <v>1</v>
      </c>
      <c r="AC272" s="1">
        <f t="shared" si="109"/>
        <v>0</v>
      </c>
      <c r="AD272" s="1">
        <f t="shared" si="110"/>
        <v>1</v>
      </c>
      <c r="AE272" s="1">
        <f t="shared" si="111"/>
        <v>0</v>
      </c>
      <c r="AF272" s="1">
        <f t="shared" si="112"/>
        <v>1</v>
      </c>
      <c r="AG272" s="1">
        <f t="shared" si="113"/>
        <v>0</v>
      </c>
      <c r="AH272" s="1">
        <f t="shared" si="114"/>
        <v>1</v>
      </c>
    </row>
    <row r="273" spans="1:34" ht="14.25" customHeight="1" x14ac:dyDescent="0.25">
      <c r="A273" s="34">
        <v>0</v>
      </c>
      <c r="B273" s="34">
        <v>2</v>
      </c>
      <c r="C273" s="34">
        <v>1</v>
      </c>
      <c r="D273" s="35" t="s">
        <v>1288</v>
      </c>
      <c r="E273" s="35" t="s">
        <v>567</v>
      </c>
      <c r="F273" s="35" t="s">
        <v>1289</v>
      </c>
      <c r="G273" s="35" t="s">
        <v>260</v>
      </c>
      <c r="H273" s="35" t="s">
        <v>358</v>
      </c>
      <c r="I273" s="34" t="s">
        <v>1290</v>
      </c>
      <c r="J273" s="34">
        <v>8</v>
      </c>
      <c r="K273" s="36" t="s">
        <v>962</v>
      </c>
      <c r="L273" s="36" t="s">
        <v>721</v>
      </c>
      <c r="M273" s="37" t="s">
        <v>722</v>
      </c>
      <c r="N273" s="37" t="s">
        <v>1764</v>
      </c>
      <c r="O273" s="38">
        <v>1</v>
      </c>
      <c r="P273" s="38"/>
      <c r="R273" s="1">
        <f t="shared" si="99"/>
        <v>0</v>
      </c>
      <c r="S273" s="1">
        <f t="shared" si="100"/>
        <v>0</v>
      </c>
      <c r="T273" s="1">
        <f t="shared" si="101"/>
        <v>0</v>
      </c>
      <c r="U273" s="1">
        <f t="shared" si="102"/>
        <v>0</v>
      </c>
      <c r="V273" s="1">
        <f t="shared" si="103"/>
        <v>0</v>
      </c>
      <c r="W273" s="1">
        <f t="shared" si="104"/>
        <v>0</v>
      </c>
      <c r="X273" s="1">
        <f t="shared" si="105"/>
        <v>0</v>
      </c>
      <c r="Y273" s="1">
        <f t="shared" si="106"/>
        <v>1</v>
      </c>
      <c r="Z273" s="1">
        <f t="shared" si="107"/>
        <v>0</v>
      </c>
      <c r="AA273" s="1">
        <f t="shared" si="108"/>
        <v>0</v>
      </c>
      <c r="AC273" s="1">
        <f t="shared" si="109"/>
        <v>0</v>
      </c>
      <c r="AD273" s="1">
        <f t="shared" si="110"/>
        <v>1</v>
      </c>
      <c r="AE273" s="1">
        <f t="shared" si="111"/>
        <v>0</v>
      </c>
      <c r="AF273" s="1">
        <f t="shared" si="112"/>
        <v>1</v>
      </c>
      <c r="AG273" s="1">
        <f t="shared" si="113"/>
        <v>0</v>
      </c>
      <c r="AH273" s="1">
        <f t="shared" si="114"/>
        <v>1</v>
      </c>
    </row>
    <row r="274" spans="1:34" ht="14.25" customHeight="1" x14ac:dyDescent="0.25">
      <c r="A274" s="47">
        <v>0</v>
      </c>
      <c r="B274" s="47">
        <v>2</v>
      </c>
      <c r="C274" s="47">
        <v>1</v>
      </c>
      <c r="D274" s="48" t="s">
        <v>48</v>
      </c>
      <c r="E274" s="48" t="s">
        <v>584</v>
      </c>
      <c r="F274" s="48" t="s">
        <v>191</v>
      </c>
      <c r="G274" s="48" t="s">
        <v>303</v>
      </c>
      <c r="H274" s="48" t="s">
        <v>358</v>
      </c>
      <c r="I274" s="47" t="s">
        <v>389</v>
      </c>
      <c r="J274" s="47">
        <v>99</v>
      </c>
      <c r="K274" s="49" t="s">
        <v>721</v>
      </c>
      <c r="L274" s="49" t="s">
        <v>721</v>
      </c>
      <c r="M274" s="50" t="s">
        <v>722</v>
      </c>
      <c r="N274" s="50" t="s">
        <v>1763</v>
      </c>
      <c r="O274" s="51"/>
      <c r="P274" s="51"/>
      <c r="R274" s="1">
        <f t="shared" si="99"/>
        <v>0</v>
      </c>
      <c r="S274" s="1">
        <f t="shared" si="100"/>
        <v>0</v>
      </c>
      <c r="T274" s="1">
        <f t="shared" si="101"/>
        <v>0</v>
      </c>
      <c r="U274" s="1">
        <f t="shared" si="102"/>
        <v>0</v>
      </c>
      <c r="V274" s="1">
        <f t="shared" si="103"/>
        <v>0</v>
      </c>
      <c r="W274" s="1">
        <f t="shared" si="104"/>
        <v>0</v>
      </c>
      <c r="X274" s="1">
        <f t="shared" si="105"/>
        <v>0</v>
      </c>
      <c r="Y274" s="1">
        <f t="shared" si="106"/>
        <v>0</v>
      </c>
      <c r="Z274" s="1">
        <f t="shared" si="107"/>
        <v>0</v>
      </c>
      <c r="AA274" s="1">
        <f t="shared" si="108"/>
        <v>0</v>
      </c>
      <c r="AC274" s="1">
        <f t="shared" si="109"/>
        <v>0</v>
      </c>
      <c r="AD274" s="1">
        <f t="shared" si="110"/>
        <v>0</v>
      </c>
      <c r="AE274" s="1">
        <f t="shared" si="111"/>
        <v>0</v>
      </c>
      <c r="AF274" s="1">
        <f t="shared" si="112"/>
        <v>0</v>
      </c>
      <c r="AG274" s="1">
        <f t="shared" si="113"/>
        <v>0</v>
      </c>
      <c r="AH274" s="1">
        <f t="shared" si="114"/>
        <v>1</v>
      </c>
    </row>
    <row r="275" spans="1:34" ht="14.25" customHeight="1" x14ac:dyDescent="0.25">
      <c r="A275" s="15">
        <v>0</v>
      </c>
      <c r="B275" s="15">
        <v>2</v>
      </c>
      <c r="C275" s="15">
        <v>1</v>
      </c>
      <c r="D275" s="16" t="s">
        <v>57</v>
      </c>
      <c r="E275" s="16" t="s">
        <v>164</v>
      </c>
      <c r="F275" s="16" t="s">
        <v>673</v>
      </c>
      <c r="G275" s="16" t="s">
        <v>223</v>
      </c>
      <c r="H275" s="16" t="s">
        <v>358</v>
      </c>
      <c r="I275" s="15" t="s">
        <v>400</v>
      </c>
      <c r="J275" s="15">
        <v>99</v>
      </c>
      <c r="K275" s="10" t="s">
        <v>969</v>
      </c>
      <c r="L275" s="10" t="s">
        <v>721</v>
      </c>
      <c r="M275" s="19" t="s">
        <v>722</v>
      </c>
      <c r="N275" s="19"/>
      <c r="R275" s="1">
        <f t="shared" si="99"/>
        <v>0</v>
      </c>
      <c r="S275" s="1">
        <f t="shared" si="100"/>
        <v>0</v>
      </c>
      <c r="T275" s="1">
        <f t="shared" si="101"/>
        <v>0</v>
      </c>
      <c r="U275" s="1">
        <f t="shared" si="102"/>
        <v>0</v>
      </c>
      <c r="V275" s="1">
        <f t="shared" si="103"/>
        <v>0</v>
      </c>
      <c r="W275" s="1">
        <f t="shared" si="104"/>
        <v>0</v>
      </c>
      <c r="X275" s="1">
        <f t="shared" si="105"/>
        <v>0</v>
      </c>
      <c r="Y275" s="1">
        <f t="shared" si="106"/>
        <v>0</v>
      </c>
      <c r="Z275" s="1">
        <f t="shared" si="107"/>
        <v>0</v>
      </c>
      <c r="AA275" s="1">
        <f t="shared" si="108"/>
        <v>0</v>
      </c>
      <c r="AC275" s="1">
        <f t="shared" si="109"/>
        <v>0</v>
      </c>
      <c r="AD275" s="1">
        <f t="shared" si="110"/>
        <v>0</v>
      </c>
      <c r="AE275" s="1">
        <f t="shared" si="111"/>
        <v>0</v>
      </c>
      <c r="AF275" s="1">
        <f t="shared" si="112"/>
        <v>0</v>
      </c>
      <c r="AG275" s="1">
        <f t="shared" si="113"/>
        <v>0</v>
      </c>
      <c r="AH275" s="1">
        <f t="shared" si="114"/>
        <v>1</v>
      </c>
    </row>
    <row r="276" spans="1:34" ht="14.25" customHeight="1" x14ac:dyDescent="0.25">
      <c r="A276" s="47">
        <v>0</v>
      </c>
      <c r="B276" s="47">
        <v>2</v>
      </c>
      <c r="C276" s="47">
        <v>1</v>
      </c>
      <c r="D276" s="48" t="s">
        <v>521</v>
      </c>
      <c r="E276" s="48" t="s">
        <v>567</v>
      </c>
      <c r="F276" s="48" t="s">
        <v>231</v>
      </c>
      <c r="G276" s="48" t="s">
        <v>232</v>
      </c>
      <c r="H276" s="48" t="s">
        <v>358</v>
      </c>
      <c r="I276" s="47" t="s">
        <v>404</v>
      </c>
      <c r="J276" s="47">
        <v>7</v>
      </c>
      <c r="K276" s="49" t="s">
        <v>962</v>
      </c>
      <c r="L276" s="49" t="s">
        <v>721</v>
      </c>
      <c r="M276" s="50" t="s">
        <v>722</v>
      </c>
      <c r="N276" s="50" t="s">
        <v>1750</v>
      </c>
      <c r="O276" s="51"/>
      <c r="P276" s="51"/>
      <c r="R276" s="1">
        <f t="shared" si="99"/>
        <v>0</v>
      </c>
      <c r="S276" s="1">
        <f t="shared" si="100"/>
        <v>0</v>
      </c>
      <c r="T276" s="1">
        <f t="shared" si="101"/>
        <v>0</v>
      </c>
      <c r="U276" s="1">
        <f t="shared" si="102"/>
        <v>0</v>
      </c>
      <c r="V276" s="1">
        <f t="shared" si="103"/>
        <v>0</v>
      </c>
      <c r="W276" s="1">
        <f t="shared" si="104"/>
        <v>0</v>
      </c>
      <c r="X276" s="1">
        <f t="shared" si="105"/>
        <v>1</v>
      </c>
      <c r="Y276" s="1">
        <f t="shared" si="106"/>
        <v>0</v>
      </c>
      <c r="Z276" s="1">
        <f t="shared" si="107"/>
        <v>0</v>
      </c>
      <c r="AA276" s="1">
        <f t="shared" si="108"/>
        <v>0</v>
      </c>
      <c r="AC276" s="1">
        <f t="shared" si="109"/>
        <v>0</v>
      </c>
      <c r="AD276" s="1">
        <f t="shared" si="110"/>
        <v>0</v>
      </c>
      <c r="AE276" s="1">
        <f t="shared" si="111"/>
        <v>0</v>
      </c>
      <c r="AF276" s="1">
        <f t="shared" si="112"/>
        <v>0</v>
      </c>
      <c r="AG276" s="1">
        <f t="shared" si="113"/>
        <v>0</v>
      </c>
      <c r="AH276" s="1">
        <f t="shared" si="114"/>
        <v>1</v>
      </c>
    </row>
    <row r="277" spans="1:34" ht="14.25" customHeight="1" x14ac:dyDescent="0.25">
      <c r="A277" s="47">
        <v>0</v>
      </c>
      <c r="B277" s="47">
        <v>2</v>
      </c>
      <c r="C277" s="47">
        <v>1</v>
      </c>
      <c r="D277" s="48" t="s">
        <v>566</v>
      </c>
      <c r="E277" s="48" t="s">
        <v>567</v>
      </c>
      <c r="F277" s="48" t="s">
        <v>568</v>
      </c>
      <c r="G277" s="48" t="s">
        <v>210</v>
      </c>
      <c r="H277" s="48" t="s">
        <v>358</v>
      </c>
      <c r="I277" s="47" t="s">
        <v>569</v>
      </c>
      <c r="J277" s="47">
        <v>3</v>
      </c>
      <c r="K277" s="49" t="s">
        <v>720</v>
      </c>
      <c r="L277" s="49" t="s">
        <v>721</v>
      </c>
      <c r="M277" s="50" t="s">
        <v>722</v>
      </c>
      <c r="N277" s="50" t="s">
        <v>1763</v>
      </c>
      <c r="O277" s="51"/>
      <c r="P277" s="51"/>
      <c r="R277" s="1">
        <f t="shared" si="99"/>
        <v>0</v>
      </c>
      <c r="S277" s="1">
        <f t="shared" si="100"/>
        <v>0</v>
      </c>
      <c r="T277" s="1">
        <f t="shared" si="101"/>
        <v>1</v>
      </c>
      <c r="U277" s="1">
        <f t="shared" si="102"/>
        <v>0</v>
      </c>
      <c r="V277" s="1">
        <f t="shared" si="103"/>
        <v>0</v>
      </c>
      <c r="W277" s="1">
        <f t="shared" si="104"/>
        <v>0</v>
      </c>
      <c r="X277" s="1">
        <f t="shared" si="105"/>
        <v>0</v>
      </c>
      <c r="Y277" s="1">
        <f t="shared" si="106"/>
        <v>0</v>
      </c>
      <c r="Z277" s="1">
        <f t="shared" si="107"/>
        <v>0</v>
      </c>
      <c r="AA277" s="1">
        <f t="shared" si="108"/>
        <v>0</v>
      </c>
      <c r="AC277" s="1">
        <f t="shared" si="109"/>
        <v>0</v>
      </c>
      <c r="AD277" s="1">
        <f t="shared" si="110"/>
        <v>0</v>
      </c>
      <c r="AE277" s="1">
        <f t="shared" si="111"/>
        <v>0</v>
      </c>
      <c r="AF277" s="1">
        <f t="shared" si="112"/>
        <v>0</v>
      </c>
      <c r="AG277" s="1">
        <f t="shared" si="113"/>
        <v>0</v>
      </c>
      <c r="AH277" s="1">
        <f t="shared" si="114"/>
        <v>1</v>
      </c>
    </row>
    <row r="278" spans="1:34" ht="14.25" customHeight="1" x14ac:dyDescent="0.25">
      <c r="A278" s="40">
        <v>0</v>
      </c>
      <c r="B278" s="40">
        <v>2</v>
      </c>
      <c r="C278" s="40">
        <v>1</v>
      </c>
      <c r="D278" s="39" t="s">
        <v>1064</v>
      </c>
      <c r="E278" s="39" t="s">
        <v>32</v>
      </c>
      <c r="F278" s="39" t="s">
        <v>1292</v>
      </c>
      <c r="G278" s="39" t="s">
        <v>541</v>
      </c>
      <c r="H278" s="39" t="s">
        <v>358</v>
      </c>
      <c r="I278" s="40" t="s">
        <v>1293</v>
      </c>
      <c r="J278" s="40">
        <v>6</v>
      </c>
      <c r="K278" s="59" t="s">
        <v>721</v>
      </c>
      <c r="L278" s="36" t="s">
        <v>721</v>
      </c>
      <c r="M278" s="37" t="s">
        <v>722</v>
      </c>
      <c r="N278" s="37" t="s">
        <v>1764</v>
      </c>
      <c r="O278" s="38">
        <v>1</v>
      </c>
      <c r="P278" s="38"/>
      <c r="R278" s="1">
        <f t="shared" si="99"/>
        <v>0</v>
      </c>
      <c r="S278" s="1">
        <f t="shared" si="100"/>
        <v>0</v>
      </c>
      <c r="T278" s="1">
        <f t="shared" si="101"/>
        <v>0</v>
      </c>
      <c r="U278" s="1">
        <f t="shared" si="102"/>
        <v>0</v>
      </c>
      <c r="V278" s="1">
        <f t="shared" si="103"/>
        <v>0</v>
      </c>
      <c r="W278" s="1">
        <f t="shared" si="104"/>
        <v>1</v>
      </c>
      <c r="X278" s="1">
        <f t="shared" si="105"/>
        <v>0</v>
      </c>
      <c r="Y278" s="1">
        <f t="shared" si="106"/>
        <v>0</v>
      </c>
      <c r="Z278" s="1">
        <f t="shared" si="107"/>
        <v>0</v>
      </c>
      <c r="AA278" s="1">
        <f t="shared" si="108"/>
        <v>0</v>
      </c>
      <c r="AC278" s="1">
        <f t="shared" si="109"/>
        <v>0</v>
      </c>
      <c r="AD278" s="1">
        <f t="shared" si="110"/>
        <v>1</v>
      </c>
      <c r="AE278" s="1">
        <f t="shared" si="111"/>
        <v>0</v>
      </c>
      <c r="AF278" s="1">
        <f t="shared" si="112"/>
        <v>1</v>
      </c>
      <c r="AG278" s="1">
        <f t="shared" si="113"/>
        <v>0</v>
      </c>
      <c r="AH278" s="1">
        <f t="shared" si="114"/>
        <v>1</v>
      </c>
    </row>
    <row r="279" spans="1:34" ht="14.25" customHeight="1" x14ac:dyDescent="0.25">
      <c r="A279" s="47">
        <v>0</v>
      </c>
      <c r="B279" s="47">
        <v>2</v>
      </c>
      <c r="C279" s="47">
        <v>1</v>
      </c>
      <c r="D279" s="48" t="s">
        <v>925</v>
      </c>
      <c r="E279" s="48" t="s">
        <v>1348</v>
      </c>
      <c r="F279" s="48" t="s">
        <v>797</v>
      </c>
      <c r="G279" s="48" t="s">
        <v>259</v>
      </c>
      <c r="H279" s="48" t="s">
        <v>358</v>
      </c>
      <c r="I279" s="47" t="s">
        <v>952</v>
      </c>
      <c r="J279" s="47">
        <v>99</v>
      </c>
      <c r="K279" s="49" t="s">
        <v>720</v>
      </c>
      <c r="L279" s="49" t="s">
        <v>721</v>
      </c>
      <c r="M279" s="50" t="s">
        <v>722</v>
      </c>
      <c r="N279" s="50" t="s">
        <v>1750</v>
      </c>
      <c r="O279" s="51"/>
      <c r="P279" s="51"/>
      <c r="R279" s="1">
        <f t="shared" si="99"/>
        <v>0</v>
      </c>
      <c r="S279" s="1">
        <f t="shared" si="100"/>
        <v>0</v>
      </c>
      <c r="T279" s="1">
        <f t="shared" si="101"/>
        <v>0</v>
      </c>
      <c r="U279" s="1">
        <f t="shared" si="102"/>
        <v>0</v>
      </c>
      <c r="V279" s="1">
        <f t="shared" si="103"/>
        <v>0</v>
      </c>
      <c r="W279" s="1">
        <f t="shared" si="104"/>
        <v>0</v>
      </c>
      <c r="X279" s="1">
        <f t="shared" si="105"/>
        <v>0</v>
      </c>
      <c r="Y279" s="1">
        <f t="shared" si="106"/>
        <v>0</v>
      </c>
      <c r="Z279" s="1">
        <f t="shared" si="107"/>
        <v>0</v>
      </c>
      <c r="AA279" s="1">
        <f t="shared" si="108"/>
        <v>0</v>
      </c>
      <c r="AC279" s="1">
        <f t="shared" si="109"/>
        <v>0</v>
      </c>
      <c r="AD279" s="1">
        <f t="shared" si="110"/>
        <v>0</v>
      </c>
      <c r="AE279" s="1">
        <f t="shared" si="111"/>
        <v>0</v>
      </c>
      <c r="AF279" s="1">
        <f t="shared" si="112"/>
        <v>0</v>
      </c>
      <c r="AG279" s="1">
        <f t="shared" si="113"/>
        <v>0</v>
      </c>
      <c r="AH279" s="1">
        <f t="shared" si="114"/>
        <v>1</v>
      </c>
    </row>
    <row r="280" spans="1:34" ht="14.25" customHeight="1" x14ac:dyDescent="0.25">
      <c r="A280" s="40">
        <v>0</v>
      </c>
      <c r="B280" s="40">
        <v>2</v>
      </c>
      <c r="C280" s="40">
        <v>1</v>
      </c>
      <c r="D280" s="39" t="s">
        <v>1787</v>
      </c>
      <c r="E280" s="39" t="s">
        <v>1788</v>
      </c>
      <c r="F280" s="39" t="s">
        <v>1789</v>
      </c>
      <c r="G280" s="39" t="s">
        <v>182</v>
      </c>
      <c r="H280" s="39" t="s">
        <v>358</v>
      </c>
      <c r="I280" s="40" t="s">
        <v>1790</v>
      </c>
      <c r="J280" s="40"/>
      <c r="K280" s="59" t="s">
        <v>711</v>
      </c>
      <c r="L280" s="36">
        <v>4</v>
      </c>
      <c r="M280" s="37" t="s">
        <v>722</v>
      </c>
      <c r="N280" s="37" t="s">
        <v>1759</v>
      </c>
      <c r="O280" s="38">
        <v>1</v>
      </c>
      <c r="P280" s="38"/>
      <c r="R280" s="1">
        <f t="shared" si="99"/>
        <v>0</v>
      </c>
      <c r="S280" s="1">
        <f t="shared" si="100"/>
        <v>0</v>
      </c>
      <c r="T280" s="1">
        <f t="shared" si="101"/>
        <v>0</v>
      </c>
      <c r="U280" s="1">
        <f t="shared" si="102"/>
        <v>0</v>
      </c>
      <c r="V280" s="1">
        <f t="shared" si="103"/>
        <v>0</v>
      </c>
      <c r="W280" s="1">
        <f t="shared" si="104"/>
        <v>0</v>
      </c>
      <c r="X280" s="1">
        <f t="shared" si="105"/>
        <v>0</v>
      </c>
      <c r="Y280" s="1">
        <f t="shared" si="106"/>
        <v>0</v>
      </c>
      <c r="Z280" s="1">
        <f t="shared" si="107"/>
        <v>0</v>
      </c>
      <c r="AA280" s="1">
        <f t="shared" si="108"/>
        <v>0</v>
      </c>
      <c r="AC280" s="1">
        <f t="shared" si="109"/>
        <v>0</v>
      </c>
      <c r="AD280" s="1">
        <f t="shared" si="110"/>
        <v>1</v>
      </c>
      <c r="AE280" s="1">
        <f t="shared" si="111"/>
        <v>0</v>
      </c>
      <c r="AF280" s="1">
        <f t="shared" si="112"/>
        <v>1</v>
      </c>
      <c r="AG280" s="1">
        <f t="shared" si="113"/>
        <v>0</v>
      </c>
      <c r="AH280" s="1">
        <f t="shared" si="114"/>
        <v>1</v>
      </c>
    </row>
    <row r="281" spans="1:34" ht="14.25" customHeight="1" x14ac:dyDescent="0.25">
      <c r="A281" s="34">
        <v>0</v>
      </c>
      <c r="B281" s="34">
        <v>2</v>
      </c>
      <c r="C281" s="34">
        <v>1</v>
      </c>
      <c r="D281" s="35" t="s">
        <v>625</v>
      </c>
      <c r="E281" s="35" t="s">
        <v>626</v>
      </c>
      <c r="F281" s="35" t="s">
        <v>627</v>
      </c>
      <c r="G281" s="35" t="s">
        <v>628</v>
      </c>
      <c r="H281" s="35" t="s">
        <v>358</v>
      </c>
      <c r="I281" s="34" t="s">
        <v>629</v>
      </c>
      <c r="J281" s="34">
        <v>99</v>
      </c>
      <c r="K281" s="36" t="s">
        <v>720</v>
      </c>
      <c r="L281" s="36" t="s">
        <v>721</v>
      </c>
      <c r="M281" s="37" t="s">
        <v>722</v>
      </c>
      <c r="N281" s="37" t="s">
        <v>1772</v>
      </c>
      <c r="O281" s="38">
        <v>1</v>
      </c>
      <c r="P281" s="38"/>
      <c r="R281" s="1">
        <f t="shared" si="99"/>
        <v>0</v>
      </c>
      <c r="S281" s="1">
        <f t="shared" si="100"/>
        <v>0</v>
      </c>
      <c r="T281" s="1">
        <f t="shared" si="101"/>
        <v>0</v>
      </c>
      <c r="U281" s="1">
        <f t="shared" si="102"/>
        <v>0</v>
      </c>
      <c r="V281" s="1">
        <f t="shared" si="103"/>
        <v>0</v>
      </c>
      <c r="W281" s="1">
        <f t="shared" si="104"/>
        <v>0</v>
      </c>
      <c r="X281" s="1">
        <f t="shared" si="105"/>
        <v>0</v>
      </c>
      <c r="Y281" s="1">
        <f t="shared" si="106"/>
        <v>0</v>
      </c>
      <c r="Z281" s="1">
        <f t="shared" si="107"/>
        <v>0</v>
      </c>
      <c r="AA281" s="1">
        <f t="shared" si="108"/>
        <v>0</v>
      </c>
      <c r="AC281" s="1">
        <f t="shared" si="109"/>
        <v>0</v>
      </c>
      <c r="AD281" s="1">
        <f t="shared" si="110"/>
        <v>1</v>
      </c>
      <c r="AE281" s="1">
        <f t="shared" si="111"/>
        <v>0</v>
      </c>
      <c r="AF281" s="1">
        <f t="shared" si="112"/>
        <v>1</v>
      </c>
      <c r="AG281" s="1">
        <f t="shared" si="113"/>
        <v>0</v>
      </c>
      <c r="AH281" s="1">
        <f t="shared" si="114"/>
        <v>1</v>
      </c>
    </row>
    <row r="282" spans="1:34" ht="14.25" customHeight="1" x14ac:dyDescent="0.25">
      <c r="A282" s="47">
        <v>0</v>
      </c>
      <c r="B282" s="47">
        <v>2</v>
      </c>
      <c r="C282" s="47">
        <v>1</v>
      </c>
      <c r="D282" s="48" t="s">
        <v>1091</v>
      </c>
      <c r="E282" s="48" t="s">
        <v>1349</v>
      </c>
      <c r="F282" s="48" t="s">
        <v>1679</v>
      </c>
      <c r="G282" s="48" t="s">
        <v>192</v>
      </c>
      <c r="H282" s="48" t="s">
        <v>358</v>
      </c>
      <c r="I282" s="67" t="s">
        <v>1877</v>
      </c>
      <c r="J282" s="47">
        <v>99</v>
      </c>
      <c r="K282" s="49" t="s">
        <v>720</v>
      </c>
      <c r="L282" s="49" t="s">
        <v>721</v>
      </c>
      <c r="M282" s="50" t="s">
        <v>722</v>
      </c>
      <c r="N282" s="50" t="s">
        <v>1751</v>
      </c>
      <c r="O282" s="51"/>
      <c r="P282" s="51"/>
      <c r="R282" s="1">
        <f t="shared" si="99"/>
        <v>0</v>
      </c>
      <c r="S282" s="1">
        <f t="shared" si="100"/>
        <v>0</v>
      </c>
      <c r="T282" s="1">
        <f t="shared" si="101"/>
        <v>0</v>
      </c>
      <c r="U282" s="1">
        <f t="shared" si="102"/>
        <v>0</v>
      </c>
      <c r="V282" s="1">
        <f t="shared" si="103"/>
        <v>0</v>
      </c>
      <c r="W282" s="1">
        <f t="shared" si="104"/>
        <v>0</v>
      </c>
      <c r="X282" s="1">
        <f t="shared" si="105"/>
        <v>0</v>
      </c>
      <c r="Y282" s="1">
        <f t="shared" si="106"/>
        <v>0</v>
      </c>
      <c r="Z282" s="1">
        <f t="shared" si="107"/>
        <v>0</v>
      </c>
      <c r="AA282" s="1">
        <f t="shared" si="108"/>
        <v>0</v>
      </c>
      <c r="AC282" s="1">
        <f t="shared" si="109"/>
        <v>0</v>
      </c>
      <c r="AD282" s="1">
        <f t="shared" si="110"/>
        <v>0</v>
      </c>
      <c r="AE282" s="1">
        <f t="shared" si="111"/>
        <v>0</v>
      </c>
      <c r="AF282" s="1">
        <f t="shared" si="112"/>
        <v>0</v>
      </c>
      <c r="AG282" s="1">
        <f t="shared" si="113"/>
        <v>0</v>
      </c>
      <c r="AH282" s="1">
        <f t="shared" si="114"/>
        <v>1</v>
      </c>
    </row>
    <row r="283" spans="1:34" ht="14.25" customHeight="1" x14ac:dyDescent="0.25">
      <c r="A283" s="15">
        <v>0</v>
      </c>
      <c r="B283" s="15">
        <v>2</v>
      </c>
      <c r="C283" s="15">
        <v>1</v>
      </c>
      <c r="D283" s="16" t="s">
        <v>657</v>
      </c>
      <c r="E283" s="16" t="s">
        <v>36</v>
      </c>
      <c r="F283" s="16" t="s">
        <v>674</v>
      </c>
      <c r="G283" s="16" t="s">
        <v>203</v>
      </c>
      <c r="H283" s="16" t="s">
        <v>358</v>
      </c>
      <c r="I283" s="15" t="s">
        <v>1013</v>
      </c>
      <c r="J283" s="15">
        <v>99</v>
      </c>
      <c r="K283" s="10" t="s">
        <v>711</v>
      </c>
      <c r="L283" s="10">
        <v>4</v>
      </c>
      <c r="M283" s="19" t="s">
        <v>722</v>
      </c>
      <c r="N283" s="17"/>
      <c r="R283" s="1">
        <f t="shared" si="99"/>
        <v>0</v>
      </c>
      <c r="S283" s="1">
        <f t="shared" si="100"/>
        <v>0</v>
      </c>
      <c r="T283" s="1">
        <f t="shared" si="101"/>
        <v>0</v>
      </c>
      <c r="U283" s="1">
        <f t="shared" si="102"/>
        <v>0</v>
      </c>
      <c r="V283" s="1">
        <f t="shared" si="103"/>
        <v>0</v>
      </c>
      <c r="W283" s="1">
        <f t="shared" si="104"/>
        <v>0</v>
      </c>
      <c r="X283" s="1">
        <f t="shared" si="105"/>
        <v>0</v>
      </c>
      <c r="Y283" s="1">
        <f t="shared" si="106"/>
        <v>0</v>
      </c>
      <c r="Z283" s="1">
        <f t="shared" si="107"/>
        <v>0</v>
      </c>
      <c r="AA283" s="1">
        <f t="shared" si="108"/>
        <v>0</v>
      </c>
      <c r="AC283" s="1">
        <f t="shared" si="109"/>
        <v>0</v>
      </c>
      <c r="AD283" s="1">
        <f t="shared" si="110"/>
        <v>0</v>
      </c>
      <c r="AE283" s="1">
        <f t="shared" si="111"/>
        <v>0</v>
      </c>
      <c r="AF283" s="1">
        <f t="shared" si="112"/>
        <v>0</v>
      </c>
      <c r="AG283" s="1">
        <f t="shared" si="113"/>
        <v>0</v>
      </c>
      <c r="AH283" s="1">
        <f t="shared" si="114"/>
        <v>1</v>
      </c>
    </row>
    <row r="284" spans="1:34" ht="14.25" customHeight="1" x14ac:dyDescent="0.25">
      <c r="A284" s="47">
        <v>0</v>
      </c>
      <c r="B284" s="47">
        <v>2</v>
      </c>
      <c r="C284" s="47">
        <v>1</v>
      </c>
      <c r="D284" s="48" t="s">
        <v>1279</v>
      </c>
      <c r="E284" s="48" t="s">
        <v>1280</v>
      </c>
      <c r="F284" s="48" t="s">
        <v>1281</v>
      </c>
      <c r="G284" s="48" t="s">
        <v>1179</v>
      </c>
      <c r="H284" s="48" t="s">
        <v>358</v>
      </c>
      <c r="I284" s="47" t="s">
        <v>1282</v>
      </c>
      <c r="J284" s="47">
        <v>11</v>
      </c>
      <c r="K284" s="49" t="s">
        <v>711</v>
      </c>
      <c r="L284" s="49">
        <v>6</v>
      </c>
      <c r="M284" s="50" t="s">
        <v>1744</v>
      </c>
      <c r="N284" s="50" t="s">
        <v>1825</v>
      </c>
      <c r="O284" s="51"/>
      <c r="P284" s="51"/>
      <c r="R284" s="1">
        <f t="shared" si="99"/>
        <v>0</v>
      </c>
      <c r="S284" s="1">
        <f t="shared" si="100"/>
        <v>0</v>
      </c>
      <c r="T284" s="1">
        <f t="shared" si="101"/>
        <v>0</v>
      </c>
      <c r="U284" s="1">
        <f t="shared" si="102"/>
        <v>0</v>
      </c>
      <c r="V284" s="1">
        <f t="shared" si="103"/>
        <v>0</v>
      </c>
      <c r="W284" s="1">
        <f t="shared" si="104"/>
        <v>0</v>
      </c>
      <c r="X284" s="1">
        <f t="shared" si="105"/>
        <v>0</v>
      </c>
      <c r="Y284" s="1">
        <f t="shared" si="106"/>
        <v>0</v>
      </c>
      <c r="Z284" s="1">
        <f t="shared" si="107"/>
        <v>0</v>
      </c>
      <c r="AA284" s="1">
        <f t="shared" si="108"/>
        <v>0</v>
      </c>
      <c r="AC284" s="1">
        <f t="shared" si="109"/>
        <v>0</v>
      </c>
      <c r="AD284" s="1">
        <f t="shared" si="110"/>
        <v>0</v>
      </c>
      <c r="AE284" s="1">
        <f t="shared" si="111"/>
        <v>0</v>
      </c>
      <c r="AF284" s="1">
        <f t="shared" si="112"/>
        <v>0</v>
      </c>
      <c r="AG284" s="1">
        <f t="shared" si="113"/>
        <v>0</v>
      </c>
      <c r="AH284" s="1">
        <f t="shared" si="114"/>
        <v>1</v>
      </c>
    </row>
    <row r="285" spans="1:34" ht="14.25" customHeight="1" x14ac:dyDescent="0.25">
      <c r="A285" s="34">
        <v>0</v>
      </c>
      <c r="B285" s="34">
        <v>2</v>
      </c>
      <c r="C285" s="34">
        <v>1</v>
      </c>
      <c r="D285" s="35" t="s">
        <v>1134</v>
      </c>
      <c r="E285" s="35" t="s">
        <v>1329</v>
      </c>
      <c r="F285" s="35" t="s">
        <v>1132</v>
      </c>
      <c r="G285" s="35" t="s">
        <v>232</v>
      </c>
      <c r="H285" s="35" t="s">
        <v>358</v>
      </c>
      <c r="I285" s="34" t="s">
        <v>1133</v>
      </c>
      <c r="J285" s="34">
        <v>7</v>
      </c>
      <c r="K285" s="36" t="s">
        <v>721</v>
      </c>
      <c r="L285" s="36" t="s">
        <v>1725</v>
      </c>
      <c r="M285" s="37" t="s">
        <v>722</v>
      </c>
      <c r="N285" s="37" t="s">
        <v>1772</v>
      </c>
      <c r="O285" s="38">
        <v>1</v>
      </c>
      <c r="P285" s="38"/>
      <c r="R285" s="1">
        <f t="shared" si="99"/>
        <v>0</v>
      </c>
      <c r="S285" s="1">
        <f t="shared" si="100"/>
        <v>0</v>
      </c>
      <c r="T285" s="1">
        <f t="shared" si="101"/>
        <v>0</v>
      </c>
      <c r="U285" s="1">
        <f t="shared" si="102"/>
        <v>0</v>
      </c>
      <c r="V285" s="1">
        <f t="shared" si="103"/>
        <v>0</v>
      </c>
      <c r="W285" s="1">
        <f t="shared" si="104"/>
        <v>0</v>
      </c>
      <c r="X285" s="1">
        <f t="shared" si="105"/>
        <v>1</v>
      </c>
      <c r="Y285" s="1">
        <f t="shared" si="106"/>
        <v>0</v>
      </c>
      <c r="Z285" s="1">
        <f t="shared" si="107"/>
        <v>0</v>
      </c>
      <c r="AA285" s="1">
        <f t="shared" si="108"/>
        <v>0</v>
      </c>
      <c r="AC285" s="1">
        <f t="shared" si="109"/>
        <v>0</v>
      </c>
      <c r="AD285" s="1">
        <f t="shared" si="110"/>
        <v>1</v>
      </c>
      <c r="AE285" s="1">
        <f t="shared" si="111"/>
        <v>0</v>
      </c>
      <c r="AF285" s="1">
        <f t="shared" si="112"/>
        <v>1</v>
      </c>
      <c r="AG285" s="1">
        <f t="shared" si="113"/>
        <v>0</v>
      </c>
      <c r="AH285" s="1">
        <f t="shared" si="114"/>
        <v>1</v>
      </c>
    </row>
    <row r="286" spans="1:34" ht="14.25" customHeight="1" x14ac:dyDescent="0.25">
      <c r="A286" s="34">
        <v>0</v>
      </c>
      <c r="B286" s="34">
        <v>2</v>
      </c>
      <c r="C286" s="34">
        <v>1</v>
      </c>
      <c r="D286" s="35" t="s">
        <v>1016</v>
      </c>
      <c r="E286" s="35" t="s">
        <v>1351</v>
      </c>
      <c r="F286" s="35" t="s">
        <v>1017</v>
      </c>
      <c r="G286" s="35" t="s">
        <v>1111</v>
      </c>
      <c r="H286" s="35" t="s">
        <v>358</v>
      </c>
      <c r="I286" s="34" t="s">
        <v>412</v>
      </c>
      <c r="J286" s="34">
        <v>99</v>
      </c>
      <c r="K286" s="36" t="s">
        <v>721</v>
      </c>
      <c r="L286" s="36" t="s">
        <v>721</v>
      </c>
      <c r="M286" s="37" t="s">
        <v>722</v>
      </c>
      <c r="N286" s="37" t="s">
        <v>1759</v>
      </c>
      <c r="O286" s="38">
        <v>1</v>
      </c>
      <c r="P286" s="38"/>
      <c r="R286" s="1">
        <f t="shared" si="99"/>
        <v>0</v>
      </c>
      <c r="S286" s="1">
        <f t="shared" si="100"/>
        <v>0</v>
      </c>
      <c r="T286" s="1">
        <f t="shared" si="101"/>
        <v>0</v>
      </c>
      <c r="U286" s="1">
        <f t="shared" si="102"/>
        <v>0</v>
      </c>
      <c r="V286" s="1">
        <f t="shared" si="103"/>
        <v>0</v>
      </c>
      <c r="W286" s="1">
        <f t="shared" si="104"/>
        <v>0</v>
      </c>
      <c r="X286" s="1">
        <f t="shared" si="105"/>
        <v>0</v>
      </c>
      <c r="Y286" s="1">
        <f t="shared" si="106"/>
        <v>0</v>
      </c>
      <c r="Z286" s="1">
        <f t="shared" si="107"/>
        <v>0</v>
      </c>
      <c r="AA286" s="1">
        <f t="shared" si="108"/>
        <v>0</v>
      </c>
      <c r="AC286" s="1">
        <f t="shared" si="109"/>
        <v>0</v>
      </c>
      <c r="AD286" s="1">
        <f t="shared" si="110"/>
        <v>1</v>
      </c>
      <c r="AE286" s="1">
        <f t="shared" si="111"/>
        <v>0</v>
      </c>
      <c r="AF286" s="1">
        <f t="shared" si="112"/>
        <v>1</v>
      </c>
      <c r="AG286" s="1">
        <f t="shared" si="113"/>
        <v>0</v>
      </c>
      <c r="AH286" s="1">
        <f t="shared" si="114"/>
        <v>1</v>
      </c>
    </row>
    <row r="287" spans="1:34" ht="14.25" customHeight="1" x14ac:dyDescent="0.25">
      <c r="A287" s="52">
        <v>0</v>
      </c>
      <c r="B287" s="52">
        <v>2</v>
      </c>
      <c r="C287" s="52">
        <v>1</v>
      </c>
      <c r="D287" s="53" t="s">
        <v>1141</v>
      </c>
      <c r="E287" s="53" t="s">
        <v>567</v>
      </c>
      <c r="F287" s="53" t="s">
        <v>1369</v>
      </c>
      <c r="G287" s="53" t="s">
        <v>268</v>
      </c>
      <c r="H287" s="53" t="s">
        <v>358</v>
      </c>
      <c r="I287" s="52" t="s">
        <v>1142</v>
      </c>
      <c r="J287" s="52">
        <v>8</v>
      </c>
      <c r="K287" s="54" t="s">
        <v>720</v>
      </c>
      <c r="L287" s="54" t="s">
        <v>1725</v>
      </c>
      <c r="M287" s="55" t="s">
        <v>722</v>
      </c>
      <c r="N287" s="55" t="s">
        <v>1764</v>
      </c>
      <c r="O287" s="56">
        <v>1</v>
      </c>
      <c r="P287" s="56"/>
      <c r="R287" s="1">
        <f t="shared" si="99"/>
        <v>0</v>
      </c>
      <c r="S287" s="1">
        <f t="shared" si="100"/>
        <v>0</v>
      </c>
      <c r="T287" s="1">
        <f t="shared" si="101"/>
        <v>0</v>
      </c>
      <c r="U287" s="1">
        <f t="shared" si="102"/>
        <v>0</v>
      </c>
      <c r="V287" s="1">
        <f t="shared" si="103"/>
        <v>0</v>
      </c>
      <c r="W287" s="1">
        <f t="shared" si="104"/>
        <v>0</v>
      </c>
      <c r="X287" s="1">
        <f t="shared" si="105"/>
        <v>0</v>
      </c>
      <c r="Y287" s="1">
        <f t="shared" si="106"/>
        <v>1</v>
      </c>
      <c r="Z287" s="1">
        <f t="shared" si="107"/>
        <v>0</v>
      </c>
      <c r="AA287" s="1">
        <f t="shared" si="108"/>
        <v>0</v>
      </c>
      <c r="AC287" s="1">
        <f t="shared" si="109"/>
        <v>0</v>
      </c>
      <c r="AD287" s="1">
        <f t="shared" si="110"/>
        <v>1</v>
      </c>
      <c r="AE287" s="1">
        <f t="shared" si="111"/>
        <v>0</v>
      </c>
      <c r="AF287" s="1">
        <f t="shared" si="112"/>
        <v>1</v>
      </c>
      <c r="AG287" s="1">
        <f t="shared" si="113"/>
        <v>0</v>
      </c>
      <c r="AH287" s="1">
        <f t="shared" si="114"/>
        <v>1</v>
      </c>
    </row>
    <row r="288" spans="1:34" ht="14.25" customHeight="1" x14ac:dyDescent="0.25">
      <c r="A288" s="47">
        <v>0</v>
      </c>
      <c r="B288" s="47">
        <v>2</v>
      </c>
      <c r="C288" s="47">
        <v>1</v>
      </c>
      <c r="D288" s="48" t="s">
        <v>1301</v>
      </c>
      <c r="E288" s="48" t="s">
        <v>1349</v>
      </c>
      <c r="F288" s="48" t="s">
        <v>1298</v>
      </c>
      <c r="G288" s="48" t="s">
        <v>1299</v>
      </c>
      <c r="H288" s="48" t="s">
        <v>358</v>
      </c>
      <c r="I288" s="47" t="s">
        <v>1300</v>
      </c>
      <c r="J288" s="47">
        <v>1</v>
      </c>
      <c r="K288" s="49" t="s">
        <v>720</v>
      </c>
      <c r="L288" s="49" t="s">
        <v>721</v>
      </c>
      <c r="M288" s="50" t="s">
        <v>722</v>
      </c>
      <c r="N288" s="50" t="s">
        <v>1754</v>
      </c>
      <c r="O288" s="51"/>
      <c r="P288" s="51"/>
      <c r="R288" s="1">
        <f t="shared" si="99"/>
        <v>1</v>
      </c>
      <c r="S288" s="1">
        <f t="shared" si="100"/>
        <v>0</v>
      </c>
      <c r="T288" s="1">
        <f t="shared" si="101"/>
        <v>0</v>
      </c>
      <c r="U288" s="1">
        <f t="shared" si="102"/>
        <v>0</v>
      </c>
      <c r="V288" s="1">
        <f t="shared" si="103"/>
        <v>0</v>
      </c>
      <c r="W288" s="1">
        <f t="shared" si="104"/>
        <v>0</v>
      </c>
      <c r="X288" s="1">
        <f t="shared" si="105"/>
        <v>0</v>
      </c>
      <c r="Y288" s="1">
        <f t="shared" si="106"/>
        <v>0</v>
      </c>
      <c r="Z288" s="1">
        <f t="shared" si="107"/>
        <v>0</v>
      </c>
      <c r="AA288" s="1">
        <f t="shared" si="108"/>
        <v>0</v>
      </c>
      <c r="AC288" s="1">
        <f t="shared" si="109"/>
        <v>0</v>
      </c>
      <c r="AD288" s="1">
        <f t="shared" si="110"/>
        <v>0</v>
      </c>
      <c r="AE288" s="1">
        <f t="shared" si="111"/>
        <v>0</v>
      </c>
      <c r="AF288" s="1">
        <f t="shared" si="112"/>
        <v>0</v>
      </c>
      <c r="AG288" s="1">
        <f t="shared" si="113"/>
        <v>0</v>
      </c>
      <c r="AH288" s="1">
        <f t="shared" si="114"/>
        <v>1</v>
      </c>
    </row>
    <row r="289" spans="1:34" ht="14.25" customHeight="1" x14ac:dyDescent="0.25">
      <c r="A289" s="47">
        <v>0</v>
      </c>
      <c r="B289" s="47">
        <v>2</v>
      </c>
      <c r="C289" s="47">
        <v>1</v>
      </c>
      <c r="D289" s="48" t="s">
        <v>52</v>
      </c>
      <c r="E289" s="48" t="s">
        <v>32</v>
      </c>
      <c r="F289" s="48" t="s">
        <v>208</v>
      </c>
      <c r="G289" s="48" t="s">
        <v>209</v>
      </c>
      <c r="H289" s="48" t="s">
        <v>358</v>
      </c>
      <c r="I289" s="47" t="s">
        <v>395</v>
      </c>
      <c r="J289" s="47">
        <v>99</v>
      </c>
      <c r="K289" s="49" t="s">
        <v>720</v>
      </c>
      <c r="L289" s="49" t="s">
        <v>721</v>
      </c>
      <c r="M289" s="50" t="s">
        <v>722</v>
      </c>
      <c r="N289" s="50" t="s">
        <v>1763</v>
      </c>
      <c r="O289" s="51"/>
      <c r="P289" s="51"/>
      <c r="R289" s="1">
        <f t="shared" si="99"/>
        <v>0</v>
      </c>
      <c r="S289" s="1">
        <f t="shared" si="100"/>
        <v>0</v>
      </c>
      <c r="T289" s="1">
        <f t="shared" si="101"/>
        <v>0</v>
      </c>
      <c r="U289" s="1">
        <f t="shared" si="102"/>
        <v>0</v>
      </c>
      <c r="V289" s="1">
        <f t="shared" si="103"/>
        <v>0</v>
      </c>
      <c r="W289" s="1">
        <f t="shared" si="104"/>
        <v>0</v>
      </c>
      <c r="X289" s="1">
        <f t="shared" si="105"/>
        <v>0</v>
      </c>
      <c r="Y289" s="1">
        <f t="shared" si="106"/>
        <v>0</v>
      </c>
      <c r="Z289" s="1">
        <f t="shared" si="107"/>
        <v>0</v>
      </c>
      <c r="AA289" s="1">
        <f t="shared" si="108"/>
        <v>0</v>
      </c>
      <c r="AC289" s="1">
        <f t="shared" si="109"/>
        <v>0</v>
      </c>
      <c r="AD289" s="1">
        <f t="shared" si="110"/>
        <v>0</v>
      </c>
      <c r="AE289" s="1">
        <f t="shared" si="111"/>
        <v>0</v>
      </c>
      <c r="AF289" s="1">
        <f t="shared" si="112"/>
        <v>0</v>
      </c>
      <c r="AG289" s="1">
        <f t="shared" si="113"/>
        <v>0</v>
      </c>
      <c r="AH289" s="1">
        <f t="shared" si="114"/>
        <v>1</v>
      </c>
    </row>
    <row r="290" spans="1:34" ht="14.25" customHeight="1" x14ac:dyDescent="0.25">
      <c r="A290" s="47">
        <v>0</v>
      </c>
      <c r="B290" s="47">
        <v>2</v>
      </c>
      <c r="C290" s="47">
        <v>1</v>
      </c>
      <c r="D290" s="48" t="s">
        <v>74</v>
      </c>
      <c r="E290" s="48" t="s">
        <v>567</v>
      </c>
      <c r="F290" s="48" t="s">
        <v>1061</v>
      </c>
      <c r="G290" s="48" t="s">
        <v>192</v>
      </c>
      <c r="H290" s="48" t="s">
        <v>358</v>
      </c>
      <c r="I290" s="47" t="s">
        <v>426</v>
      </c>
      <c r="J290" s="47">
        <v>99</v>
      </c>
      <c r="K290" s="49" t="s">
        <v>962</v>
      </c>
      <c r="L290" s="49" t="s">
        <v>721</v>
      </c>
      <c r="M290" s="50" t="s">
        <v>722</v>
      </c>
      <c r="N290" s="50" t="s">
        <v>1751</v>
      </c>
      <c r="O290" s="51"/>
      <c r="P290" s="51"/>
      <c r="R290" s="1">
        <f t="shared" si="99"/>
        <v>0</v>
      </c>
      <c r="S290" s="1">
        <f t="shared" si="100"/>
        <v>0</v>
      </c>
      <c r="T290" s="1">
        <f t="shared" si="101"/>
        <v>0</v>
      </c>
      <c r="U290" s="1">
        <f t="shared" si="102"/>
        <v>0</v>
      </c>
      <c r="V290" s="1">
        <f t="shared" si="103"/>
        <v>0</v>
      </c>
      <c r="W290" s="1">
        <f t="shared" si="104"/>
        <v>0</v>
      </c>
      <c r="X290" s="1">
        <f t="shared" si="105"/>
        <v>0</v>
      </c>
      <c r="Y290" s="1">
        <f t="shared" si="106"/>
        <v>0</v>
      </c>
      <c r="Z290" s="1">
        <f t="shared" si="107"/>
        <v>0</v>
      </c>
      <c r="AA290" s="1">
        <f t="shared" si="108"/>
        <v>0</v>
      </c>
      <c r="AC290" s="1">
        <f t="shared" si="109"/>
        <v>0</v>
      </c>
      <c r="AD290" s="1">
        <f t="shared" si="110"/>
        <v>0</v>
      </c>
      <c r="AE290" s="1">
        <f t="shared" si="111"/>
        <v>0</v>
      </c>
      <c r="AF290" s="1">
        <f t="shared" si="112"/>
        <v>0</v>
      </c>
      <c r="AG290" s="1">
        <f t="shared" si="113"/>
        <v>0</v>
      </c>
      <c r="AH290" s="1">
        <f t="shared" si="114"/>
        <v>1</v>
      </c>
    </row>
    <row r="291" spans="1:34" ht="14.25" customHeight="1" x14ac:dyDescent="0.25">
      <c r="A291" s="15">
        <v>0</v>
      </c>
      <c r="B291" s="15">
        <v>2</v>
      </c>
      <c r="C291" s="15">
        <v>1</v>
      </c>
      <c r="D291" s="16" t="s">
        <v>47</v>
      </c>
      <c r="E291" s="16" t="s">
        <v>32</v>
      </c>
      <c r="F291" s="16" t="s">
        <v>189</v>
      </c>
      <c r="G291" s="16" t="s">
        <v>182</v>
      </c>
      <c r="H291" s="16" t="s">
        <v>358</v>
      </c>
      <c r="I291" s="15" t="s">
        <v>387</v>
      </c>
      <c r="J291" s="15">
        <v>10</v>
      </c>
      <c r="K291" s="10" t="s">
        <v>963</v>
      </c>
      <c r="L291" s="10" t="s">
        <v>721</v>
      </c>
      <c r="M291" s="19" t="s">
        <v>722</v>
      </c>
      <c r="N291" s="19"/>
      <c r="R291" s="1">
        <f t="shared" si="99"/>
        <v>0</v>
      </c>
      <c r="S291" s="1">
        <f t="shared" si="100"/>
        <v>0</v>
      </c>
      <c r="T291" s="1">
        <f t="shared" si="101"/>
        <v>0</v>
      </c>
      <c r="U291" s="1">
        <f t="shared" si="102"/>
        <v>0</v>
      </c>
      <c r="V291" s="1">
        <f t="shared" si="103"/>
        <v>0</v>
      </c>
      <c r="W291" s="1">
        <f t="shared" si="104"/>
        <v>0</v>
      </c>
      <c r="X291" s="1">
        <f t="shared" si="105"/>
        <v>0</v>
      </c>
      <c r="Y291" s="1">
        <f t="shared" si="106"/>
        <v>0</v>
      </c>
      <c r="Z291" s="1">
        <f t="shared" si="107"/>
        <v>0</v>
      </c>
      <c r="AA291" s="1">
        <f t="shared" si="108"/>
        <v>1</v>
      </c>
      <c r="AC291" s="1">
        <f t="shared" si="109"/>
        <v>0</v>
      </c>
      <c r="AD291" s="1">
        <f t="shared" si="110"/>
        <v>0</v>
      </c>
      <c r="AE291" s="1">
        <f t="shared" si="111"/>
        <v>0</v>
      </c>
      <c r="AF291" s="1">
        <f t="shared" si="112"/>
        <v>0</v>
      </c>
      <c r="AG291" s="1">
        <f t="shared" si="113"/>
        <v>0</v>
      </c>
      <c r="AH291" s="1">
        <f t="shared" si="114"/>
        <v>1</v>
      </c>
    </row>
    <row r="292" spans="1:34" ht="14.25" customHeight="1" x14ac:dyDescent="0.25">
      <c r="A292" s="47">
        <v>0</v>
      </c>
      <c r="B292" s="47">
        <v>2</v>
      </c>
      <c r="C292" s="47">
        <v>1</v>
      </c>
      <c r="D292" s="48" t="s">
        <v>658</v>
      </c>
      <c r="E292" s="48" t="s">
        <v>162</v>
      </c>
      <c r="F292" s="48" t="s">
        <v>190</v>
      </c>
      <c r="G292" s="48" t="s">
        <v>675</v>
      </c>
      <c r="H292" s="48" t="s">
        <v>358</v>
      </c>
      <c r="I292" s="47" t="s">
        <v>388</v>
      </c>
      <c r="J292" s="47">
        <v>99</v>
      </c>
      <c r="K292" s="49" t="s">
        <v>720</v>
      </c>
      <c r="L292" s="49" t="s">
        <v>721</v>
      </c>
      <c r="M292" s="50" t="s">
        <v>722</v>
      </c>
      <c r="N292" s="50" t="s">
        <v>1753</v>
      </c>
      <c r="O292" s="51"/>
      <c r="P292" s="51"/>
      <c r="R292" s="1">
        <f t="shared" si="99"/>
        <v>0</v>
      </c>
      <c r="S292" s="1">
        <f t="shared" si="100"/>
        <v>0</v>
      </c>
      <c r="T292" s="1">
        <f t="shared" si="101"/>
        <v>0</v>
      </c>
      <c r="U292" s="1">
        <f t="shared" si="102"/>
        <v>0</v>
      </c>
      <c r="V292" s="1">
        <f t="shared" si="103"/>
        <v>0</v>
      </c>
      <c r="W292" s="1">
        <f t="shared" si="104"/>
        <v>0</v>
      </c>
      <c r="X292" s="1">
        <f t="shared" si="105"/>
        <v>0</v>
      </c>
      <c r="Y292" s="1">
        <f t="shared" si="106"/>
        <v>0</v>
      </c>
      <c r="Z292" s="1">
        <f t="shared" si="107"/>
        <v>0</v>
      </c>
      <c r="AA292" s="1">
        <f t="shared" si="108"/>
        <v>0</v>
      </c>
      <c r="AC292" s="1">
        <f t="shared" si="109"/>
        <v>0</v>
      </c>
      <c r="AD292" s="1">
        <f t="shared" si="110"/>
        <v>0</v>
      </c>
      <c r="AE292" s="1">
        <f t="shared" si="111"/>
        <v>0</v>
      </c>
      <c r="AF292" s="1">
        <f t="shared" si="112"/>
        <v>0</v>
      </c>
      <c r="AG292" s="1">
        <f t="shared" si="113"/>
        <v>0</v>
      </c>
      <c r="AH292" s="1">
        <f t="shared" si="114"/>
        <v>1</v>
      </c>
    </row>
    <row r="293" spans="1:34" ht="14.25" customHeight="1" x14ac:dyDescent="0.25">
      <c r="A293" s="41">
        <v>0</v>
      </c>
      <c r="B293" s="41">
        <v>2</v>
      </c>
      <c r="C293" s="41">
        <v>1</v>
      </c>
      <c r="D293" s="42" t="s">
        <v>1319</v>
      </c>
      <c r="E293" s="42" t="s">
        <v>36</v>
      </c>
      <c r="F293" s="42" t="s">
        <v>1320</v>
      </c>
      <c r="G293" s="42" t="s">
        <v>260</v>
      </c>
      <c r="H293" s="42" t="s">
        <v>358</v>
      </c>
      <c r="I293" s="41" t="s">
        <v>1321</v>
      </c>
      <c r="J293" s="41">
        <v>8</v>
      </c>
      <c r="K293" s="43" t="s">
        <v>967</v>
      </c>
      <c r="L293" s="43" t="s">
        <v>721</v>
      </c>
      <c r="M293" s="44" t="s">
        <v>722</v>
      </c>
      <c r="N293" s="45"/>
      <c r="O293" s="46"/>
      <c r="P293" s="46">
        <v>1</v>
      </c>
      <c r="R293" s="1">
        <f t="shared" si="99"/>
        <v>0</v>
      </c>
      <c r="S293" s="1">
        <f t="shared" si="100"/>
        <v>0</v>
      </c>
      <c r="T293" s="1">
        <f t="shared" si="101"/>
        <v>0</v>
      </c>
      <c r="U293" s="1">
        <f t="shared" si="102"/>
        <v>0</v>
      </c>
      <c r="V293" s="1">
        <f t="shared" si="103"/>
        <v>0</v>
      </c>
      <c r="W293" s="1">
        <f t="shared" si="104"/>
        <v>0</v>
      </c>
      <c r="X293" s="1">
        <f t="shared" si="105"/>
        <v>0</v>
      </c>
      <c r="Y293" s="1">
        <f t="shared" si="106"/>
        <v>1</v>
      </c>
      <c r="Z293" s="1">
        <f t="shared" si="107"/>
        <v>0</v>
      </c>
      <c r="AA293" s="1">
        <f t="shared" si="108"/>
        <v>0</v>
      </c>
      <c r="AC293" s="1">
        <f t="shared" si="109"/>
        <v>0</v>
      </c>
      <c r="AD293" s="1">
        <f t="shared" si="110"/>
        <v>0</v>
      </c>
      <c r="AE293" s="1">
        <f t="shared" si="111"/>
        <v>0</v>
      </c>
      <c r="AF293" s="1">
        <f t="shared" si="112"/>
        <v>0</v>
      </c>
      <c r="AG293" s="1">
        <f t="shared" si="113"/>
        <v>1</v>
      </c>
      <c r="AH293" s="1">
        <f t="shared" si="114"/>
        <v>0</v>
      </c>
    </row>
    <row r="294" spans="1:34" ht="14.25" customHeight="1" x14ac:dyDescent="0.25">
      <c r="A294" s="34">
        <v>0</v>
      </c>
      <c r="B294" s="34">
        <v>2</v>
      </c>
      <c r="C294" s="34">
        <v>1</v>
      </c>
      <c r="D294" s="35" t="s">
        <v>54</v>
      </c>
      <c r="E294" s="35" t="s">
        <v>567</v>
      </c>
      <c r="F294" s="35" t="s">
        <v>214</v>
      </c>
      <c r="G294" s="35" t="s">
        <v>215</v>
      </c>
      <c r="H294" s="35" t="s">
        <v>358</v>
      </c>
      <c r="I294" s="34" t="s">
        <v>397</v>
      </c>
      <c r="J294" s="34">
        <v>1</v>
      </c>
      <c r="K294" s="36" t="s">
        <v>963</v>
      </c>
      <c r="L294" s="36" t="s">
        <v>721</v>
      </c>
      <c r="M294" s="37" t="s">
        <v>39</v>
      </c>
      <c r="N294" s="37" t="s">
        <v>1759</v>
      </c>
      <c r="O294" s="38">
        <v>1</v>
      </c>
      <c r="P294" s="38"/>
      <c r="R294" s="1">
        <f t="shared" si="99"/>
        <v>1</v>
      </c>
      <c r="S294" s="1">
        <f t="shared" si="100"/>
        <v>0</v>
      </c>
      <c r="T294" s="1">
        <f t="shared" si="101"/>
        <v>0</v>
      </c>
      <c r="U294" s="1">
        <f t="shared" si="102"/>
        <v>0</v>
      </c>
      <c r="V294" s="1">
        <f t="shared" si="103"/>
        <v>0</v>
      </c>
      <c r="W294" s="1">
        <f t="shared" si="104"/>
        <v>0</v>
      </c>
      <c r="X294" s="1">
        <f t="shared" si="105"/>
        <v>0</v>
      </c>
      <c r="Y294" s="1">
        <f t="shared" si="106"/>
        <v>0</v>
      </c>
      <c r="Z294" s="1">
        <f t="shared" si="107"/>
        <v>0</v>
      </c>
      <c r="AA294" s="1">
        <f t="shared" si="108"/>
        <v>0</v>
      </c>
      <c r="AC294" s="1">
        <f t="shared" si="109"/>
        <v>0</v>
      </c>
      <c r="AD294" s="1">
        <f t="shared" si="110"/>
        <v>1</v>
      </c>
      <c r="AE294" s="1">
        <f t="shared" si="111"/>
        <v>0</v>
      </c>
      <c r="AF294" s="1">
        <f t="shared" si="112"/>
        <v>1</v>
      </c>
      <c r="AG294" s="1">
        <f t="shared" si="113"/>
        <v>0</v>
      </c>
      <c r="AH294" s="1">
        <f t="shared" si="114"/>
        <v>1</v>
      </c>
    </row>
    <row r="295" spans="1:34" ht="14.25" customHeight="1" x14ac:dyDescent="0.25">
      <c r="A295" s="47">
        <v>0</v>
      </c>
      <c r="B295" s="47">
        <v>2</v>
      </c>
      <c r="C295" s="47">
        <v>1</v>
      </c>
      <c r="D295" s="48" t="s">
        <v>61</v>
      </c>
      <c r="E295" s="48" t="s">
        <v>549</v>
      </c>
      <c r="F295" s="48" t="s">
        <v>235</v>
      </c>
      <c r="G295" s="48" t="s">
        <v>206</v>
      </c>
      <c r="H295" s="48" t="s">
        <v>358</v>
      </c>
      <c r="I295" s="47" t="s">
        <v>405</v>
      </c>
      <c r="J295" s="47">
        <v>7</v>
      </c>
      <c r="K295" s="49" t="s">
        <v>720</v>
      </c>
      <c r="L295" s="49" t="s">
        <v>721</v>
      </c>
      <c r="M295" s="50" t="s">
        <v>722</v>
      </c>
      <c r="N295" s="50" t="s">
        <v>1754</v>
      </c>
      <c r="O295" s="51"/>
      <c r="P295" s="51"/>
      <c r="R295" s="1">
        <f t="shared" si="99"/>
        <v>0</v>
      </c>
      <c r="S295" s="1">
        <f t="shared" si="100"/>
        <v>0</v>
      </c>
      <c r="T295" s="1">
        <f t="shared" si="101"/>
        <v>0</v>
      </c>
      <c r="U295" s="1">
        <f t="shared" si="102"/>
        <v>0</v>
      </c>
      <c r="V295" s="1">
        <f t="shared" si="103"/>
        <v>0</v>
      </c>
      <c r="W295" s="1">
        <f t="shared" si="104"/>
        <v>0</v>
      </c>
      <c r="X295" s="1">
        <f t="shared" si="105"/>
        <v>1</v>
      </c>
      <c r="Y295" s="1">
        <f t="shared" si="106"/>
        <v>0</v>
      </c>
      <c r="Z295" s="1">
        <f t="shared" si="107"/>
        <v>0</v>
      </c>
      <c r="AA295" s="1">
        <f t="shared" si="108"/>
        <v>0</v>
      </c>
      <c r="AC295" s="1">
        <f t="shared" si="109"/>
        <v>0</v>
      </c>
      <c r="AD295" s="1">
        <f t="shared" si="110"/>
        <v>0</v>
      </c>
      <c r="AE295" s="1">
        <f t="shared" si="111"/>
        <v>0</v>
      </c>
      <c r="AF295" s="1">
        <f t="shared" si="112"/>
        <v>0</v>
      </c>
      <c r="AG295" s="1">
        <f t="shared" si="113"/>
        <v>0</v>
      </c>
      <c r="AH295" s="1">
        <f t="shared" si="114"/>
        <v>1</v>
      </c>
    </row>
    <row r="296" spans="1:34" ht="14.25" customHeight="1" x14ac:dyDescent="0.25">
      <c r="A296" s="52">
        <v>0</v>
      </c>
      <c r="B296" s="52">
        <v>2</v>
      </c>
      <c r="C296" s="52">
        <v>1</v>
      </c>
      <c r="D296" s="53" t="s">
        <v>1663</v>
      </c>
      <c r="E296" s="53" t="s">
        <v>567</v>
      </c>
      <c r="F296" s="53" t="s">
        <v>1373</v>
      </c>
      <c r="G296" s="53" t="s">
        <v>1299</v>
      </c>
      <c r="H296" s="53" t="s">
        <v>358</v>
      </c>
      <c r="I296" s="52" t="s">
        <v>1182</v>
      </c>
      <c r="J296" s="52">
        <v>99</v>
      </c>
      <c r="K296" s="54" t="s">
        <v>720</v>
      </c>
      <c r="L296" s="54" t="s">
        <v>721</v>
      </c>
      <c r="M296" s="55" t="s">
        <v>722</v>
      </c>
      <c r="N296" s="55" t="s">
        <v>1764</v>
      </c>
      <c r="O296" s="56">
        <v>1</v>
      </c>
      <c r="P296" s="56"/>
      <c r="R296" s="1">
        <f t="shared" si="99"/>
        <v>0</v>
      </c>
      <c r="S296" s="1">
        <f t="shared" si="100"/>
        <v>0</v>
      </c>
      <c r="T296" s="1">
        <f t="shared" si="101"/>
        <v>0</v>
      </c>
      <c r="U296" s="1">
        <f t="shared" si="102"/>
        <v>0</v>
      </c>
      <c r="V296" s="1">
        <f t="shared" si="103"/>
        <v>0</v>
      </c>
      <c r="W296" s="1">
        <f t="shared" si="104"/>
        <v>0</v>
      </c>
      <c r="X296" s="1">
        <f t="shared" si="105"/>
        <v>0</v>
      </c>
      <c r="Y296" s="1">
        <f t="shared" si="106"/>
        <v>0</v>
      </c>
      <c r="Z296" s="1">
        <f t="shared" si="107"/>
        <v>0</v>
      </c>
      <c r="AA296" s="1">
        <f t="shared" si="108"/>
        <v>0</v>
      </c>
      <c r="AC296" s="1">
        <f t="shared" si="109"/>
        <v>0</v>
      </c>
      <c r="AD296" s="1">
        <f t="shared" si="110"/>
        <v>1</v>
      </c>
      <c r="AE296" s="1">
        <f t="shared" si="111"/>
        <v>0</v>
      </c>
      <c r="AF296" s="1">
        <f t="shared" si="112"/>
        <v>1</v>
      </c>
      <c r="AG296" s="1">
        <f t="shared" si="113"/>
        <v>0</v>
      </c>
      <c r="AH296" s="1">
        <f t="shared" si="114"/>
        <v>1</v>
      </c>
    </row>
    <row r="297" spans="1:34" ht="14.25" customHeight="1" x14ac:dyDescent="0.25">
      <c r="A297" s="52">
        <v>0</v>
      </c>
      <c r="B297" s="52">
        <v>2</v>
      </c>
      <c r="C297" s="52">
        <v>1</v>
      </c>
      <c r="D297" s="53" t="s">
        <v>1798</v>
      </c>
      <c r="E297" s="53" t="s">
        <v>1799</v>
      </c>
      <c r="F297" s="53" t="s">
        <v>1800</v>
      </c>
      <c r="G297" s="53" t="s">
        <v>1801</v>
      </c>
      <c r="H297" s="53" t="s">
        <v>358</v>
      </c>
      <c r="I297" s="52"/>
      <c r="J297" s="52">
        <v>1</v>
      </c>
      <c r="K297" s="54" t="s">
        <v>711</v>
      </c>
      <c r="L297" s="54"/>
      <c r="M297" s="55"/>
      <c r="N297" s="55" t="s">
        <v>1759</v>
      </c>
      <c r="O297" s="56">
        <v>1</v>
      </c>
      <c r="P297" s="56"/>
      <c r="R297" s="1">
        <f t="shared" si="99"/>
        <v>1</v>
      </c>
      <c r="S297" s="1">
        <f t="shared" si="100"/>
        <v>0</v>
      </c>
      <c r="T297" s="1">
        <f t="shared" si="101"/>
        <v>0</v>
      </c>
      <c r="U297" s="1">
        <f t="shared" si="102"/>
        <v>0</v>
      </c>
      <c r="V297" s="1">
        <f t="shared" si="103"/>
        <v>0</v>
      </c>
      <c r="W297" s="1">
        <f t="shared" si="104"/>
        <v>0</v>
      </c>
      <c r="X297" s="1">
        <f t="shared" si="105"/>
        <v>0</v>
      </c>
      <c r="Y297" s="1">
        <f t="shared" si="106"/>
        <v>0</v>
      </c>
      <c r="Z297" s="1">
        <f t="shared" si="107"/>
        <v>0</v>
      </c>
      <c r="AA297" s="1">
        <f t="shared" si="108"/>
        <v>0</v>
      </c>
      <c r="AC297" s="1">
        <f t="shared" si="109"/>
        <v>0</v>
      </c>
      <c r="AD297" s="1">
        <f t="shared" si="110"/>
        <v>1</v>
      </c>
      <c r="AE297" s="1">
        <f t="shared" si="111"/>
        <v>0</v>
      </c>
      <c r="AF297" s="1">
        <f t="shared" si="112"/>
        <v>1</v>
      </c>
      <c r="AG297" s="1">
        <f t="shared" si="113"/>
        <v>0</v>
      </c>
      <c r="AH297" s="1">
        <f t="shared" si="114"/>
        <v>1</v>
      </c>
    </row>
    <row r="298" spans="1:34" ht="14.25" customHeight="1" x14ac:dyDescent="0.25">
      <c r="A298" s="52">
        <v>0</v>
      </c>
      <c r="B298" s="52">
        <v>2</v>
      </c>
      <c r="C298" s="52">
        <v>1</v>
      </c>
      <c r="D298" s="53" t="s">
        <v>1333</v>
      </c>
      <c r="E298" s="53" t="s">
        <v>1353</v>
      </c>
      <c r="F298" s="53" t="s">
        <v>1316</v>
      </c>
      <c r="G298" s="53" t="s">
        <v>1317</v>
      </c>
      <c r="H298" s="53" t="s">
        <v>358</v>
      </c>
      <c r="I298" s="52" t="s">
        <v>1318</v>
      </c>
      <c r="J298" s="52">
        <v>99</v>
      </c>
      <c r="K298" s="54" t="s">
        <v>963</v>
      </c>
      <c r="L298" s="54" t="s">
        <v>721</v>
      </c>
      <c r="M298" s="55" t="s">
        <v>722</v>
      </c>
      <c r="N298" s="55" t="s">
        <v>1764</v>
      </c>
      <c r="O298" s="56">
        <v>1</v>
      </c>
      <c r="P298" s="56"/>
      <c r="R298" s="1">
        <f t="shared" si="99"/>
        <v>0</v>
      </c>
      <c r="S298" s="1">
        <f t="shared" si="100"/>
        <v>0</v>
      </c>
      <c r="T298" s="1">
        <f t="shared" si="101"/>
        <v>0</v>
      </c>
      <c r="U298" s="1">
        <f t="shared" si="102"/>
        <v>0</v>
      </c>
      <c r="V298" s="1">
        <f t="shared" si="103"/>
        <v>0</v>
      </c>
      <c r="W298" s="1">
        <f t="shared" si="104"/>
        <v>0</v>
      </c>
      <c r="X298" s="1">
        <f t="shared" si="105"/>
        <v>0</v>
      </c>
      <c r="Y298" s="1">
        <f t="shared" si="106"/>
        <v>0</v>
      </c>
      <c r="Z298" s="1">
        <f t="shared" si="107"/>
        <v>0</v>
      </c>
      <c r="AA298" s="1">
        <f t="shared" si="108"/>
        <v>0</v>
      </c>
      <c r="AC298" s="1">
        <f t="shared" si="109"/>
        <v>0</v>
      </c>
      <c r="AD298" s="1">
        <f t="shared" si="110"/>
        <v>1</v>
      </c>
      <c r="AE298" s="1">
        <f t="shared" si="111"/>
        <v>0</v>
      </c>
      <c r="AF298" s="1">
        <f t="shared" si="112"/>
        <v>1</v>
      </c>
      <c r="AG298" s="1">
        <f t="shared" si="113"/>
        <v>0</v>
      </c>
      <c r="AH298" s="1">
        <f t="shared" si="114"/>
        <v>1</v>
      </c>
    </row>
    <row r="299" spans="1:34" ht="14.25" customHeight="1" x14ac:dyDescent="0.25">
      <c r="A299" s="47">
        <v>0</v>
      </c>
      <c r="B299" s="47">
        <v>2</v>
      </c>
      <c r="C299" s="47">
        <v>1</v>
      </c>
      <c r="D299" s="48" t="s">
        <v>1328</v>
      </c>
      <c r="E299" s="48" t="s">
        <v>162</v>
      </c>
      <c r="F299" s="48" t="s">
        <v>1330</v>
      </c>
      <c r="G299" s="48" t="s">
        <v>1331</v>
      </c>
      <c r="H299" s="48" t="s">
        <v>358</v>
      </c>
      <c r="I299" s="47" t="s">
        <v>1332</v>
      </c>
      <c r="J299" s="47">
        <v>8</v>
      </c>
      <c r="K299" s="49" t="s">
        <v>721</v>
      </c>
      <c r="L299" s="49" t="s">
        <v>721</v>
      </c>
      <c r="M299" s="50" t="s">
        <v>722</v>
      </c>
      <c r="N299" s="50" t="s">
        <v>1763</v>
      </c>
      <c r="O299" s="51"/>
      <c r="P299" s="51"/>
      <c r="R299" s="1">
        <f t="shared" si="99"/>
        <v>0</v>
      </c>
      <c r="S299" s="1">
        <f t="shared" si="100"/>
        <v>0</v>
      </c>
      <c r="T299" s="1">
        <f t="shared" si="101"/>
        <v>0</v>
      </c>
      <c r="U299" s="1">
        <f t="shared" si="102"/>
        <v>0</v>
      </c>
      <c r="V299" s="1">
        <f t="shared" si="103"/>
        <v>0</v>
      </c>
      <c r="W299" s="1">
        <f t="shared" si="104"/>
        <v>0</v>
      </c>
      <c r="X299" s="1">
        <f t="shared" si="105"/>
        <v>0</v>
      </c>
      <c r="Y299" s="1">
        <f t="shared" si="106"/>
        <v>1</v>
      </c>
      <c r="Z299" s="1">
        <f t="shared" si="107"/>
        <v>0</v>
      </c>
      <c r="AA299" s="1">
        <f t="shared" si="108"/>
        <v>0</v>
      </c>
      <c r="AC299" s="1">
        <f t="shared" si="109"/>
        <v>0</v>
      </c>
      <c r="AD299" s="1">
        <f t="shared" si="110"/>
        <v>0</v>
      </c>
      <c r="AE299" s="1">
        <f t="shared" si="111"/>
        <v>0</v>
      </c>
      <c r="AF299" s="1">
        <f t="shared" si="112"/>
        <v>0</v>
      </c>
      <c r="AG299" s="1">
        <f t="shared" si="113"/>
        <v>0</v>
      </c>
      <c r="AH299" s="1">
        <f t="shared" si="114"/>
        <v>1</v>
      </c>
    </row>
    <row r="300" spans="1:34" ht="14.25" customHeight="1" x14ac:dyDescent="0.25">
      <c r="A300" s="47">
        <v>0</v>
      </c>
      <c r="B300" s="47">
        <v>2</v>
      </c>
      <c r="C300" s="47">
        <v>2</v>
      </c>
      <c r="D300" s="48" t="s">
        <v>1662</v>
      </c>
      <c r="E300" s="48" t="s">
        <v>1183</v>
      </c>
      <c r="F300" s="48" t="s">
        <v>1696</v>
      </c>
      <c r="G300" s="48" t="s">
        <v>192</v>
      </c>
      <c r="H300" s="48" t="s">
        <v>358</v>
      </c>
      <c r="I300" s="47" t="s">
        <v>1623</v>
      </c>
      <c r="J300" s="47">
        <v>99</v>
      </c>
      <c r="K300" s="49" t="s">
        <v>721</v>
      </c>
      <c r="L300" s="49" t="s">
        <v>704</v>
      </c>
      <c r="M300" s="50" t="s">
        <v>1624</v>
      </c>
      <c r="N300" s="50" t="s">
        <v>1754</v>
      </c>
      <c r="O300" s="51"/>
      <c r="P300" s="51"/>
      <c r="R300" s="1">
        <f t="shared" si="99"/>
        <v>0</v>
      </c>
      <c r="S300" s="1">
        <f t="shared" si="100"/>
        <v>0</v>
      </c>
      <c r="T300" s="1">
        <f t="shared" si="101"/>
        <v>0</v>
      </c>
      <c r="U300" s="1">
        <f t="shared" si="102"/>
        <v>0</v>
      </c>
      <c r="V300" s="1">
        <f t="shared" si="103"/>
        <v>0</v>
      </c>
      <c r="W300" s="1">
        <f t="shared" si="104"/>
        <v>0</v>
      </c>
      <c r="X300" s="1">
        <f t="shared" si="105"/>
        <v>0</v>
      </c>
      <c r="Y300" s="1">
        <f t="shared" si="106"/>
        <v>0</v>
      </c>
      <c r="Z300" s="1">
        <f t="shared" si="107"/>
        <v>0</v>
      </c>
      <c r="AA300" s="1">
        <f t="shared" si="108"/>
        <v>0</v>
      </c>
      <c r="AC300" s="1">
        <f t="shared" si="109"/>
        <v>0</v>
      </c>
      <c r="AD300" s="1">
        <f t="shared" si="110"/>
        <v>0</v>
      </c>
      <c r="AE300" s="1">
        <f t="shared" si="111"/>
        <v>0</v>
      </c>
      <c r="AF300" s="1">
        <f t="shared" si="112"/>
        <v>0</v>
      </c>
      <c r="AG300" s="1">
        <f t="shared" si="113"/>
        <v>0</v>
      </c>
      <c r="AH300" s="1">
        <f t="shared" si="114"/>
        <v>1</v>
      </c>
    </row>
    <row r="301" spans="1:34" ht="14.25" customHeight="1" x14ac:dyDescent="0.25">
      <c r="A301" s="52">
        <v>0</v>
      </c>
      <c r="B301" s="52">
        <v>2</v>
      </c>
      <c r="C301" s="52">
        <v>2</v>
      </c>
      <c r="D301" s="53" t="s">
        <v>65</v>
      </c>
      <c r="E301" s="53" t="s">
        <v>166</v>
      </c>
      <c r="F301" s="53" t="s">
        <v>245</v>
      </c>
      <c r="G301" s="53" t="s">
        <v>202</v>
      </c>
      <c r="H301" s="53" t="s">
        <v>358</v>
      </c>
      <c r="I301" s="52" t="s">
        <v>411</v>
      </c>
      <c r="J301" s="52">
        <v>2</v>
      </c>
      <c r="K301" s="54" t="s">
        <v>963</v>
      </c>
      <c r="L301" s="54" t="s">
        <v>704</v>
      </c>
      <c r="M301" s="55" t="s">
        <v>723</v>
      </c>
      <c r="N301" s="55" t="s">
        <v>1759</v>
      </c>
      <c r="O301" s="56">
        <v>1</v>
      </c>
      <c r="P301" s="56"/>
      <c r="R301" s="1">
        <f t="shared" si="99"/>
        <v>0</v>
      </c>
      <c r="S301" s="1">
        <f t="shared" si="100"/>
        <v>1</v>
      </c>
      <c r="T301" s="1">
        <f t="shared" si="101"/>
        <v>0</v>
      </c>
      <c r="U301" s="1">
        <f t="shared" si="102"/>
        <v>0</v>
      </c>
      <c r="V301" s="1">
        <f t="shared" si="103"/>
        <v>0</v>
      </c>
      <c r="W301" s="1">
        <f t="shared" si="104"/>
        <v>0</v>
      </c>
      <c r="X301" s="1">
        <f t="shared" si="105"/>
        <v>0</v>
      </c>
      <c r="Y301" s="1">
        <f t="shared" si="106"/>
        <v>0</v>
      </c>
      <c r="Z301" s="1">
        <f t="shared" si="107"/>
        <v>0</v>
      </c>
      <c r="AA301" s="1">
        <f t="shared" si="108"/>
        <v>0</v>
      </c>
      <c r="AC301" s="1">
        <f t="shared" si="109"/>
        <v>0</v>
      </c>
      <c r="AD301" s="1">
        <f t="shared" si="110"/>
        <v>1</v>
      </c>
      <c r="AE301" s="1">
        <f t="shared" si="111"/>
        <v>0</v>
      </c>
      <c r="AF301" s="1">
        <f t="shared" si="112"/>
        <v>1</v>
      </c>
      <c r="AG301" s="1">
        <f t="shared" si="113"/>
        <v>0</v>
      </c>
      <c r="AH301" s="1">
        <f t="shared" si="114"/>
        <v>1</v>
      </c>
    </row>
    <row r="302" spans="1:34" ht="14.25" customHeight="1" x14ac:dyDescent="0.25">
      <c r="A302" s="47">
        <v>0</v>
      </c>
      <c r="B302" s="47">
        <v>2</v>
      </c>
      <c r="C302" s="47">
        <v>2</v>
      </c>
      <c r="D302" s="48" t="s">
        <v>1197</v>
      </c>
      <c r="E302" s="48" t="s">
        <v>1198</v>
      </c>
      <c r="F302" s="48" t="s">
        <v>1363</v>
      </c>
      <c r="G302" s="48" t="s">
        <v>1067</v>
      </c>
      <c r="H302" s="48" t="s">
        <v>358</v>
      </c>
      <c r="I302" s="47" t="s">
        <v>1199</v>
      </c>
      <c r="J302" s="47">
        <v>1</v>
      </c>
      <c r="K302" s="49" t="s">
        <v>720</v>
      </c>
      <c r="L302" s="49" t="s">
        <v>712</v>
      </c>
      <c r="M302" s="50" t="s">
        <v>1427</v>
      </c>
      <c r="N302" s="50" t="s">
        <v>1751</v>
      </c>
      <c r="O302" s="51"/>
      <c r="P302" s="51"/>
      <c r="R302" s="1">
        <f t="shared" si="99"/>
        <v>1</v>
      </c>
      <c r="S302" s="1">
        <f t="shared" si="100"/>
        <v>0</v>
      </c>
      <c r="T302" s="1">
        <f t="shared" si="101"/>
        <v>0</v>
      </c>
      <c r="U302" s="1">
        <f t="shared" si="102"/>
        <v>0</v>
      </c>
      <c r="V302" s="1">
        <f t="shared" si="103"/>
        <v>0</v>
      </c>
      <c r="W302" s="1">
        <f t="shared" si="104"/>
        <v>0</v>
      </c>
      <c r="X302" s="1">
        <f t="shared" si="105"/>
        <v>0</v>
      </c>
      <c r="Y302" s="1">
        <f t="shared" si="106"/>
        <v>0</v>
      </c>
      <c r="Z302" s="1">
        <f t="shared" si="107"/>
        <v>0</v>
      </c>
      <c r="AA302" s="1">
        <f t="shared" si="108"/>
        <v>0</v>
      </c>
      <c r="AC302" s="1">
        <f t="shared" si="109"/>
        <v>0</v>
      </c>
      <c r="AD302" s="1">
        <f t="shared" si="110"/>
        <v>0</v>
      </c>
      <c r="AE302" s="1">
        <f t="shared" si="111"/>
        <v>0</v>
      </c>
      <c r="AF302" s="1">
        <f t="shared" si="112"/>
        <v>0</v>
      </c>
      <c r="AG302" s="1">
        <f t="shared" si="113"/>
        <v>0</v>
      </c>
      <c r="AH302" s="1">
        <f t="shared" si="114"/>
        <v>1</v>
      </c>
    </row>
    <row r="303" spans="1:34" ht="14.25" customHeight="1" x14ac:dyDescent="0.25">
      <c r="A303" s="34">
        <v>0</v>
      </c>
      <c r="B303" s="34">
        <v>2</v>
      </c>
      <c r="C303" s="34">
        <v>2</v>
      </c>
      <c r="D303" s="35" t="s">
        <v>1844</v>
      </c>
      <c r="E303" s="35" t="s">
        <v>1845</v>
      </c>
      <c r="F303" s="35" t="s">
        <v>1846</v>
      </c>
      <c r="G303" s="35" t="s">
        <v>198</v>
      </c>
      <c r="H303" s="35" t="s">
        <v>358</v>
      </c>
      <c r="I303" s="34" t="s">
        <v>1847</v>
      </c>
      <c r="J303" s="34"/>
      <c r="K303" s="36" t="s">
        <v>711</v>
      </c>
      <c r="L303" s="36">
        <v>20</v>
      </c>
      <c r="M303" s="37" t="s">
        <v>1848</v>
      </c>
      <c r="N303" s="37" t="s">
        <v>1764</v>
      </c>
      <c r="O303" s="38">
        <v>1</v>
      </c>
      <c r="P303" s="38"/>
      <c r="R303" s="1">
        <f t="shared" si="99"/>
        <v>0</v>
      </c>
      <c r="S303" s="1">
        <f t="shared" si="100"/>
        <v>0</v>
      </c>
      <c r="T303" s="1">
        <f t="shared" si="101"/>
        <v>0</v>
      </c>
      <c r="U303" s="1">
        <f t="shared" si="102"/>
        <v>0</v>
      </c>
      <c r="V303" s="1">
        <f t="shared" si="103"/>
        <v>0</v>
      </c>
      <c r="W303" s="1">
        <f t="shared" si="104"/>
        <v>0</v>
      </c>
      <c r="X303" s="1">
        <f t="shared" si="105"/>
        <v>0</v>
      </c>
      <c r="Y303" s="1">
        <f t="shared" si="106"/>
        <v>0</v>
      </c>
      <c r="Z303" s="1">
        <f t="shared" si="107"/>
        <v>0</v>
      </c>
      <c r="AA303" s="1">
        <f t="shared" si="108"/>
        <v>0</v>
      </c>
      <c r="AC303" s="1">
        <f t="shared" si="109"/>
        <v>0</v>
      </c>
      <c r="AD303" s="1">
        <f t="shared" si="110"/>
        <v>1</v>
      </c>
      <c r="AE303" s="1">
        <f t="shared" si="111"/>
        <v>0</v>
      </c>
      <c r="AF303" s="1">
        <f t="shared" si="112"/>
        <v>1</v>
      </c>
      <c r="AG303" s="1">
        <f t="shared" si="113"/>
        <v>0</v>
      </c>
      <c r="AH303" s="1">
        <f t="shared" si="114"/>
        <v>1</v>
      </c>
    </row>
    <row r="304" spans="1:34" ht="14.25" customHeight="1" x14ac:dyDescent="0.25">
      <c r="A304" s="15">
        <v>0</v>
      </c>
      <c r="B304" s="15">
        <v>2</v>
      </c>
      <c r="C304" s="15">
        <v>2</v>
      </c>
      <c r="D304" s="16" t="s">
        <v>1592</v>
      </c>
      <c r="E304" s="16" t="s">
        <v>1593</v>
      </c>
      <c r="F304" s="16" t="s">
        <v>1595</v>
      </c>
      <c r="G304" s="16" t="s">
        <v>1596</v>
      </c>
      <c r="H304" s="16" t="s">
        <v>358</v>
      </c>
      <c r="I304" s="15" t="s">
        <v>1594</v>
      </c>
      <c r="J304" s="15">
        <v>99</v>
      </c>
      <c r="K304" s="10" t="s">
        <v>711</v>
      </c>
      <c r="L304" s="10">
        <v>18</v>
      </c>
      <c r="M304" s="19" t="s">
        <v>1597</v>
      </c>
      <c r="N304" s="17"/>
      <c r="R304" s="1">
        <f t="shared" si="99"/>
        <v>0</v>
      </c>
      <c r="S304" s="1">
        <f t="shared" si="100"/>
        <v>0</v>
      </c>
      <c r="T304" s="1">
        <f t="shared" si="101"/>
        <v>0</v>
      </c>
      <c r="U304" s="1">
        <f t="shared" si="102"/>
        <v>0</v>
      </c>
      <c r="V304" s="1">
        <f t="shared" si="103"/>
        <v>0</v>
      </c>
      <c r="W304" s="1">
        <f t="shared" si="104"/>
        <v>0</v>
      </c>
      <c r="X304" s="1">
        <f t="shared" si="105"/>
        <v>0</v>
      </c>
      <c r="Y304" s="1">
        <f t="shared" si="106"/>
        <v>0</v>
      </c>
      <c r="Z304" s="1">
        <f t="shared" si="107"/>
        <v>0</v>
      </c>
      <c r="AA304" s="1">
        <f t="shared" si="108"/>
        <v>0</v>
      </c>
      <c r="AC304" s="1">
        <f t="shared" si="109"/>
        <v>0</v>
      </c>
      <c r="AD304" s="1">
        <f t="shared" si="110"/>
        <v>0</v>
      </c>
      <c r="AE304" s="1">
        <f t="shared" si="111"/>
        <v>0</v>
      </c>
      <c r="AF304" s="1">
        <f t="shared" si="112"/>
        <v>0</v>
      </c>
      <c r="AG304" s="1">
        <f t="shared" si="113"/>
        <v>0</v>
      </c>
      <c r="AH304" s="1">
        <f t="shared" si="114"/>
        <v>1</v>
      </c>
    </row>
    <row r="305" spans="1:34" ht="14.25" customHeight="1" x14ac:dyDescent="0.25">
      <c r="A305" s="52">
        <v>0</v>
      </c>
      <c r="B305" s="52">
        <v>2</v>
      </c>
      <c r="C305" s="52">
        <v>2</v>
      </c>
      <c r="D305" s="53" t="s">
        <v>64</v>
      </c>
      <c r="E305" s="53" t="s">
        <v>33</v>
      </c>
      <c r="F305" s="53" t="s">
        <v>243</v>
      </c>
      <c r="G305" s="53" t="s">
        <v>244</v>
      </c>
      <c r="H305" s="53" t="s">
        <v>358</v>
      </c>
      <c r="I305" s="52" t="s">
        <v>410</v>
      </c>
      <c r="J305" s="52">
        <v>1</v>
      </c>
      <c r="K305" s="54" t="s">
        <v>969</v>
      </c>
      <c r="L305" s="54" t="s">
        <v>724</v>
      </c>
      <c r="M305" s="55" t="s">
        <v>725</v>
      </c>
      <c r="N305" s="55" t="s">
        <v>1759</v>
      </c>
      <c r="O305" s="56">
        <v>1</v>
      </c>
      <c r="P305" s="56"/>
      <c r="R305" s="1">
        <f t="shared" si="99"/>
        <v>1</v>
      </c>
      <c r="S305" s="1">
        <f t="shared" si="100"/>
        <v>0</v>
      </c>
      <c r="T305" s="1">
        <f t="shared" si="101"/>
        <v>0</v>
      </c>
      <c r="U305" s="1">
        <f t="shared" si="102"/>
        <v>0</v>
      </c>
      <c r="V305" s="1">
        <f t="shared" si="103"/>
        <v>0</v>
      </c>
      <c r="W305" s="1">
        <f t="shared" si="104"/>
        <v>0</v>
      </c>
      <c r="X305" s="1">
        <f t="shared" si="105"/>
        <v>0</v>
      </c>
      <c r="Y305" s="1">
        <f t="shared" si="106"/>
        <v>0</v>
      </c>
      <c r="Z305" s="1">
        <f t="shared" si="107"/>
        <v>0</v>
      </c>
      <c r="AA305" s="1">
        <f t="shared" si="108"/>
        <v>0</v>
      </c>
      <c r="AC305" s="1">
        <f t="shared" si="109"/>
        <v>0</v>
      </c>
      <c r="AD305" s="1">
        <f t="shared" si="110"/>
        <v>1</v>
      </c>
      <c r="AE305" s="1">
        <f t="shared" si="111"/>
        <v>0</v>
      </c>
      <c r="AF305" s="1">
        <f t="shared" si="112"/>
        <v>1</v>
      </c>
      <c r="AG305" s="1">
        <f t="shared" si="113"/>
        <v>0</v>
      </c>
      <c r="AH305" s="1">
        <f t="shared" si="114"/>
        <v>1</v>
      </c>
    </row>
    <row r="306" spans="1:34" ht="14.25" customHeight="1" x14ac:dyDescent="0.25">
      <c r="A306" s="52">
        <v>0</v>
      </c>
      <c r="B306" s="52">
        <v>2</v>
      </c>
      <c r="C306" s="52">
        <v>2</v>
      </c>
      <c r="D306" s="53" t="s">
        <v>62</v>
      </c>
      <c r="E306" s="53" t="s">
        <v>1097</v>
      </c>
      <c r="F306" s="53" t="s">
        <v>236</v>
      </c>
      <c r="G306" s="53" t="s">
        <v>237</v>
      </c>
      <c r="H306" s="53" t="s">
        <v>358</v>
      </c>
      <c r="I306" s="52" t="s">
        <v>1380</v>
      </c>
      <c r="J306" s="52">
        <v>99</v>
      </c>
      <c r="K306" s="54" t="s">
        <v>963</v>
      </c>
      <c r="L306" s="54" t="s">
        <v>724</v>
      </c>
      <c r="M306" s="55" t="s">
        <v>726</v>
      </c>
      <c r="N306" s="55" t="s">
        <v>1759</v>
      </c>
      <c r="O306" s="56">
        <v>1</v>
      </c>
      <c r="P306" s="56"/>
      <c r="R306" s="1">
        <f t="shared" si="99"/>
        <v>0</v>
      </c>
      <c r="S306" s="1">
        <f t="shared" si="100"/>
        <v>0</v>
      </c>
      <c r="T306" s="1">
        <f t="shared" si="101"/>
        <v>0</v>
      </c>
      <c r="U306" s="1">
        <f t="shared" si="102"/>
        <v>0</v>
      </c>
      <c r="V306" s="1">
        <f t="shared" si="103"/>
        <v>0</v>
      </c>
      <c r="W306" s="1">
        <f t="shared" si="104"/>
        <v>0</v>
      </c>
      <c r="X306" s="1">
        <f t="shared" si="105"/>
        <v>0</v>
      </c>
      <c r="Y306" s="1">
        <f t="shared" si="106"/>
        <v>0</v>
      </c>
      <c r="Z306" s="1">
        <f t="shared" si="107"/>
        <v>0</v>
      </c>
      <c r="AA306" s="1">
        <f t="shared" si="108"/>
        <v>0</v>
      </c>
      <c r="AC306" s="1">
        <f t="shared" si="109"/>
        <v>0</v>
      </c>
      <c r="AD306" s="1">
        <f t="shared" si="110"/>
        <v>1</v>
      </c>
      <c r="AE306" s="1">
        <f t="shared" si="111"/>
        <v>0</v>
      </c>
      <c r="AF306" s="1">
        <f t="shared" si="112"/>
        <v>1</v>
      </c>
      <c r="AG306" s="1">
        <f t="shared" si="113"/>
        <v>0</v>
      </c>
      <c r="AH306" s="1">
        <f t="shared" si="114"/>
        <v>1</v>
      </c>
    </row>
    <row r="307" spans="1:34" ht="14.25" customHeight="1" x14ac:dyDescent="0.25">
      <c r="A307" s="34">
        <v>0</v>
      </c>
      <c r="B307" s="34">
        <v>2</v>
      </c>
      <c r="C307" s="34">
        <v>2</v>
      </c>
      <c r="D307" s="35" t="s">
        <v>1732</v>
      </c>
      <c r="E307" s="35" t="s">
        <v>1734</v>
      </c>
      <c r="F307" s="35" t="s">
        <v>1733</v>
      </c>
      <c r="G307" s="35"/>
      <c r="H307" s="35" t="s">
        <v>358</v>
      </c>
      <c r="I307" s="34" t="s">
        <v>1735</v>
      </c>
      <c r="J307" s="34"/>
      <c r="K307" s="36" t="s">
        <v>711</v>
      </c>
      <c r="L307" s="36"/>
      <c r="M307" s="37"/>
      <c r="N307" s="37" t="s">
        <v>1743</v>
      </c>
      <c r="O307" s="38">
        <v>1</v>
      </c>
      <c r="P307" s="38">
        <v>1</v>
      </c>
      <c r="R307" s="1">
        <f t="shared" si="99"/>
        <v>0</v>
      </c>
      <c r="S307" s="1">
        <f t="shared" si="100"/>
        <v>0</v>
      </c>
      <c r="T307" s="1">
        <f t="shared" si="101"/>
        <v>0</v>
      </c>
      <c r="U307" s="1">
        <f t="shared" si="102"/>
        <v>0</v>
      </c>
      <c r="V307" s="1">
        <f t="shared" si="103"/>
        <v>0</v>
      </c>
      <c r="W307" s="1">
        <f t="shared" si="104"/>
        <v>0</v>
      </c>
      <c r="X307" s="1">
        <f t="shared" si="105"/>
        <v>0</v>
      </c>
      <c r="Y307" s="1">
        <f t="shared" si="106"/>
        <v>0</v>
      </c>
      <c r="Z307" s="1">
        <f t="shared" si="107"/>
        <v>0</v>
      </c>
      <c r="AA307" s="1">
        <f t="shared" si="108"/>
        <v>0</v>
      </c>
      <c r="AC307" s="1">
        <f t="shared" si="109"/>
        <v>1</v>
      </c>
      <c r="AD307" s="1">
        <f t="shared" si="110"/>
        <v>0</v>
      </c>
      <c r="AE307" s="1">
        <f t="shared" si="111"/>
        <v>1</v>
      </c>
      <c r="AF307" s="1">
        <f t="shared" si="112"/>
        <v>0</v>
      </c>
      <c r="AG307" s="1">
        <f t="shared" si="113"/>
        <v>1</v>
      </c>
      <c r="AH307" s="1">
        <f t="shared" si="114"/>
        <v>0</v>
      </c>
    </row>
    <row r="308" spans="1:34" ht="14.25" customHeight="1" x14ac:dyDescent="0.25">
      <c r="A308" s="47">
        <v>0</v>
      </c>
      <c r="B308" s="47">
        <v>2</v>
      </c>
      <c r="C308" s="47">
        <v>2</v>
      </c>
      <c r="D308" s="48" t="s">
        <v>795</v>
      </c>
      <c r="E308" s="48" t="s">
        <v>917</v>
      </c>
      <c r="F308" s="48" t="s">
        <v>1587</v>
      </c>
      <c r="G308" s="48" t="s">
        <v>232</v>
      </c>
      <c r="H308" s="48" t="s">
        <v>358</v>
      </c>
      <c r="I308" s="47" t="s">
        <v>1710</v>
      </c>
      <c r="J308" s="47">
        <v>7</v>
      </c>
      <c r="K308" s="49" t="s">
        <v>721</v>
      </c>
      <c r="L308" s="49">
        <v>20</v>
      </c>
      <c r="M308" s="50" t="s">
        <v>39</v>
      </c>
      <c r="N308" s="50" t="s">
        <v>1750</v>
      </c>
      <c r="O308" s="51"/>
      <c r="P308" s="51"/>
      <c r="R308" s="1">
        <f t="shared" si="99"/>
        <v>0</v>
      </c>
      <c r="S308" s="1">
        <f t="shared" si="100"/>
        <v>0</v>
      </c>
      <c r="T308" s="1">
        <f t="shared" si="101"/>
        <v>0</v>
      </c>
      <c r="U308" s="1">
        <f t="shared" si="102"/>
        <v>0</v>
      </c>
      <c r="V308" s="1">
        <f t="shared" si="103"/>
        <v>0</v>
      </c>
      <c r="W308" s="1">
        <f t="shared" si="104"/>
        <v>0</v>
      </c>
      <c r="X308" s="1">
        <f t="shared" si="105"/>
        <v>1</v>
      </c>
      <c r="Y308" s="1">
        <f t="shared" si="106"/>
        <v>0</v>
      </c>
      <c r="Z308" s="1">
        <f t="shared" si="107"/>
        <v>0</v>
      </c>
      <c r="AA308" s="1">
        <f t="shared" si="108"/>
        <v>0</v>
      </c>
      <c r="AC308" s="1">
        <f t="shared" si="109"/>
        <v>0</v>
      </c>
      <c r="AD308" s="1">
        <f t="shared" si="110"/>
        <v>0</v>
      </c>
      <c r="AE308" s="1">
        <f t="shared" si="111"/>
        <v>0</v>
      </c>
      <c r="AF308" s="1">
        <f t="shared" si="112"/>
        <v>0</v>
      </c>
      <c r="AG308" s="1">
        <f t="shared" si="113"/>
        <v>0</v>
      </c>
      <c r="AH308" s="1">
        <f t="shared" si="114"/>
        <v>1</v>
      </c>
    </row>
    <row r="309" spans="1:34" ht="14.25" customHeight="1" x14ac:dyDescent="0.25">
      <c r="A309" s="34">
        <v>0</v>
      </c>
      <c r="B309" s="34">
        <v>2</v>
      </c>
      <c r="C309" s="34">
        <v>2</v>
      </c>
      <c r="D309" s="35" t="s">
        <v>860</v>
      </c>
      <c r="E309" s="35" t="s">
        <v>547</v>
      </c>
      <c r="F309" s="35" t="s">
        <v>862</v>
      </c>
      <c r="G309" s="35" t="s">
        <v>222</v>
      </c>
      <c r="H309" s="35" t="s">
        <v>358</v>
      </c>
      <c r="I309" s="34" t="s">
        <v>863</v>
      </c>
      <c r="J309" s="34">
        <v>8</v>
      </c>
      <c r="K309" s="36" t="s">
        <v>721</v>
      </c>
      <c r="L309" s="36" t="s">
        <v>724</v>
      </c>
      <c r="M309" s="37" t="s">
        <v>1428</v>
      </c>
      <c r="N309" s="37" t="s">
        <v>1759</v>
      </c>
      <c r="O309" s="38">
        <v>1</v>
      </c>
      <c r="P309" s="38"/>
      <c r="R309" s="1">
        <f t="shared" si="99"/>
        <v>0</v>
      </c>
      <c r="S309" s="1">
        <f t="shared" si="100"/>
        <v>0</v>
      </c>
      <c r="T309" s="1">
        <f t="shared" si="101"/>
        <v>0</v>
      </c>
      <c r="U309" s="1">
        <f t="shared" si="102"/>
        <v>0</v>
      </c>
      <c r="V309" s="1">
        <f t="shared" si="103"/>
        <v>0</v>
      </c>
      <c r="W309" s="1">
        <f t="shared" si="104"/>
        <v>0</v>
      </c>
      <c r="X309" s="1">
        <f t="shared" si="105"/>
        <v>0</v>
      </c>
      <c r="Y309" s="1">
        <f t="shared" si="106"/>
        <v>1</v>
      </c>
      <c r="Z309" s="1">
        <f t="shared" si="107"/>
        <v>0</v>
      </c>
      <c r="AA309" s="1">
        <f t="shared" si="108"/>
        <v>0</v>
      </c>
      <c r="AC309" s="1">
        <f t="shared" si="109"/>
        <v>0</v>
      </c>
      <c r="AD309" s="1">
        <f t="shared" si="110"/>
        <v>1</v>
      </c>
      <c r="AE309" s="1">
        <f t="shared" si="111"/>
        <v>0</v>
      </c>
      <c r="AF309" s="1">
        <f t="shared" si="112"/>
        <v>1</v>
      </c>
      <c r="AG309" s="1">
        <f t="shared" si="113"/>
        <v>0</v>
      </c>
      <c r="AH309" s="1">
        <f t="shared" si="114"/>
        <v>1</v>
      </c>
    </row>
    <row r="310" spans="1:34" ht="14.25" customHeight="1" x14ac:dyDescent="0.25">
      <c r="A310" s="34">
        <v>1</v>
      </c>
      <c r="B310" s="34">
        <v>2</v>
      </c>
      <c r="C310" s="34">
        <v>2</v>
      </c>
      <c r="D310" s="35" t="s">
        <v>860</v>
      </c>
      <c r="E310" s="35" t="s">
        <v>547</v>
      </c>
      <c r="F310" s="35" t="s">
        <v>1368</v>
      </c>
      <c r="G310" s="35" t="s">
        <v>196</v>
      </c>
      <c r="H310" s="35" t="s">
        <v>358</v>
      </c>
      <c r="I310" s="34" t="s">
        <v>861</v>
      </c>
      <c r="J310" s="34">
        <v>9</v>
      </c>
      <c r="K310" s="36" t="s">
        <v>721</v>
      </c>
      <c r="L310" s="36" t="s">
        <v>724</v>
      </c>
      <c r="M310" s="37" t="s">
        <v>1428</v>
      </c>
      <c r="N310" s="37" t="s">
        <v>1759</v>
      </c>
      <c r="O310" s="38">
        <v>1</v>
      </c>
      <c r="P310" s="38"/>
      <c r="R310" s="1">
        <f t="shared" si="99"/>
        <v>0</v>
      </c>
      <c r="S310" s="1">
        <f t="shared" si="100"/>
        <v>0</v>
      </c>
      <c r="T310" s="1">
        <f t="shared" si="101"/>
        <v>0</v>
      </c>
      <c r="U310" s="1">
        <f t="shared" si="102"/>
        <v>0</v>
      </c>
      <c r="V310" s="1">
        <f t="shared" si="103"/>
        <v>0</v>
      </c>
      <c r="W310" s="1">
        <f t="shared" si="104"/>
        <v>0</v>
      </c>
      <c r="X310" s="1">
        <f t="shared" si="105"/>
        <v>0</v>
      </c>
      <c r="Y310" s="1">
        <f t="shared" si="106"/>
        <v>0</v>
      </c>
      <c r="Z310" s="1">
        <f t="shared" si="107"/>
        <v>1</v>
      </c>
      <c r="AA310" s="1">
        <f t="shared" si="108"/>
        <v>0</v>
      </c>
      <c r="AC310" s="1">
        <f t="shared" si="109"/>
        <v>0</v>
      </c>
      <c r="AD310" s="1">
        <f t="shared" si="110"/>
        <v>1</v>
      </c>
      <c r="AE310" s="1">
        <f t="shared" si="111"/>
        <v>0</v>
      </c>
      <c r="AF310" s="1">
        <f t="shared" si="112"/>
        <v>0</v>
      </c>
      <c r="AG310" s="1">
        <f t="shared" si="113"/>
        <v>0</v>
      </c>
      <c r="AH310" s="1">
        <f t="shared" si="114"/>
        <v>0</v>
      </c>
    </row>
    <row r="311" spans="1:34" ht="14.25" customHeight="1" x14ac:dyDescent="0.25">
      <c r="A311" s="47">
        <v>0</v>
      </c>
      <c r="B311" s="47">
        <v>2</v>
      </c>
      <c r="C311" s="47">
        <v>2</v>
      </c>
      <c r="D311" s="48" t="s">
        <v>926</v>
      </c>
      <c r="E311" s="48" t="s">
        <v>793</v>
      </c>
      <c r="F311" s="48" t="s">
        <v>794</v>
      </c>
      <c r="G311" s="48" t="s">
        <v>232</v>
      </c>
      <c r="H311" s="48" t="s">
        <v>358</v>
      </c>
      <c r="I311" s="47" t="s">
        <v>796</v>
      </c>
      <c r="J311" s="47">
        <v>7</v>
      </c>
      <c r="K311" s="49" t="s">
        <v>720</v>
      </c>
      <c r="L311" s="49">
        <v>15</v>
      </c>
      <c r="M311" s="50" t="s">
        <v>39</v>
      </c>
      <c r="N311" s="50" t="s">
        <v>1751</v>
      </c>
      <c r="O311" s="51"/>
      <c r="P311" s="51"/>
      <c r="R311" s="1">
        <f t="shared" si="99"/>
        <v>0</v>
      </c>
      <c r="S311" s="1">
        <f t="shared" si="100"/>
        <v>0</v>
      </c>
      <c r="T311" s="1">
        <f t="shared" si="101"/>
        <v>0</v>
      </c>
      <c r="U311" s="1">
        <f t="shared" si="102"/>
        <v>0</v>
      </c>
      <c r="V311" s="1">
        <f t="shared" si="103"/>
        <v>0</v>
      </c>
      <c r="W311" s="1">
        <f t="shared" si="104"/>
        <v>0</v>
      </c>
      <c r="X311" s="1">
        <f t="shared" si="105"/>
        <v>1</v>
      </c>
      <c r="Y311" s="1">
        <f t="shared" si="106"/>
        <v>0</v>
      </c>
      <c r="Z311" s="1">
        <f t="shared" si="107"/>
        <v>0</v>
      </c>
      <c r="AA311" s="1">
        <f t="shared" si="108"/>
        <v>0</v>
      </c>
      <c r="AC311" s="1">
        <f t="shared" si="109"/>
        <v>0</v>
      </c>
      <c r="AD311" s="1">
        <f t="shared" si="110"/>
        <v>0</v>
      </c>
      <c r="AE311" s="1">
        <f t="shared" si="111"/>
        <v>0</v>
      </c>
      <c r="AF311" s="1">
        <f t="shared" si="112"/>
        <v>0</v>
      </c>
      <c r="AG311" s="1">
        <f t="shared" si="113"/>
        <v>0</v>
      </c>
      <c r="AH311" s="1">
        <f t="shared" si="114"/>
        <v>1</v>
      </c>
    </row>
    <row r="312" spans="1:34" ht="14.25" customHeight="1" x14ac:dyDescent="0.25">
      <c r="A312" s="47">
        <v>0</v>
      </c>
      <c r="B312" s="47">
        <v>2</v>
      </c>
      <c r="C312" s="47">
        <v>2</v>
      </c>
      <c r="D312" s="48" t="s">
        <v>84</v>
      </c>
      <c r="E312" s="48" t="s">
        <v>159</v>
      </c>
      <c r="F312" s="68" t="s">
        <v>1889</v>
      </c>
      <c r="G312" s="48" t="s">
        <v>211</v>
      </c>
      <c r="H312" s="48" t="s">
        <v>358</v>
      </c>
      <c r="I312" s="47" t="s">
        <v>437</v>
      </c>
      <c r="J312" s="47">
        <v>99</v>
      </c>
      <c r="K312" s="49" t="s">
        <v>962</v>
      </c>
      <c r="L312" s="49" t="s">
        <v>712</v>
      </c>
      <c r="M312" s="50" t="s">
        <v>727</v>
      </c>
      <c r="N312" s="50" t="s">
        <v>1751</v>
      </c>
      <c r="O312" s="51"/>
      <c r="P312" s="51"/>
      <c r="R312" s="1">
        <f t="shared" si="99"/>
        <v>0</v>
      </c>
      <c r="S312" s="1">
        <f t="shared" si="100"/>
        <v>0</v>
      </c>
      <c r="T312" s="1">
        <f t="shared" si="101"/>
        <v>0</v>
      </c>
      <c r="U312" s="1">
        <f t="shared" si="102"/>
        <v>0</v>
      </c>
      <c r="V312" s="1">
        <f t="shared" si="103"/>
        <v>0</v>
      </c>
      <c r="W312" s="1">
        <f t="shared" si="104"/>
        <v>0</v>
      </c>
      <c r="X312" s="1">
        <f t="shared" si="105"/>
        <v>0</v>
      </c>
      <c r="Y312" s="1">
        <f t="shared" si="106"/>
        <v>0</v>
      </c>
      <c r="Z312" s="1">
        <f t="shared" si="107"/>
        <v>0</v>
      </c>
      <c r="AA312" s="1">
        <f t="shared" si="108"/>
        <v>0</v>
      </c>
      <c r="AC312" s="1">
        <f t="shared" si="109"/>
        <v>0</v>
      </c>
      <c r="AD312" s="1">
        <f t="shared" si="110"/>
        <v>0</v>
      </c>
      <c r="AE312" s="1">
        <f t="shared" si="111"/>
        <v>0</v>
      </c>
      <c r="AF312" s="1">
        <f t="shared" si="112"/>
        <v>0</v>
      </c>
      <c r="AG312" s="1">
        <f t="shared" si="113"/>
        <v>0</v>
      </c>
      <c r="AH312" s="1">
        <f t="shared" si="114"/>
        <v>1</v>
      </c>
    </row>
    <row r="313" spans="1:34" ht="14.25" customHeight="1" x14ac:dyDescent="0.25">
      <c r="A313" s="41">
        <v>0</v>
      </c>
      <c r="B313" s="41">
        <v>2</v>
      </c>
      <c r="C313" s="41">
        <v>2</v>
      </c>
      <c r="D313" s="42" t="s">
        <v>1580</v>
      </c>
      <c r="E313" s="42" t="s">
        <v>1349</v>
      </c>
      <c r="F313" s="42" t="s">
        <v>1581</v>
      </c>
      <c r="G313" s="42" t="s">
        <v>1180</v>
      </c>
      <c r="H313" s="42" t="s">
        <v>358</v>
      </c>
      <c r="I313" s="41" t="s">
        <v>1582</v>
      </c>
      <c r="J313" s="41">
        <v>1</v>
      </c>
      <c r="K313" s="43" t="s">
        <v>721</v>
      </c>
      <c r="L313" s="43" t="s">
        <v>39</v>
      </c>
      <c r="M313" s="44" t="s">
        <v>39</v>
      </c>
      <c r="N313" s="45"/>
      <c r="O313" s="46"/>
      <c r="P313" s="46">
        <v>1</v>
      </c>
      <c r="R313" s="1">
        <f t="shared" si="99"/>
        <v>1</v>
      </c>
      <c r="S313" s="1">
        <f t="shared" si="100"/>
        <v>0</v>
      </c>
      <c r="T313" s="1">
        <f t="shared" si="101"/>
        <v>0</v>
      </c>
      <c r="U313" s="1">
        <f t="shared" si="102"/>
        <v>0</v>
      </c>
      <c r="V313" s="1">
        <f t="shared" si="103"/>
        <v>0</v>
      </c>
      <c r="W313" s="1">
        <f t="shared" si="104"/>
        <v>0</v>
      </c>
      <c r="X313" s="1">
        <f t="shared" si="105"/>
        <v>0</v>
      </c>
      <c r="Y313" s="1">
        <f t="shared" si="106"/>
        <v>0</v>
      </c>
      <c r="Z313" s="1">
        <f t="shared" si="107"/>
        <v>0</v>
      </c>
      <c r="AA313" s="1">
        <f t="shared" si="108"/>
        <v>0</v>
      </c>
      <c r="AC313" s="1">
        <f t="shared" si="109"/>
        <v>0</v>
      </c>
      <c r="AD313" s="1">
        <f t="shared" si="110"/>
        <v>0</v>
      </c>
      <c r="AE313" s="1">
        <f t="shared" si="111"/>
        <v>0</v>
      </c>
      <c r="AF313" s="1">
        <f t="shared" si="112"/>
        <v>0</v>
      </c>
      <c r="AG313" s="1">
        <f t="shared" si="113"/>
        <v>1</v>
      </c>
      <c r="AH313" s="1">
        <f t="shared" si="114"/>
        <v>0</v>
      </c>
    </row>
    <row r="314" spans="1:34" ht="14.25" customHeight="1" x14ac:dyDescent="0.25">
      <c r="A314" s="34">
        <v>0</v>
      </c>
      <c r="B314" s="34">
        <v>2</v>
      </c>
      <c r="C314" s="34">
        <v>2</v>
      </c>
      <c r="D314" s="35" t="s">
        <v>1760</v>
      </c>
      <c r="E314" s="35" t="s">
        <v>27</v>
      </c>
      <c r="F314" s="35" t="s">
        <v>1055</v>
      </c>
      <c r="G314" s="35" t="s">
        <v>222</v>
      </c>
      <c r="H314" s="35" t="s">
        <v>358</v>
      </c>
      <c r="I314" s="34" t="s">
        <v>1056</v>
      </c>
      <c r="J314" s="34">
        <v>8</v>
      </c>
      <c r="K314" s="36" t="s">
        <v>721</v>
      </c>
      <c r="L314" s="36">
        <v>25</v>
      </c>
      <c r="M314" s="37" t="s">
        <v>1761</v>
      </c>
      <c r="N314" s="37" t="s">
        <v>1743</v>
      </c>
      <c r="O314" s="38">
        <v>1</v>
      </c>
      <c r="P314" s="38">
        <v>1</v>
      </c>
      <c r="R314" s="1">
        <f t="shared" si="99"/>
        <v>0</v>
      </c>
      <c r="S314" s="1">
        <f t="shared" si="100"/>
        <v>0</v>
      </c>
      <c r="T314" s="1">
        <f t="shared" si="101"/>
        <v>0</v>
      </c>
      <c r="U314" s="1">
        <f t="shared" si="102"/>
        <v>0</v>
      </c>
      <c r="V314" s="1">
        <f t="shared" si="103"/>
        <v>0</v>
      </c>
      <c r="W314" s="1">
        <f t="shared" si="104"/>
        <v>0</v>
      </c>
      <c r="X314" s="1">
        <f t="shared" si="105"/>
        <v>0</v>
      </c>
      <c r="Y314" s="1">
        <f t="shared" si="106"/>
        <v>1</v>
      </c>
      <c r="Z314" s="1">
        <f t="shared" si="107"/>
        <v>0</v>
      </c>
      <c r="AA314" s="1">
        <f t="shared" si="108"/>
        <v>0</v>
      </c>
      <c r="AC314" s="1">
        <f t="shared" si="109"/>
        <v>1</v>
      </c>
      <c r="AD314" s="1">
        <f t="shared" si="110"/>
        <v>0</v>
      </c>
      <c r="AE314" s="1">
        <f t="shared" si="111"/>
        <v>1</v>
      </c>
      <c r="AF314" s="1">
        <f t="shared" si="112"/>
        <v>0</v>
      </c>
      <c r="AG314" s="1">
        <f t="shared" si="113"/>
        <v>1</v>
      </c>
      <c r="AH314" s="1">
        <f t="shared" si="114"/>
        <v>0</v>
      </c>
    </row>
    <row r="315" spans="1:34" ht="14.25" customHeight="1" x14ac:dyDescent="0.25">
      <c r="A315" s="34">
        <v>0</v>
      </c>
      <c r="B315" s="34">
        <v>2</v>
      </c>
      <c r="C315" s="34">
        <v>2</v>
      </c>
      <c r="D315" s="35" t="s">
        <v>45</v>
      </c>
      <c r="E315" s="35" t="s">
        <v>44</v>
      </c>
      <c r="F315" s="35" t="s">
        <v>676</v>
      </c>
      <c r="G315" s="35" t="s">
        <v>182</v>
      </c>
      <c r="H315" s="35" t="s">
        <v>358</v>
      </c>
      <c r="I315" s="34" t="s">
        <v>957</v>
      </c>
      <c r="J315" s="34">
        <v>10</v>
      </c>
      <c r="K315" s="36" t="s">
        <v>721</v>
      </c>
      <c r="L315" s="36" t="s">
        <v>728</v>
      </c>
      <c r="M315" s="37" t="s">
        <v>729</v>
      </c>
      <c r="N315" s="37" t="s">
        <v>1743</v>
      </c>
      <c r="O315" s="38">
        <v>1</v>
      </c>
      <c r="P315" s="38">
        <v>1</v>
      </c>
      <c r="R315" s="1">
        <f t="shared" si="99"/>
        <v>0</v>
      </c>
      <c r="S315" s="1">
        <f t="shared" si="100"/>
        <v>0</v>
      </c>
      <c r="T315" s="1">
        <f t="shared" si="101"/>
        <v>0</v>
      </c>
      <c r="U315" s="1">
        <f t="shared" si="102"/>
        <v>0</v>
      </c>
      <c r="V315" s="1">
        <f t="shared" si="103"/>
        <v>0</v>
      </c>
      <c r="W315" s="1">
        <f t="shared" si="104"/>
        <v>0</v>
      </c>
      <c r="X315" s="1">
        <f t="shared" si="105"/>
        <v>0</v>
      </c>
      <c r="Y315" s="1">
        <f t="shared" si="106"/>
        <v>0</v>
      </c>
      <c r="Z315" s="1">
        <f t="shared" si="107"/>
        <v>0</v>
      </c>
      <c r="AA315" s="1">
        <f t="shared" si="108"/>
        <v>1</v>
      </c>
      <c r="AC315" s="1">
        <f t="shared" si="109"/>
        <v>1</v>
      </c>
      <c r="AD315" s="1">
        <f t="shared" si="110"/>
        <v>0</v>
      </c>
      <c r="AE315" s="1">
        <f t="shared" si="111"/>
        <v>1</v>
      </c>
      <c r="AF315" s="1">
        <f t="shared" si="112"/>
        <v>0</v>
      </c>
      <c r="AG315" s="1">
        <f t="shared" si="113"/>
        <v>1</v>
      </c>
      <c r="AH315" s="1">
        <f t="shared" si="114"/>
        <v>0</v>
      </c>
    </row>
    <row r="316" spans="1:34" ht="14.25" customHeight="1" x14ac:dyDescent="0.25">
      <c r="A316" s="34">
        <v>0</v>
      </c>
      <c r="B316" s="34">
        <v>2</v>
      </c>
      <c r="C316" s="34">
        <v>2</v>
      </c>
      <c r="D316" s="35" t="s">
        <v>1464</v>
      </c>
      <c r="E316" s="35" t="s">
        <v>1669</v>
      </c>
      <c r="F316" s="35" t="s">
        <v>1684</v>
      </c>
      <c r="G316" s="35" t="s">
        <v>232</v>
      </c>
      <c r="H316" s="35" t="s">
        <v>358</v>
      </c>
      <c r="I316" s="34" t="s">
        <v>1465</v>
      </c>
      <c r="J316" s="34">
        <v>99</v>
      </c>
      <c r="K316" s="36" t="s">
        <v>963</v>
      </c>
      <c r="L316" s="36">
        <v>20</v>
      </c>
      <c r="M316" s="37" t="s">
        <v>39</v>
      </c>
      <c r="N316" s="37" t="s">
        <v>1743</v>
      </c>
      <c r="O316" s="38">
        <v>1</v>
      </c>
      <c r="P316" s="38">
        <v>1</v>
      </c>
      <c r="R316" s="1">
        <f t="shared" si="99"/>
        <v>0</v>
      </c>
      <c r="S316" s="1">
        <f t="shared" si="100"/>
        <v>0</v>
      </c>
      <c r="T316" s="1">
        <f t="shared" si="101"/>
        <v>0</v>
      </c>
      <c r="U316" s="1">
        <f t="shared" si="102"/>
        <v>0</v>
      </c>
      <c r="V316" s="1">
        <f t="shared" si="103"/>
        <v>0</v>
      </c>
      <c r="W316" s="1">
        <f t="shared" si="104"/>
        <v>0</v>
      </c>
      <c r="X316" s="1">
        <f t="shared" si="105"/>
        <v>0</v>
      </c>
      <c r="Y316" s="1">
        <f t="shared" si="106"/>
        <v>0</v>
      </c>
      <c r="Z316" s="1">
        <f t="shared" si="107"/>
        <v>0</v>
      </c>
      <c r="AA316" s="1">
        <f t="shared" si="108"/>
        <v>0</v>
      </c>
      <c r="AC316" s="1">
        <f t="shared" si="109"/>
        <v>1</v>
      </c>
      <c r="AD316" s="1">
        <f t="shared" si="110"/>
        <v>0</v>
      </c>
      <c r="AE316" s="1">
        <f t="shared" si="111"/>
        <v>1</v>
      </c>
      <c r="AF316" s="1">
        <f t="shared" si="112"/>
        <v>0</v>
      </c>
      <c r="AG316" s="1">
        <f t="shared" si="113"/>
        <v>1</v>
      </c>
      <c r="AH316" s="1">
        <f t="shared" si="114"/>
        <v>0</v>
      </c>
    </row>
    <row r="317" spans="1:34" ht="14.25" customHeight="1" x14ac:dyDescent="0.25">
      <c r="A317" s="52">
        <v>0</v>
      </c>
      <c r="B317" s="52">
        <v>2</v>
      </c>
      <c r="C317" s="52">
        <v>2</v>
      </c>
      <c r="D317" s="53" t="s">
        <v>612</v>
      </c>
      <c r="E317" s="53" t="s">
        <v>613</v>
      </c>
      <c r="F317" s="53" t="s">
        <v>614</v>
      </c>
      <c r="G317" s="53" t="s">
        <v>259</v>
      </c>
      <c r="H317" s="53" t="s">
        <v>358</v>
      </c>
      <c r="I317" s="52" t="s">
        <v>615</v>
      </c>
      <c r="J317" s="52">
        <v>99</v>
      </c>
      <c r="K317" s="54" t="s">
        <v>963</v>
      </c>
      <c r="L317" s="54" t="s">
        <v>712</v>
      </c>
      <c r="M317" s="55" t="s">
        <v>1429</v>
      </c>
      <c r="N317" s="55" t="s">
        <v>1759</v>
      </c>
      <c r="O317" s="56">
        <v>1</v>
      </c>
      <c r="P317" s="56"/>
      <c r="R317" s="1">
        <f t="shared" si="99"/>
        <v>0</v>
      </c>
      <c r="S317" s="1">
        <f t="shared" si="100"/>
        <v>0</v>
      </c>
      <c r="T317" s="1">
        <f t="shared" si="101"/>
        <v>0</v>
      </c>
      <c r="U317" s="1">
        <f t="shared" si="102"/>
        <v>0</v>
      </c>
      <c r="V317" s="1">
        <f t="shared" si="103"/>
        <v>0</v>
      </c>
      <c r="W317" s="1">
        <f t="shared" si="104"/>
        <v>0</v>
      </c>
      <c r="X317" s="1">
        <f t="shared" si="105"/>
        <v>0</v>
      </c>
      <c r="Y317" s="1">
        <f t="shared" si="106"/>
        <v>0</v>
      </c>
      <c r="Z317" s="1">
        <f t="shared" si="107"/>
        <v>0</v>
      </c>
      <c r="AA317" s="1">
        <f t="shared" si="108"/>
        <v>0</v>
      </c>
      <c r="AC317" s="1">
        <f t="shared" si="109"/>
        <v>0</v>
      </c>
      <c r="AD317" s="1">
        <f t="shared" si="110"/>
        <v>1</v>
      </c>
      <c r="AE317" s="1">
        <f t="shared" si="111"/>
        <v>0</v>
      </c>
      <c r="AF317" s="1">
        <f t="shared" si="112"/>
        <v>1</v>
      </c>
      <c r="AG317" s="1">
        <f t="shared" si="113"/>
        <v>0</v>
      </c>
      <c r="AH317" s="1">
        <f t="shared" si="114"/>
        <v>1</v>
      </c>
    </row>
    <row r="318" spans="1:34" ht="14.25" customHeight="1" x14ac:dyDescent="0.25">
      <c r="A318" s="47">
        <v>0</v>
      </c>
      <c r="B318" s="47">
        <v>2</v>
      </c>
      <c r="C318" s="47">
        <v>2</v>
      </c>
      <c r="D318" s="48" t="s">
        <v>1659</v>
      </c>
      <c r="E318" s="48" t="s">
        <v>1183</v>
      </c>
      <c r="F318" s="48" t="s">
        <v>1690</v>
      </c>
      <c r="G318" s="48" t="s">
        <v>182</v>
      </c>
      <c r="H318" s="48" t="s">
        <v>358</v>
      </c>
      <c r="I318" s="47" t="s">
        <v>1510</v>
      </c>
      <c r="J318" s="47">
        <v>10</v>
      </c>
      <c r="K318" s="49" t="s">
        <v>720</v>
      </c>
      <c r="L318" s="49">
        <v>15</v>
      </c>
      <c r="M318" s="50" t="s">
        <v>39</v>
      </c>
      <c r="N318" s="50" t="s">
        <v>1756</v>
      </c>
      <c r="O318" s="51"/>
      <c r="P318" s="51"/>
      <c r="R318" s="1">
        <f t="shared" si="99"/>
        <v>0</v>
      </c>
      <c r="S318" s="1">
        <f t="shared" si="100"/>
        <v>0</v>
      </c>
      <c r="T318" s="1">
        <f t="shared" si="101"/>
        <v>0</v>
      </c>
      <c r="U318" s="1">
        <f t="shared" si="102"/>
        <v>0</v>
      </c>
      <c r="V318" s="1">
        <f t="shared" si="103"/>
        <v>0</v>
      </c>
      <c r="W318" s="1">
        <f t="shared" si="104"/>
        <v>0</v>
      </c>
      <c r="X318" s="1">
        <f t="shared" si="105"/>
        <v>0</v>
      </c>
      <c r="Y318" s="1">
        <f t="shared" si="106"/>
        <v>0</v>
      </c>
      <c r="Z318" s="1">
        <f t="shared" si="107"/>
        <v>0</v>
      </c>
      <c r="AA318" s="1">
        <f t="shared" si="108"/>
        <v>1</v>
      </c>
      <c r="AC318" s="1">
        <f t="shared" si="109"/>
        <v>0</v>
      </c>
      <c r="AD318" s="1">
        <f t="shared" si="110"/>
        <v>0</v>
      </c>
      <c r="AE318" s="1">
        <f t="shared" si="111"/>
        <v>0</v>
      </c>
      <c r="AF318" s="1">
        <f t="shared" si="112"/>
        <v>0</v>
      </c>
      <c r="AG318" s="1">
        <f t="shared" si="113"/>
        <v>0</v>
      </c>
      <c r="AH318" s="1">
        <f t="shared" si="114"/>
        <v>1</v>
      </c>
    </row>
    <row r="319" spans="1:34" ht="14.25" customHeight="1" x14ac:dyDescent="0.25">
      <c r="A319" s="47">
        <v>0</v>
      </c>
      <c r="B319" s="47">
        <v>2</v>
      </c>
      <c r="C319" s="47">
        <v>2</v>
      </c>
      <c r="D319" s="48" t="s">
        <v>870</v>
      </c>
      <c r="E319" s="48" t="s">
        <v>550</v>
      </c>
      <c r="F319" s="48" t="s">
        <v>871</v>
      </c>
      <c r="G319" s="48" t="s">
        <v>317</v>
      </c>
      <c r="H319" s="48" t="s">
        <v>358</v>
      </c>
      <c r="I319" s="47" t="s">
        <v>872</v>
      </c>
      <c r="J319" s="47">
        <v>1</v>
      </c>
      <c r="K319" s="49" t="s">
        <v>720</v>
      </c>
      <c r="L319" s="49">
        <v>25</v>
      </c>
      <c r="M319" s="50" t="s">
        <v>39</v>
      </c>
      <c r="N319" s="50" t="s">
        <v>1751</v>
      </c>
      <c r="O319" s="51"/>
      <c r="P319" s="51"/>
      <c r="R319" s="1">
        <f t="shared" si="99"/>
        <v>1</v>
      </c>
      <c r="S319" s="1">
        <f t="shared" si="100"/>
        <v>0</v>
      </c>
      <c r="T319" s="1">
        <f t="shared" si="101"/>
        <v>0</v>
      </c>
      <c r="U319" s="1">
        <f t="shared" si="102"/>
        <v>0</v>
      </c>
      <c r="V319" s="1">
        <f t="shared" si="103"/>
        <v>0</v>
      </c>
      <c r="W319" s="1">
        <f t="shared" si="104"/>
        <v>0</v>
      </c>
      <c r="X319" s="1">
        <f t="shared" si="105"/>
        <v>0</v>
      </c>
      <c r="Y319" s="1">
        <f t="shared" si="106"/>
        <v>0</v>
      </c>
      <c r="Z319" s="1">
        <f t="shared" si="107"/>
        <v>0</v>
      </c>
      <c r="AA319" s="1">
        <f t="shared" si="108"/>
        <v>0</v>
      </c>
      <c r="AC319" s="1">
        <f t="shared" si="109"/>
        <v>0</v>
      </c>
      <c r="AD319" s="1">
        <f t="shared" si="110"/>
        <v>0</v>
      </c>
      <c r="AE319" s="1">
        <f t="shared" si="111"/>
        <v>0</v>
      </c>
      <c r="AF319" s="1">
        <f t="shared" si="112"/>
        <v>0</v>
      </c>
      <c r="AG319" s="1">
        <f t="shared" si="113"/>
        <v>0</v>
      </c>
      <c r="AH319" s="1">
        <f t="shared" si="114"/>
        <v>1</v>
      </c>
    </row>
    <row r="320" spans="1:34" ht="14.25" customHeight="1" x14ac:dyDescent="0.25">
      <c r="A320" s="34">
        <v>0</v>
      </c>
      <c r="B320" s="34">
        <v>2</v>
      </c>
      <c r="C320" s="34">
        <v>3</v>
      </c>
      <c r="D320" s="35" t="s">
        <v>574</v>
      </c>
      <c r="E320" s="35" t="s">
        <v>38</v>
      </c>
      <c r="F320" s="35" t="s">
        <v>239</v>
      </c>
      <c r="G320" s="35" t="s">
        <v>545</v>
      </c>
      <c r="H320" s="35" t="s">
        <v>358</v>
      </c>
      <c r="I320" s="34" t="s">
        <v>407</v>
      </c>
      <c r="J320" s="34">
        <v>1</v>
      </c>
      <c r="K320" s="36" t="s">
        <v>720</v>
      </c>
      <c r="L320" s="36" t="s">
        <v>732</v>
      </c>
      <c r="M320" s="37" t="s">
        <v>733</v>
      </c>
      <c r="N320" s="37" t="s">
        <v>1743</v>
      </c>
      <c r="O320" s="38">
        <v>1</v>
      </c>
      <c r="P320" s="38">
        <v>1</v>
      </c>
      <c r="R320" s="1">
        <f t="shared" si="99"/>
        <v>1</v>
      </c>
      <c r="S320" s="1">
        <f t="shared" si="100"/>
        <v>0</v>
      </c>
      <c r="T320" s="1">
        <f t="shared" si="101"/>
        <v>0</v>
      </c>
      <c r="U320" s="1">
        <f t="shared" si="102"/>
        <v>0</v>
      </c>
      <c r="V320" s="1">
        <f t="shared" si="103"/>
        <v>0</v>
      </c>
      <c r="W320" s="1">
        <f t="shared" si="104"/>
        <v>0</v>
      </c>
      <c r="X320" s="1">
        <f t="shared" si="105"/>
        <v>0</v>
      </c>
      <c r="Y320" s="1">
        <f t="shared" si="106"/>
        <v>0</v>
      </c>
      <c r="Z320" s="1">
        <f t="shared" si="107"/>
        <v>0</v>
      </c>
      <c r="AA320" s="1">
        <f t="shared" si="108"/>
        <v>0</v>
      </c>
      <c r="AC320" s="1">
        <f t="shared" si="109"/>
        <v>1</v>
      </c>
      <c r="AD320" s="1">
        <f t="shared" si="110"/>
        <v>0</v>
      </c>
      <c r="AE320" s="1">
        <f t="shared" si="111"/>
        <v>1</v>
      </c>
      <c r="AF320" s="1">
        <f t="shared" si="112"/>
        <v>0</v>
      </c>
      <c r="AG320" s="1">
        <f t="shared" si="113"/>
        <v>1</v>
      </c>
      <c r="AH320" s="1">
        <f t="shared" si="114"/>
        <v>0</v>
      </c>
    </row>
    <row r="321" spans="1:34" ht="14.25" customHeight="1" x14ac:dyDescent="0.25">
      <c r="A321" s="47">
        <v>0</v>
      </c>
      <c r="B321" s="47">
        <v>2</v>
      </c>
      <c r="C321" s="47">
        <v>3</v>
      </c>
      <c r="D321" s="48" t="s">
        <v>858</v>
      </c>
      <c r="E321" s="48" t="s">
        <v>34</v>
      </c>
      <c r="F321" s="48" t="s">
        <v>934</v>
      </c>
      <c r="G321" s="48" t="s">
        <v>644</v>
      </c>
      <c r="H321" s="48" t="s">
        <v>358</v>
      </c>
      <c r="I321" s="47" t="s">
        <v>859</v>
      </c>
      <c r="J321" s="47">
        <v>1</v>
      </c>
      <c r="K321" s="49" t="s">
        <v>962</v>
      </c>
      <c r="L321" s="49" t="s">
        <v>737</v>
      </c>
      <c r="M321" s="50" t="s">
        <v>731</v>
      </c>
      <c r="N321" s="50" t="s">
        <v>1751</v>
      </c>
      <c r="O321" s="51"/>
      <c r="P321" s="51"/>
      <c r="R321" s="1">
        <f t="shared" si="99"/>
        <v>1</v>
      </c>
      <c r="S321" s="1">
        <f t="shared" si="100"/>
        <v>0</v>
      </c>
      <c r="T321" s="1">
        <f t="shared" si="101"/>
        <v>0</v>
      </c>
      <c r="U321" s="1">
        <f t="shared" si="102"/>
        <v>0</v>
      </c>
      <c r="V321" s="1">
        <f t="shared" si="103"/>
        <v>0</v>
      </c>
      <c r="W321" s="1">
        <f t="shared" si="104"/>
        <v>0</v>
      </c>
      <c r="X321" s="1">
        <f t="shared" si="105"/>
        <v>0</v>
      </c>
      <c r="Y321" s="1">
        <f t="shared" si="106"/>
        <v>0</v>
      </c>
      <c r="Z321" s="1">
        <f t="shared" si="107"/>
        <v>0</v>
      </c>
      <c r="AA321" s="1">
        <f t="shared" si="108"/>
        <v>0</v>
      </c>
      <c r="AC321" s="1">
        <f t="shared" si="109"/>
        <v>0</v>
      </c>
      <c r="AD321" s="1">
        <f t="shared" si="110"/>
        <v>0</v>
      </c>
      <c r="AE321" s="1">
        <f t="shared" si="111"/>
        <v>0</v>
      </c>
      <c r="AF321" s="1">
        <f t="shared" si="112"/>
        <v>0</v>
      </c>
      <c r="AG321" s="1">
        <f t="shared" si="113"/>
        <v>0</v>
      </c>
      <c r="AH321" s="1">
        <f t="shared" si="114"/>
        <v>1</v>
      </c>
    </row>
    <row r="322" spans="1:34" ht="14.25" customHeight="1" x14ac:dyDescent="0.25">
      <c r="A322" s="47">
        <v>0</v>
      </c>
      <c r="B322" s="47">
        <v>2</v>
      </c>
      <c r="C322" s="47">
        <v>3</v>
      </c>
      <c r="D322" s="48" t="s">
        <v>801</v>
      </c>
      <c r="E322" s="48" t="s">
        <v>32</v>
      </c>
      <c r="F322" s="48" t="s">
        <v>802</v>
      </c>
      <c r="G322" s="48" t="s">
        <v>253</v>
      </c>
      <c r="H322" s="48" t="s">
        <v>358</v>
      </c>
      <c r="I322" s="47" t="s">
        <v>803</v>
      </c>
      <c r="J322" s="47">
        <v>99</v>
      </c>
      <c r="K322" s="49" t="s">
        <v>721</v>
      </c>
      <c r="L322" s="49" t="s">
        <v>730</v>
      </c>
      <c r="M322" s="50" t="s">
        <v>731</v>
      </c>
      <c r="N322" s="50" t="s">
        <v>1753</v>
      </c>
      <c r="O322" s="51"/>
      <c r="P322" s="51"/>
      <c r="R322" s="1">
        <f t="shared" si="99"/>
        <v>0</v>
      </c>
      <c r="S322" s="1">
        <f t="shared" si="100"/>
        <v>0</v>
      </c>
      <c r="T322" s="1">
        <f t="shared" si="101"/>
        <v>0</v>
      </c>
      <c r="U322" s="1">
        <f t="shared" si="102"/>
        <v>0</v>
      </c>
      <c r="V322" s="1">
        <f t="shared" si="103"/>
        <v>0</v>
      </c>
      <c r="W322" s="1">
        <f t="shared" si="104"/>
        <v>0</v>
      </c>
      <c r="X322" s="1">
        <f t="shared" si="105"/>
        <v>0</v>
      </c>
      <c r="Y322" s="1">
        <f t="shared" si="106"/>
        <v>0</v>
      </c>
      <c r="Z322" s="1">
        <f t="shared" si="107"/>
        <v>0</v>
      </c>
      <c r="AA322" s="1">
        <f t="shared" si="108"/>
        <v>0</v>
      </c>
      <c r="AC322" s="1">
        <f t="shared" si="109"/>
        <v>0</v>
      </c>
      <c r="AD322" s="1">
        <f t="shared" si="110"/>
        <v>0</v>
      </c>
      <c r="AE322" s="1">
        <f t="shared" si="111"/>
        <v>0</v>
      </c>
      <c r="AF322" s="1">
        <f t="shared" si="112"/>
        <v>0</v>
      </c>
      <c r="AG322" s="1">
        <f t="shared" si="113"/>
        <v>0</v>
      </c>
      <c r="AH322" s="1">
        <f t="shared" si="114"/>
        <v>1</v>
      </c>
    </row>
    <row r="323" spans="1:34" ht="14.25" customHeight="1" x14ac:dyDescent="0.25">
      <c r="A323" s="47">
        <v>0</v>
      </c>
      <c r="B323" s="47">
        <v>2</v>
      </c>
      <c r="C323" s="47">
        <v>3</v>
      </c>
      <c r="D323" s="48" t="s">
        <v>56</v>
      </c>
      <c r="E323" s="48" t="s">
        <v>163</v>
      </c>
      <c r="F323" s="48" t="s">
        <v>221</v>
      </c>
      <c r="G323" s="48" t="s">
        <v>198</v>
      </c>
      <c r="H323" s="48" t="s">
        <v>358</v>
      </c>
      <c r="I323" s="47" t="s">
        <v>557</v>
      </c>
      <c r="J323" s="47">
        <v>99</v>
      </c>
      <c r="K323" s="49" t="s">
        <v>721</v>
      </c>
      <c r="L323" s="49" t="s">
        <v>730</v>
      </c>
      <c r="M323" s="50" t="s">
        <v>731</v>
      </c>
      <c r="N323" s="50" t="s">
        <v>1818</v>
      </c>
      <c r="O323" s="51"/>
      <c r="P323" s="51"/>
      <c r="R323" s="1">
        <f t="shared" si="99"/>
        <v>0</v>
      </c>
      <c r="S323" s="1">
        <f t="shared" si="100"/>
        <v>0</v>
      </c>
      <c r="T323" s="1">
        <f t="shared" si="101"/>
        <v>0</v>
      </c>
      <c r="U323" s="1">
        <f t="shared" si="102"/>
        <v>0</v>
      </c>
      <c r="V323" s="1">
        <f t="shared" si="103"/>
        <v>0</v>
      </c>
      <c r="W323" s="1">
        <f t="shared" si="104"/>
        <v>0</v>
      </c>
      <c r="X323" s="1">
        <f t="shared" si="105"/>
        <v>0</v>
      </c>
      <c r="Y323" s="1">
        <f t="shared" si="106"/>
        <v>0</v>
      </c>
      <c r="Z323" s="1">
        <f t="shared" si="107"/>
        <v>0</v>
      </c>
      <c r="AA323" s="1">
        <f t="shared" si="108"/>
        <v>0</v>
      </c>
      <c r="AC323" s="1">
        <f t="shared" si="109"/>
        <v>0</v>
      </c>
      <c r="AD323" s="1">
        <f t="shared" si="110"/>
        <v>0</v>
      </c>
      <c r="AE323" s="1">
        <f t="shared" si="111"/>
        <v>0</v>
      </c>
      <c r="AF323" s="1">
        <f t="shared" si="112"/>
        <v>0</v>
      </c>
      <c r="AG323" s="1">
        <f t="shared" si="113"/>
        <v>0</v>
      </c>
      <c r="AH323" s="1">
        <f t="shared" si="114"/>
        <v>1</v>
      </c>
    </row>
    <row r="324" spans="1:34" ht="14.25" customHeight="1" x14ac:dyDescent="0.25">
      <c r="A324" s="47">
        <v>0</v>
      </c>
      <c r="B324" s="47">
        <v>2</v>
      </c>
      <c r="C324" s="47">
        <v>3</v>
      </c>
      <c r="D324" s="48" t="s">
        <v>1190</v>
      </c>
      <c r="E324" s="48" t="s">
        <v>1350</v>
      </c>
      <c r="F324" s="48" t="s">
        <v>1191</v>
      </c>
      <c r="G324" s="48" t="s">
        <v>305</v>
      </c>
      <c r="H324" s="48" t="s">
        <v>358</v>
      </c>
      <c r="I324" s="47" t="s">
        <v>1192</v>
      </c>
      <c r="J324" s="47">
        <v>1</v>
      </c>
      <c r="K324" s="49" t="s">
        <v>963</v>
      </c>
      <c r="L324" s="49" t="s">
        <v>701</v>
      </c>
      <c r="M324" s="50" t="s">
        <v>1430</v>
      </c>
      <c r="N324" s="50" t="s">
        <v>1751</v>
      </c>
      <c r="O324" s="51"/>
      <c r="P324" s="51"/>
      <c r="R324" s="1">
        <f t="shared" si="99"/>
        <v>1</v>
      </c>
      <c r="S324" s="1">
        <f t="shared" si="100"/>
        <v>0</v>
      </c>
      <c r="T324" s="1">
        <f t="shared" si="101"/>
        <v>0</v>
      </c>
      <c r="U324" s="1">
        <f t="shared" si="102"/>
        <v>0</v>
      </c>
      <c r="V324" s="1">
        <f t="shared" si="103"/>
        <v>0</v>
      </c>
      <c r="W324" s="1">
        <f t="shared" si="104"/>
        <v>0</v>
      </c>
      <c r="X324" s="1">
        <f t="shared" si="105"/>
        <v>0</v>
      </c>
      <c r="Y324" s="1">
        <f t="shared" si="106"/>
        <v>0</v>
      </c>
      <c r="Z324" s="1">
        <f t="shared" si="107"/>
        <v>0</v>
      </c>
      <c r="AA324" s="1">
        <f t="shared" si="108"/>
        <v>0</v>
      </c>
      <c r="AC324" s="1">
        <f t="shared" si="109"/>
        <v>0</v>
      </c>
      <c r="AD324" s="1">
        <f t="shared" si="110"/>
        <v>0</v>
      </c>
      <c r="AE324" s="1">
        <f t="shared" si="111"/>
        <v>0</v>
      </c>
      <c r="AF324" s="1">
        <f t="shared" si="112"/>
        <v>0</v>
      </c>
      <c r="AG324" s="1">
        <f t="shared" si="113"/>
        <v>0</v>
      </c>
      <c r="AH324" s="1">
        <f t="shared" si="114"/>
        <v>1</v>
      </c>
    </row>
    <row r="325" spans="1:34" ht="14.25" customHeight="1" x14ac:dyDescent="0.25">
      <c r="A325" s="47">
        <v>0</v>
      </c>
      <c r="B325" s="47">
        <v>2</v>
      </c>
      <c r="C325" s="47">
        <v>3</v>
      </c>
      <c r="D325" s="48" t="s">
        <v>1187</v>
      </c>
      <c r="E325" s="48" t="s">
        <v>1350</v>
      </c>
      <c r="F325" s="48" t="s">
        <v>1188</v>
      </c>
      <c r="G325" s="48" t="s">
        <v>1067</v>
      </c>
      <c r="H325" s="48" t="s">
        <v>358</v>
      </c>
      <c r="I325" s="47" t="s">
        <v>1189</v>
      </c>
      <c r="J325" s="47">
        <v>1</v>
      </c>
      <c r="K325" s="49" t="s">
        <v>721</v>
      </c>
      <c r="L325" s="49" t="s">
        <v>701</v>
      </c>
      <c r="M325" s="50" t="s">
        <v>1430</v>
      </c>
      <c r="N325" s="50" t="s">
        <v>1751</v>
      </c>
      <c r="O325" s="51"/>
      <c r="P325" s="51"/>
      <c r="R325" s="1">
        <f t="shared" si="99"/>
        <v>1</v>
      </c>
      <c r="S325" s="1">
        <f t="shared" si="100"/>
        <v>0</v>
      </c>
      <c r="T325" s="1">
        <f t="shared" si="101"/>
        <v>0</v>
      </c>
      <c r="U325" s="1">
        <f t="shared" si="102"/>
        <v>0</v>
      </c>
      <c r="V325" s="1">
        <f t="shared" si="103"/>
        <v>0</v>
      </c>
      <c r="W325" s="1">
        <f t="shared" si="104"/>
        <v>0</v>
      </c>
      <c r="X325" s="1">
        <f t="shared" si="105"/>
        <v>0</v>
      </c>
      <c r="Y325" s="1">
        <f t="shared" si="106"/>
        <v>0</v>
      </c>
      <c r="Z325" s="1">
        <f t="shared" si="107"/>
        <v>0</v>
      </c>
      <c r="AA325" s="1">
        <f t="shared" si="108"/>
        <v>0</v>
      </c>
      <c r="AC325" s="1">
        <f t="shared" si="109"/>
        <v>0</v>
      </c>
      <c r="AD325" s="1">
        <f t="shared" si="110"/>
        <v>0</v>
      </c>
      <c r="AE325" s="1">
        <f t="shared" si="111"/>
        <v>0</v>
      </c>
      <c r="AF325" s="1">
        <f t="shared" si="112"/>
        <v>0</v>
      </c>
      <c r="AG325" s="1">
        <f t="shared" si="113"/>
        <v>0</v>
      </c>
      <c r="AH325" s="1">
        <f t="shared" si="114"/>
        <v>1</v>
      </c>
    </row>
    <row r="326" spans="1:34" ht="14.25" customHeight="1" x14ac:dyDescent="0.25">
      <c r="A326" s="34">
        <v>0</v>
      </c>
      <c r="B326" s="34">
        <v>2</v>
      </c>
      <c r="C326" s="34">
        <v>3</v>
      </c>
      <c r="D326" s="35" t="s">
        <v>1309</v>
      </c>
      <c r="E326" s="35" t="s">
        <v>32</v>
      </c>
      <c r="F326" s="35" t="s">
        <v>1310</v>
      </c>
      <c r="G326" s="35" t="s">
        <v>224</v>
      </c>
      <c r="H326" s="35" t="s">
        <v>358</v>
      </c>
      <c r="I326" s="34" t="s">
        <v>1705</v>
      </c>
      <c r="J326" s="34">
        <v>99</v>
      </c>
      <c r="K326" s="36" t="s">
        <v>721</v>
      </c>
      <c r="L326" s="36" t="s">
        <v>724</v>
      </c>
      <c r="M326" s="37" t="s">
        <v>1311</v>
      </c>
      <c r="N326" s="37" t="s">
        <v>1743</v>
      </c>
      <c r="O326" s="38">
        <v>1</v>
      </c>
      <c r="P326" s="38">
        <v>1</v>
      </c>
      <c r="R326" s="1">
        <f t="shared" si="99"/>
        <v>0</v>
      </c>
      <c r="S326" s="1">
        <f t="shared" si="100"/>
        <v>0</v>
      </c>
      <c r="T326" s="1">
        <f t="shared" si="101"/>
        <v>0</v>
      </c>
      <c r="U326" s="1">
        <f t="shared" si="102"/>
        <v>0</v>
      </c>
      <c r="V326" s="1">
        <f t="shared" si="103"/>
        <v>0</v>
      </c>
      <c r="W326" s="1">
        <f t="shared" si="104"/>
        <v>0</v>
      </c>
      <c r="X326" s="1">
        <f t="shared" si="105"/>
        <v>0</v>
      </c>
      <c r="Y326" s="1">
        <f t="shared" si="106"/>
        <v>0</v>
      </c>
      <c r="Z326" s="1">
        <f t="shared" si="107"/>
        <v>0</v>
      </c>
      <c r="AA326" s="1">
        <f t="shared" si="108"/>
        <v>0</v>
      </c>
      <c r="AC326" s="1">
        <f t="shared" si="109"/>
        <v>1</v>
      </c>
      <c r="AD326" s="1">
        <f t="shared" si="110"/>
        <v>0</v>
      </c>
      <c r="AE326" s="1">
        <f t="shared" si="111"/>
        <v>1</v>
      </c>
      <c r="AF326" s="1">
        <f t="shared" si="112"/>
        <v>0</v>
      </c>
      <c r="AG326" s="1">
        <f t="shared" si="113"/>
        <v>1</v>
      </c>
      <c r="AH326" s="1">
        <f t="shared" si="114"/>
        <v>0</v>
      </c>
    </row>
    <row r="327" spans="1:34" ht="14.25" customHeight="1" x14ac:dyDescent="0.25">
      <c r="A327" s="34">
        <v>0</v>
      </c>
      <c r="B327" s="34">
        <v>2</v>
      </c>
      <c r="C327" s="34">
        <v>3</v>
      </c>
      <c r="D327" s="35" t="s">
        <v>769</v>
      </c>
      <c r="E327" s="35" t="s">
        <v>921</v>
      </c>
      <c r="F327" s="35" t="s">
        <v>770</v>
      </c>
      <c r="G327" s="35" t="s">
        <v>222</v>
      </c>
      <c r="H327" s="35" t="s">
        <v>358</v>
      </c>
      <c r="I327" s="34" t="s">
        <v>771</v>
      </c>
      <c r="J327" s="34">
        <v>8</v>
      </c>
      <c r="K327" s="36" t="s">
        <v>963</v>
      </c>
      <c r="L327" s="36" t="s">
        <v>737</v>
      </c>
      <c r="M327" s="37" t="s">
        <v>731</v>
      </c>
      <c r="N327" s="37" t="s">
        <v>1764</v>
      </c>
      <c r="O327" s="38">
        <v>1</v>
      </c>
      <c r="P327" s="38"/>
      <c r="R327" s="1">
        <f t="shared" si="99"/>
        <v>0</v>
      </c>
      <c r="S327" s="1">
        <f t="shared" si="100"/>
        <v>0</v>
      </c>
      <c r="T327" s="1">
        <f t="shared" si="101"/>
        <v>0</v>
      </c>
      <c r="U327" s="1">
        <f t="shared" si="102"/>
        <v>0</v>
      </c>
      <c r="V327" s="1">
        <f t="shared" si="103"/>
        <v>0</v>
      </c>
      <c r="W327" s="1">
        <f t="shared" si="104"/>
        <v>0</v>
      </c>
      <c r="X327" s="1">
        <f t="shared" si="105"/>
        <v>0</v>
      </c>
      <c r="Y327" s="1">
        <f t="shared" si="106"/>
        <v>1</v>
      </c>
      <c r="Z327" s="1">
        <f t="shared" si="107"/>
        <v>0</v>
      </c>
      <c r="AA327" s="1">
        <f t="shared" si="108"/>
        <v>0</v>
      </c>
      <c r="AC327" s="1">
        <f t="shared" si="109"/>
        <v>0</v>
      </c>
      <c r="AD327" s="1">
        <f t="shared" si="110"/>
        <v>1</v>
      </c>
      <c r="AE327" s="1">
        <f t="shared" si="111"/>
        <v>0</v>
      </c>
      <c r="AF327" s="1">
        <f t="shared" si="112"/>
        <v>1</v>
      </c>
      <c r="AG327" s="1">
        <f t="shared" si="113"/>
        <v>0</v>
      </c>
      <c r="AH327" s="1">
        <f t="shared" si="114"/>
        <v>1</v>
      </c>
    </row>
    <row r="328" spans="1:34" ht="14.25" customHeight="1" x14ac:dyDescent="0.25">
      <c r="A328" s="47">
        <v>0</v>
      </c>
      <c r="B328" s="47">
        <v>2</v>
      </c>
      <c r="C328" s="47">
        <v>3</v>
      </c>
      <c r="D328" s="48" t="s">
        <v>1511</v>
      </c>
      <c r="E328" s="48" t="s">
        <v>1512</v>
      </c>
      <c r="F328" s="48" t="s">
        <v>1513</v>
      </c>
      <c r="G328" s="48" t="s">
        <v>240</v>
      </c>
      <c r="H328" s="48" t="s">
        <v>358</v>
      </c>
      <c r="I328" s="47" t="s">
        <v>1514</v>
      </c>
      <c r="J328" s="47">
        <v>4</v>
      </c>
      <c r="K328" s="49" t="s">
        <v>720</v>
      </c>
      <c r="L328" s="49">
        <v>15</v>
      </c>
      <c r="M328" s="50" t="s">
        <v>39</v>
      </c>
      <c r="N328" s="50" t="s">
        <v>1818</v>
      </c>
      <c r="O328" s="51"/>
      <c r="P328" s="51"/>
      <c r="R328" s="1">
        <f t="shared" si="99"/>
        <v>0</v>
      </c>
      <c r="S328" s="1">
        <f t="shared" si="100"/>
        <v>0</v>
      </c>
      <c r="T328" s="1">
        <f t="shared" si="101"/>
        <v>0</v>
      </c>
      <c r="U328" s="1">
        <f t="shared" si="102"/>
        <v>1</v>
      </c>
      <c r="V328" s="1">
        <f t="shared" si="103"/>
        <v>0</v>
      </c>
      <c r="W328" s="1">
        <f t="shared" si="104"/>
        <v>0</v>
      </c>
      <c r="X328" s="1">
        <f t="shared" si="105"/>
        <v>0</v>
      </c>
      <c r="Y328" s="1">
        <f t="shared" si="106"/>
        <v>0</v>
      </c>
      <c r="Z328" s="1">
        <f t="shared" si="107"/>
        <v>0</v>
      </c>
      <c r="AA328" s="1">
        <f t="shared" si="108"/>
        <v>0</v>
      </c>
      <c r="AC328" s="1">
        <f t="shared" si="109"/>
        <v>0</v>
      </c>
      <c r="AD328" s="1">
        <f t="shared" si="110"/>
        <v>0</v>
      </c>
      <c r="AE328" s="1">
        <f t="shared" si="111"/>
        <v>0</v>
      </c>
      <c r="AF328" s="1">
        <f t="shared" si="112"/>
        <v>0</v>
      </c>
      <c r="AG328" s="1">
        <f t="shared" si="113"/>
        <v>0</v>
      </c>
      <c r="AH328" s="1">
        <f t="shared" si="114"/>
        <v>1</v>
      </c>
    </row>
    <row r="329" spans="1:34" ht="14.25" customHeight="1" x14ac:dyDescent="0.25">
      <c r="A329" s="34">
        <v>0</v>
      </c>
      <c r="B329" s="34">
        <v>2</v>
      </c>
      <c r="C329" s="34">
        <v>3</v>
      </c>
      <c r="D329" s="35" t="s">
        <v>1569</v>
      </c>
      <c r="E329" s="35" t="s">
        <v>1570</v>
      </c>
      <c r="F329" s="35" t="s">
        <v>1571</v>
      </c>
      <c r="G329" s="35" t="s">
        <v>1572</v>
      </c>
      <c r="H329" s="35" t="s">
        <v>358</v>
      </c>
      <c r="I329" s="34" t="s">
        <v>1573</v>
      </c>
      <c r="J329" s="34">
        <v>7</v>
      </c>
      <c r="K329" s="36" t="s">
        <v>963</v>
      </c>
      <c r="L329" s="36">
        <v>10</v>
      </c>
      <c r="M329" s="37" t="s">
        <v>39</v>
      </c>
      <c r="N329" s="37" t="s">
        <v>1759</v>
      </c>
      <c r="O329" s="38">
        <v>1</v>
      </c>
      <c r="P329" s="38"/>
      <c r="R329" s="1">
        <f t="shared" si="99"/>
        <v>0</v>
      </c>
      <c r="S329" s="1">
        <f t="shared" si="100"/>
        <v>0</v>
      </c>
      <c r="T329" s="1">
        <f t="shared" si="101"/>
        <v>0</v>
      </c>
      <c r="U329" s="1">
        <f t="shared" si="102"/>
        <v>0</v>
      </c>
      <c r="V329" s="1">
        <f t="shared" si="103"/>
        <v>0</v>
      </c>
      <c r="W329" s="1">
        <f t="shared" si="104"/>
        <v>0</v>
      </c>
      <c r="X329" s="1">
        <f t="shared" si="105"/>
        <v>1</v>
      </c>
      <c r="Y329" s="1">
        <f t="shared" si="106"/>
        <v>0</v>
      </c>
      <c r="Z329" s="1">
        <f t="shared" si="107"/>
        <v>0</v>
      </c>
      <c r="AA329" s="1">
        <f t="shared" si="108"/>
        <v>0</v>
      </c>
      <c r="AC329" s="1">
        <f t="shared" si="109"/>
        <v>0</v>
      </c>
      <c r="AD329" s="1">
        <f t="shared" si="110"/>
        <v>1</v>
      </c>
      <c r="AE329" s="1">
        <f t="shared" si="111"/>
        <v>0</v>
      </c>
      <c r="AF329" s="1">
        <f t="shared" si="112"/>
        <v>1</v>
      </c>
      <c r="AG329" s="1">
        <f t="shared" si="113"/>
        <v>0</v>
      </c>
      <c r="AH329" s="1">
        <f t="shared" si="114"/>
        <v>1</v>
      </c>
    </row>
    <row r="330" spans="1:34" ht="14.25" customHeight="1" x14ac:dyDescent="0.25">
      <c r="A330" s="47">
        <v>0</v>
      </c>
      <c r="B330" s="47">
        <v>2</v>
      </c>
      <c r="C330" s="47">
        <v>3</v>
      </c>
      <c r="D330" s="48" t="s">
        <v>849</v>
      </c>
      <c r="E330" s="48" t="s">
        <v>32</v>
      </c>
      <c r="F330" s="48" t="s">
        <v>851</v>
      </c>
      <c r="G330" s="48" t="s">
        <v>39</v>
      </c>
      <c r="H330" s="48" t="s">
        <v>358</v>
      </c>
      <c r="I330" s="47" t="s">
        <v>850</v>
      </c>
      <c r="J330" s="47">
        <v>1</v>
      </c>
      <c r="K330" s="49" t="s">
        <v>721</v>
      </c>
      <c r="L330" s="49" t="s">
        <v>702</v>
      </c>
      <c r="M330" s="50" t="s">
        <v>1430</v>
      </c>
      <c r="N330" s="50" t="s">
        <v>1751</v>
      </c>
      <c r="O330" s="51"/>
      <c r="P330" s="51"/>
      <c r="R330" s="1">
        <f t="shared" si="99"/>
        <v>1</v>
      </c>
      <c r="S330" s="1">
        <f t="shared" si="100"/>
        <v>0</v>
      </c>
      <c r="T330" s="1">
        <f t="shared" si="101"/>
        <v>0</v>
      </c>
      <c r="U330" s="1">
        <f t="shared" si="102"/>
        <v>0</v>
      </c>
      <c r="V330" s="1">
        <f t="shared" si="103"/>
        <v>0</v>
      </c>
      <c r="W330" s="1">
        <f t="shared" si="104"/>
        <v>0</v>
      </c>
      <c r="X330" s="1">
        <f t="shared" si="105"/>
        <v>0</v>
      </c>
      <c r="Y330" s="1">
        <f t="shared" si="106"/>
        <v>0</v>
      </c>
      <c r="Z330" s="1">
        <f t="shared" si="107"/>
        <v>0</v>
      </c>
      <c r="AA330" s="1">
        <f t="shared" si="108"/>
        <v>0</v>
      </c>
      <c r="AC330" s="1">
        <f t="shared" si="109"/>
        <v>0</v>
      </c>
      <c r="AD330" s="1">
        <f t="shared" si="110"/>
        <v>0</v>
      </c>
      <c r="AE330" s="1">
        <f t="shared" si="111"/>
        <v>0</v>
      </c>
      <c r="AF330" s="1">
        <f t="shared" si="112"/>
        <v>0</v>
      </c>
      <c r="AG330" s="1">
        <f t="shared" si="113"/>
        <v>0</v>
      </c>
      <c r="AH330" s="1">
        <f t="shared" si="114"/>
        <v>1</v>
      </c>
    </row>
    <row r="331" spans="1:34" ht="14.25" customHeight="1" x14ac:dyDescent="0.25">
      <c r="A331" s="15">
        <v>0</v>
      </c>
      <c r="B331" s="15">
        <v>2</v>
      </c>
      <c r="C331" s="15">
        <v>4</v>
      </c>
      <c r="D331" s="16" t="s">
        <v>772</v>
      </c>
      <c r="E331" s="16" t="s">
        <v>773</v>
      </c>
      <c r="F331" s="16" t="s">
        <v>774</v>
      </c>
      <c r="G331" s="16" t="s">
        <v>775</v>
      </c>
      <c r="H331" s="16" t="s">
        <v>358</v>
      </c>
      <c r="I331" s="15" t="s">
        <v>776</v>
      </c>
      <c r="J331" s="15">
        <v>99</v>
      </c>
      <c r="K331" s="10" t="s">
        <v>711</v>
      </c>
      <c r="L331" s="10">
        <v>15</v>
      </c>
      <c r="M331" s="19" t="s">
        <v>777</v>
      </c>
      <c r="N331" s="19"/>
      <c r="R331" s="1">
        <f t="shared" si="99"/>
        <v>0</v>
      </c>
      <c r="S331" s="1">
        <f t="shared" si="100"/>
        <v>0</v>
      </c>
      <c r="T331" s="1">
        <f t="shared" si="101"/>
        <v>0</v>
      </c>
      <c r="U331" s="1">
        <f t="shared" si="102"/>
        <v>0</v>
      </c>
      <c r="V331" s="1">
        <f t="shared" si="103"/>
        <v>0</v>
      </c>
      <c r="W331" s="1">
        <f t="shared" si="104"/>
        <v>0</v>
      </c>
      <c r="X331" s="1">
        <f t="shared" si="105"/>
        <v>0</v>
      </c>
      <c r="Y331" s="1">
        <f t="shared" si="106"/>
        <v>0</v>
      </c>
      <c r="Z331" s="1">
        <f t="shared" si="107"/>
        <v>0</v>
      </c>
      <c r="AA331" s="1">
        <f t="shared" si="108"/>
        <v>0</v>
      </c>
      <c r="AC331" s="1">
        <f t="shared" si="109"/>
        <v>0</v>
      </c>
      <c r="AD331" s="1">
        <f t="shared" si="110"/>
        <v>0</v>
      </c>
      <c r="AE331" s="1">
        <f t="shared" si="111"/>
        <v>0</v>
      </c>
      <c r="AF331" s="1">
        <f t="shared" si="112"/>
        <v>0</v>
      </c>
      <c r="AG331" s="1">
        <f t="shared" si="113"/>
        <v>0</v>
      </c>
      <c r="AH331" s="1">
        <f t="shared" si="114"/>
        <v>1</v>
      </c>
    </row>
    <row r="332" spans="1:34" ht="14.25" customHeight="1" x14ac:dyDescent="0.25">
      <c r="A332" s="47">
        <v>0</v>
      </c>
      <c r="B332" s="47">
        <v>2</v>
      </c>
      <c r="C332" s="47">
        <v>4</v>
      </c>
      <c r="D332" s="48" t="s">
        <v>806</v>
      </c>
      <c r="E332" s="48" t="s">
        <v>916</v>
      </c>
      <c r="F332" s="48" t="s">
        <v>933</v>
      </c>
      <c r="G332" s="48" t="s">
        <v>210</v>
      </c>
      <c r="H332" s="48" t="s">
        <v>358</v>
      </c>
      <c r="I332" s="47" t="s">
        <v>1378</v>
      </c>
      <c r="J332" s="47">
        <v>3</v>
      </c>
      <c r="K332" s="49" t="s">
        <v>711</v>
      </c>
      <c r="L332" s="49">
        <v>20</v>
      </c>
      <c r="M332" s="50" t="s">
        <v>1432</v>
      </c>
      <c r="N332" s="50" t="s">
        <v>1818</v>
      </c>
      <c r="O332" s="51"/>
      <c r="P332" s="51"/>
      <c r="R332" s="1">
        <f t="shared" ref="R332:R395" si="115">IF(J332=$R$7,1,0)</f>
        <v>0</v>
      </c>
      <c r="S332" s="1">
        <f t="shared" ref="S332:S395" si="116">IF(J332=$S$7,1,0)</f>
        <v>0</v>
      </c>
      <c r="T332" s="1">
        <f t="shared" ref="T332:T395" si="117">IF(J332=$T$7,1,0)</f>
        <v>1</v>
      </c>
      <c r="U332" s="1">
        <f t="shared" ref="U332:U395" si="118">IF(J332=$U$7,1,0)</f>
        <v>0</v>
      </c>
      <c r="V332" s="1">
        <f t="shared" ref="V332:V395" si="119">IF(J332=$V$7,1,0)</f>
        <v>0</v>
      </c>
      <c r="W332" s="1">
        <f t="shared" ref="W332:W395" si="120">IF(J332=$W$7,1,0)</f>
        <v>0</v>
      </c>
      <c r="X332" s="1">
        <f t="shared" ref="X332:X395" si="121">IF(J332=$X$7,1,0)</f>
        <v>0</v>
      </c>
      <c r="Y332" s="1">
        <f t="shared" ref="Y332:Y395" si="122">IF(J332=$Y$7,1,0)</f>
        <v>0</v>
      </c>
      <c r="Z332" s="1">
        <f t="shared" ref="Z332:Z395" si="123">IF(J332=$Z$7,1,0)</f>
        <v>0</v>
      </c>
      <c r="AA332" s="1">
        <f t="shared" ref="AA332:AA395" si="124">IF(J332=$AA$7,1,0)</f>
        <v>0</v>
      </c>
      <c r="AC332" s="1">
        <f t="shared" ref="AC332:AC395" si="125">+O332*P332</f>
        <v>0</v>
      </c>
      <c r="AD332" s="1">
        <f t="shared" ref="AD332:AD395" si="126">O332*(1-P332)</f>
        <v>0</v>
      </c>
      <c r="AE332" s="1">
        <f t="shared" ref="AE332:AE395" si="127">+O332*P332*(1-A332)</f>
        <v>0</v>
      </c>
      <c r="AF332" s="1">
        <f t="shared" ref="AF332:AF395" si="128">O332*(1-P332)*(1-A332)</f>
        <v>0</v>
      </c>
      <c r="AG332" s="1">
        <f t="shared" ref="AG332:AG395" si="129">+P332*(1-A332)</f>
        <v>0</v>
      </c>
      <c r="AH332" s="1">
        <f t="shared" ref="AH332:AH395" si="130">+(1-A332)*(1-P332)</f>
        <v>1</v>
      </c>
    </row>
    <row r="333" spans="1:34" ht="14.25" customHeight="1" x14ac:dyDescent="0.25">
      <c r="A333" s="60">
        <v>0</v>
      </c>
      <c r="B333" s="60">
        <v>2</v>
      </c>
      <c r="C333" s="60">
        <v>4</v>
      </c>
      <c r="D333" s="61" t="s">
        <v>573</v>
      </c>
      <c r="E333" s="61" t="s">
        <v>37</v>
      </c>
      <c r="F333" s="61" t="s">
        <v>207</v>
      </c>
      <c r="G333" s="61" t="s">
        <v>39</v>
      </c>
      <c r="H333" s="61" t="s">
        <v>358</v>
      </c>
      <c r="I333" s="60" t="s">
        <v>393</v>
      </c>
      <c r="J333" s="60">
        <v>6</v>
      </c>
      <c r="K333" s="62" t="s">
        <v>711</v>
      </c>
      <c r="L333" s="62" t="s">
        <v>39</v>
      </c>
      <c r="M333" s="63" t="s">
        <v>39</v>
      </c>
      <c r="N333" s="64"/>
      <c r="O333" s="65"/>
      <c r="P333" s="65"/>
      <c r="R333" s="1">
        <f t="shared" si="115"/>
        <v>0</v>
      </c>
      <c r="S333" s="1">
        <f t="shared" si="116"/>
        <v>0</v>
      </c>
      <c r="T333" s="1">
        <f t="shared" si="117"/>
        <v>0</v>
      </c>
      <c r="U333" s="1">
        <f t="shared" si="118"/>
        <v>0</v>
      </c>
      <c r="V333" s="1">
        <f t="shared" si="119"/>
        <v>0</v>
      </c>
      <c r="W333" s="1">
        <f t="shared" si="120"/>
        <v>1</v>
      </c>
      <c r="X333" s="1">
        <f t="shared" si="121"/>
        <v>0</v>
      </c>
      <c r="Y333" s="1">
        <f t="shared" si="122"/>
        <v>0</v>
      </c>
      <c r="Z333" s="1">
        <f t="shared" si="123"/>
        <v>0</v>
      </c>
      <c r="AA333" s="1">
        <f t="shared" si="124"/>
        <v>0</v>
      </c>
      <c r="AC333" s="1">
        <f t="shared" si="125"/>
        <v>0</v>
      </c>
      <c r="AD333" s="1">
        <f t="shared" si="126"/>
        <v>0</v>
      </c>
      <c r="AE333" s="1">
        <f t="shared" si="127"/>
        <v>0</v>
      </c>
      <c r="AF333" s="1">
        <f t="shared" si="128"/>
        <v>0</v>
      </c>
      <c r="AG333" s="1">
        <f t="shared" si="129"/>
        <v>0</v>
      </c>
      <c r="AH333" s="1">
        <f t="shared" si="130"/>
        <v>1</v>
      </c>
    </row>
    <row r="334" spans="1:34" ht="14.25" customHeight="1" x14ac:dyDescent="0.25">
      <c r="A334" s="47">
        <v>0</v>
      </c>
      <c r="B334" s="47">
        <v>2</v>
      </c>
      <c r="C334" s="47">
        <v>4</v>
      </c>
      <c r="D334" s="48" t="s">
        <v>659</v>
      </c>
      <c r="E334" s="48" t="s">
        <v>918</v>
      </c>
      <c r="F334" s="48" t="s">
        <v>630</v>
      </c>
      <c r="G334" s="48" t="s">
        <v>345</v>
      </c>
      <c r="H334" s="48" t="s">
        <v>358</v>
      </c>
      <c r="I334" s="47" t="s">
        <v>631</v>
      </c>
      <c r="J334" s="47">
        <v>10</v>
      </c>
      <c r="K334" s="49" t="s">
        <v>962</v>
      </c>
      <c r="L334" s="49" t="s">
        <v>712</v>
      </c>
      <c r="M334" s="50" t="s">
        <v>1434</v>
      </c>
      <c r="N334" s="50" t="s">
        <v>1750</v>
      </c>
      <c r="O334" s="51"/>
      <c r="P334" s="51"/>
      <c r="R334" s="1">
        <f t="shared" si="115"/>
        <v>0</v>
      </c>
      <c r="S334" s="1">
        <f t="shared" si="116"/>
        <v>0</v>
      </c>
      <c r="T334" s="1">
        <f t="shared" si="117"/>
        <v>0</v>
      </c>
      <c r="U334" s="1">
        <f t="shared" si="118"/>
        <v>0</v>
      </c>
      <c r="V334" s="1">
        <f t="shared" si="119"/>
        <v>0</v>
      </c>
      <c r="W334" s="1">
        <f t="shared" si="120"/>
        <v>0</v>
      </c>
      <c r="X334" s="1">
        <f t="shared" si="121"/>
        <v>0</v>
      </c>
      <c r="Y334" s="1">
        <f t="shared" si="122"/>
        <v>0</v>
      </c>
      <c r="Z334" s="1">
        <f t="shared" si="123"/>
        <v>0</v>
      </c>
      <c r="AA334" s="1">
        <f t="shared" si="124"/>
        <v>1</v>
      </c>
      <c r="AC334" s="1">
        <f t="shared" si="125"/>
        <v>0</v>
      </c>
      <c r="AD334" s="1">
        <f t="shared" si="126"/>
        <v>0</v>
      </c>
      <c r="AE334" s="1">
        <f t="shared" si="127"/>
        <v>0</v>
      </c>
      <c r="AF334" s="1">
        <f t="shared" si="128"/>
        <v>0</v>
      </c>
      <c r="AG334" s="1">
        <f t="shared" si="129"/>
        <v>0</v>
      </c>
      <c r="AH334" s="1">
        <f t="shared" si="130"/>
        <v>1</v>
      </c>
    </row>
    <row r="335" spans="1:34" ht="14.25" customHeight="1" x14ac:dyDescent="0.25">
      <c r="A335" s="34">
        <v>0</v>
      </c>
      <c r="B335" s="34">
        <v>2</v>
      </c>
      <c r="C335" s="34">
        <v>4</v>
      </c>
      <c r="D335" s="35" t="s">
        <v>76</v>
      </c>
      <c r="E335" s="35" t="s">
        <v>35</v>
      </c>
      <c r="F335" s="35" t="s">
        <v>269</v>
      </c>
      <c r="G335" s="35" t="s">
        <v>215</v>
      </c>
      <c r="H335" s="35" t="s">
        <v>358</v>
      </c>
      <c r="I335" s="34" t="s">
        <v>953</v>
      </c>
      <c r="J335" s="34">
        <v>1</v>
      </c>
      <c r="K335" s="36" t="s">
        <v>721</v>
      </c>
      <c r="L335" s="36" t="s">
        <v>712</v>
      </c>
      <c r="M335" s="37" t="s">
        <v>1435</v>
      </c>
      <c r="N335" s="37" t="s">
        <v>1759</v>
      </c>
      <c r="O335" s="38">
        <v>1</v>
      </c>
      <c r="P335" s="38"/>
      <c r="R335" s="1">
        <f t="shared" si="115"/>
        <v>1</v>
      </c>
      <c r="S335" s="1">
        <f t="shared" si="116"/>
        <v>0</v>
      </c>
      <c r="T335" s="1">
        <f t="shared" si="117"/>
        <v>0</v>
      </c>
      <c r="U335" s="1">
        <f t="shared" si="118"/>
        <v>0</v>
      </c>
      <c r="V335" s="1">
        <f t="shared" si="119"/>
        <v>0</v>
      </c>
      <c r="W335" s="1">
        <f t="shared" si="120"/>
        <v>0</v>
      </c>
      <c r="X335" s="1">
        <f t="shared" si="121"/>
        <v>0</v>
      </c>
      <c r="Y335" s="1">
        <f t="shared" si="122"/>
        <v>0</v>
      </c>
      <c r="Z335" s="1">
        <f t="shared" si="123"/>
        <v>0</v>
      </c>
      <c r="AA335" s="1">
        <f t="shared" si="124"/>
        <v>0</v>
      </c>
      <c r="AC335" s="1">
        <f t="shared" si="125"/>
        <v>0</v>
      </c>
      <c r="AD335" s="1">
        <f t="shared" si="126"/>
        <v>1</v>
      </c>
      <c r="AE335" s="1">
        <f t="shared" si="127"/>
        <v>0</v>
      </c>
      <c r="AF335" s="1">
        <f t="shared" si="128"/>
        <v>1</v>
      </c>
      <c r="AG335" s="1">
        <f t="shared" si="129"/>
        <v>0</v>
      </c>
      <c r="AH335" s="1">
        <f t="shared" si="130"/>
        <v>1</v>
      </c>
    </row>
    <row r="336" spans="1:34" ht="14.25" customHeight="1" x14ac:dyDescent="0.25">
      <c r="A336" s="47">
        <v>0</v>
      </c>
      <c r="B336" s="47">
        <v>2</v>
      </c>
      <c r="C336" s="47">
        <v>4</v>
      </c>
      <c r="D336" s="48" t="s">
        <v>927</v>
      </c>
      <c r="E336" s="48" t="s">
        <v>920</v>
      </c>
      <c r="F336" s="48" t="s">
        <v>790</v>
      </c>
      <c r="G336" s="48" t="s">
        <v>288</v>
      </c>
      <c r="H336" s="48" t="s">
        <v>358</v>
      </c>
      <c r="I336" s="47" t="s">
        <v>954</v>
      </c>
      <c r="J336" s="47">
        <v>4</v>
      </c>
      <c r="K336" s="49" t="s">
        <v>721</v>
      </c>
      <c r="L336" s="49" t="s">
        <v>704</v>
      </c>
      <c r="M336" s="50" t="s">
        <v>1436</v>
      </c>
      <c r="N336" s="50" t="s">
        <v>1750</v>
      </c>
      <c r="O336" s="51"/>
      <c r="P336" s="51"/>
      <c r="R336" s="1">
        <f t="shared" si="115"/>
        <v>0</v>
      </c>
      <c r="S336" s="1">
        <f t="shared" si="116"/>
        <v>0</v>
      </c>
      <c r="T336" s="1">
        <f t="shared" si="117"/>
        <v>0</v>
      </c>
      <c r="U336" s="1">
        <f t="shared" si="118"/>
        <v>1</v>
      </c>
      <c r="V336" s="1">
        <f t="shared" si="119"/>
        <v>0</v>
      </c>
      <c r="W336" s="1">
        <f t="shared" si="120"/>
        <v>0</v>
      </c>
      <c r="X336" s="1">
        <f t="shared" si="121"/>
        <v>0</v>
      </c>
      <c r="Y336" s="1">
        <f t="shared" si="122"/>
        <v>0</v>
      </c>
      <c r="Z336" s="1">
        <f t="shared" si="123"/>
        <v>0</v>
      </c>
      <c r="AA336" s="1">
        <f t="shared" si="124"/>
        <v>0</v>
      </c>
      <c r="AC336" s="1">
        <f t="shared" si="125"/>
        <v>0</v>
      </c>
      <c r="AD336" s="1">
        <f t="shared" si="126"/>
        <v>0</v>
      </c>
      <c r="AE336" s="1">
        <f t="shared" si="127"/>
        <v>0</v>
      </c>
      <c r="AF336" s="1">
        <f t="shared" si="128"/>
        <v>0</v>
      </c>
      <c r="AG336" s="1">
        <f t="shared" si="129"/>
        <v>0</v>
      </c>
      <c r="AH336" s="1">
        <f t="shared" si="130"/>
        <v>1</v>
      </c>
    </row>
    <row r="337" spans="1:34" ht="14.25" customHeight="1" x14ac:dyDescent="0.25">
      <c r="A337" s="41">
        <v>0</v>
      </c>
      <c r="B337" s="41">
        <v>2</v>
      </c>
      <c r="C337" s="41">
        <v>4</v>
      </c>
      <c r="D337" s="42" t="s">
        <v>1152</v>
      </c>
      <c r="E337" s="42" t="s">
        <v>780</v>
      </c>
      <c r="F337" s="42" t="s">
        <v>1153</v>
      </c>
      <c r="G337" s="42" t="s">
        <v>187</v>
      </c>
      <c r="H337" s="42" t="s">
        <v>358</v>
      </c>
      <c r="I337" s="41" t="s">
        <v>1181</v>
      </c>
      <c r="J337" s="41">
        <v>99</v>
      </c>
      <c r="K337" s="43" t="s">
        <v>721</v>
      </c>
      <c r="L337" s="43" t="s">
        <v>39</v>
      </c>
      <c r="M337" s="44" t="s">
        <v>39</v>
      </c>
      <c r="N337" s="45"/>
      <c r="O337" s="46"/>
      <c r="P337" s="46">
        <v>1</v>
      </c>
      <c r="R337" s="1">
        <f t="shared" si="115"/>
        <v>0</v>
      </c>
      <c r="S337" s="1">
        <f t="shared" si="116"/>
        <v>0</v>
      </c>
      <c r="T337" s="1">
        <f t="shared" si="117"/>
        <v>0</v>
      </c>
      <c r="U337" s="1">
        <f t="shared" si="118"/>
        <v>0</v>
      </c>
      <c r="V337" s="1">
        <f t="shared" si="119"/>
        <v>0</v>
      </c>
      <c r="W337" s="1">
        <f t="shared" si="120"/>
        <v>0</v>
      </c>
      <c r="X337" s="1">
        <f t="shared" si="121"/>
        <v>0</v>
      </c>
      <c r="Y337" s="1">
        <f t="shared" si="122"/>
        <v>0</v>
      </c>
      <c r="Z337" s="1">
        <f t="shared" si="123"/>
        <v>0</v>
      </c>
      <c r="AA337" s="1">
        <f t="shared" si="124"/>
        <v>0</v>
      </c>
      <c r="AC337" s="1">
        <f t="shared" si="125"/>
        <v>0</v>
      </c>
      <c r="AD337" s="1">
        <f t="shared" si="126"/>
        <v>0</v>
      </c>
      <c r="AE337" s="1">
        <f t="shared" si="127"/>
        <v>0</v>
      </c>
      <c r="AF337" s="1">
        <f t="shared" si="128"/>
        <v>0</v>
      </c>
      <c r="AG337" s="1">
        <f t="shared" si="129"/>
        <v>1</v>
      </c>
      <c r="AH337" s="1">
        <f t="shared" si="130"/>
        <v>0</v>
      </c>
    </row>
    <row r="338" spans="1:34" ht="14.25" customHeight="1" x14ac:dyDescent="0.25">
      <c r="A338" s="15">
        <v>0</v>
      </c>
      <c r="B338" s="15">
        <v>2</v>
      </c>
      <c r="C338" s="15">
        <v>4</v>
      </c>
      <c r="D338" s="16" t="s">
        <v>635</v>
      </c>
      <c r="E338" s="16" t="s">
        <v>692</v>
      </c>
      <c r="F338" s="16" t="s">
        <v>677</v>
      </c>
      <c r="G338" s="16" t="s">
        <v>634</v>
      </c>
      <c r="H338" s="16" t="s">
        <v>358</v>
      </c>
      <c r="I338" s="15" t="s">
        <v>636</v>
      </c>
      <c r="J338" s="15">
        <v>99</v>
      </c>
      <c r="K338" s="10" t="s">
        <v>963</v>
      </c>
      <c r="L338" s="10" t="s">
        <v>39</v>
      </c>
      <c r="M338" s="19" t="s">
        <v>39</v>
      </c>
      <c r="N338" s="17"/>
      <c r="R338" s="1">
        <f t="shared" si="115"/>
        <v>0</v>
      </c>
      <c r="S338" s="1">
        <f t="shared" si="116"/>
        <v>0</v>
      </c>
      <c r="T338" s="1">
        <f t="shared" si="117"/>
        <v>0</v>
      </c>
      <c r="U338" s="1">
        <f t="shared" si="118"/>
        <v>0</v>
      </c>
      <c r="V338" s="1">
        <f t="shared" si="119"/>
        <v>0</v>
      </c>
      <c r="W338" s="1">
        <f t="shared" si="120"/>
        <v>0</v>
      </c>
      <c r="X338" s="1">
        <f t="shared" si="121"/>
        <v>0</v>
      </c>
      <c r="Y338" s="1">
        <f t="shared" si="122"/>
        <v>0</v>
      </c>
      <c r="Z338" s="1">
        <f t="shared" si="123"/>
        <v>0</v>
      </c>
      <c r="AA338" s="1">
        <f t="shared" si="124"/>
        <v>0</v>
      </c>
      <c r="AC338" s="1">
        <f t="shared" si="125"/>
        <v>0</v>
      </c>
      <c r="AD338" s="1">
        <f t="shared" si="126"/>
        <v>0</v>
      </c>
      <c r="AE338" s="1">
        <f t="shared" si="127"/>
        <v>0</v>
      </c>
      <c r="AF338" s="1">
        <f t="shared" si="128"/>
        <v>0</v>
      </c>
      <c r="AG338" s="1">
        <f t="shared" si="129"/>
        <v>0</v>
      </c>
      <c r="AH338" s="1">
        <f t="shared" si="130"/>
        <v>1</v>
      </c>
    </row>
    <row r="339" spans="1:34" ht="14.25" customHeight="1" x14ac:dyDescent="0.25">
      <c r="A339" s="34">
        <v>0</v>
      </c>
      <c r="B339" s="34">
        <v>2</v>
      </c>
      <c r="C339" s="34">
        <v>4</v>
      </c>
      <c r="D339" s="35" t="s">
        <v>85</v>
      </c>
      <c r="E339" s="35" t="s">
        <v>35</v>
      </c>
      <c r="F339" s="35" t="s">
        <v>280</v>
      </c>
      <c r="G339" s="35" t="s">
        <v>226</v>
      </c>
      <c r="H339" s="35" t="s">
        <v>358</v>
      </c>
      <c r="I339" s="34" t="s">
        <v>438</v>
      </c>
      <c r="J339" s="34">
        <v>99</v>
      </c>
      <c r="K339" s="36" t="s">
        <v>962</v>
      </c>
      <c r="L339" s="36" t="s">
        <v>712</v>
      </c>
      <c r="M339" s="37" t="s">
        <v>734</v>
      </c>
      <c r="N339" s="37" t="s">
        <v>1777</v>
      </c>
      <c r="O339" s="38">
        <v>1</v>
      </c>
      <c r="P339" s="38"/>
      <c r="R339" s="1">
        <f t="shared" si="115"/>
        <v>0</v>
      </c>
      <c r="S339" s="1">
        <f t="shared" si="116"/>
        <v>0</v>
      </c>
      <c r="T339" s="1">
        <f t="shared" si="117"/>
        <v>0</v>
      </c>
      <c r="U339" s="1">
        <f t="shared" si="118"/>
        <v>0</v>
      </c>
      <c r="V339" s="1">
        <f t="shared" si="119"/>
        <v>0</v>
      </c>
      <c r="W339" s="1">
        <f t="shared" si="120"/>
        <v>0</v>
      </c>
      <c r="X339" s="1">
        <f t="shared" si="121"/>
        <v>0</v>
      </c>
      <c r="Y339" s="1">
        <f t="shared" si="122"/>
        <v>0</v>
      </c>
      <c r="Z339" s="1">
        <f t="shared" si="123"/>
        <v>0</v>
      </c>
      <c r="AA339" s="1">
        <f t="shared" si="124"/>
        <v>0</v>
      </c>
      <c r="AC339" s="1">
        <f t="shared" si="125"/>
        <v>0</v>
      </c>
      <c r="AD339" s="1">
        <f t="shared" si="126"/>
        <v>1</v>
      </c>
      <c r="AE339" s="1">
        <f t="shared" si="127"/>
        <v>0</v>
      </c>
      <c r="AF339" s="1">
        <f t="shared" si="128"/>
        <v>1</v>
      </c>
      <c r="AG339" s="1">
        <f t="shared" si="129"/>
        <v>0</v>
      </c>
      <c r="AH339" s="1">
        <f t="shared" si="130"/>
        <v>1</v>
      </c>
    </row>
    <row r="340" spans="1:34" ht="14.25" customHeight="1" x14ac:dyDescent="0.25">
      <c r="A340" s="15">
        <v>0</v>
      </c>
      <c r="B340" s="15">
        <v>2</v>
      </c>
      <c r="C340" s="15">
        <v>4</v>
      </c>
      <c r="D340" s="16" t="s">
        <v>887</v>
      </c>
      <c r="E340" s="16" t="s">
        <v>780</v>
      </c>
      <c r="F340" s="16" t="s">
        <v>885</v>
      </c>
      <c r="G340" s="16" t="s">
        <v>282</v>
      </c>
      <c r="H340" s="16" t="s">
        <v>358</v>
      </c>
      <c r="I340" s="15" t="s">
        <v>886</v>
      </c>
      <c r="J340" s="15">
        <v>99</v>
      </c>
      <c r="K340" s="10" t="s">
        <v>711</v>
      </c>
      <c r="L340" s="10">
        <v>25</v>
      </c>
      <c r="M340" s="19" t="s">
        <v>1437</v>
      </c>
      <c r="N340" s="19"/>
      <c r="R340" s="1">
        <f t="shared" si="115"/>
        <v>0</v>
      </c>
      <c r="S340" s="1">
        <f t="shared" si="116"/>
        <v>0</v>
      </c>
      <c r="T340" s="1">
        <f t="shared" si="117"/>
        <v>0</v>
      </c>
      <c r="U340" s="1">
        <f t="shared" si="118"/>
        <v>0</v>
      </c>
      <c r="V340" s="1">
        <f t="shared" si="119"/>
        <v>0</v>
      </c>
      <c r="W340" s="1">
        <f t="shared" si="120"/>
        <v>0</v>
      </c>
      <c r="X340" s="1">
        <f t="shared" si="121"/>
        <v>0</v>
      </c>
      <c r="Y340" s="1">
        <f t="shared" si="122"/>
        <v>0</v>
      </c>
      <c r="Z340" s="1">
        <f t="shared" si="123"/>
        <v>0</v>
      </c>
      <c r="AA340" s="1">
        <f t="shared" si="124"/>
        <v>0</v>
      </c>
      <c r="AC340" s="1">
        <f t="shared" si="125"/>
        <v>0</v>
      </c>
      <c r="AD340" s="1">
        <f t="shared" si="126"/>
        <v>0</v>
      </c>
      <c r="AE340" s="1">
        <f t="shared" si="127"/>
        <v>0</v>
      </c>
      <c r="AF340" s="1">
        <f t="shared" si="128"/>
        <v>0</v>
      </c>
      <c r="AG340" s="1">
        <f t="shared" si="129"/>
        <v>0</v>
      </c>
      <c r="AH340" s="1">
        <f t="shared" si="130"/>
        <v>1</v>
      </c>
    </row>
    <row r="341" spans="1:34" ht="14.25" customHeight="1" x14ac:dyDescent="0.25">
      <c r="A341" s="34">
        <v>0</v>
      </c>
      <c r="B341" s="34">
        <v>2</v>
      </c>
      <c r="C341" s="34">
        <v>4</v>
      </c>
      <c r="D341" s="35" t="s">
        <v>930</v>
      </c>
      <c r="E341" s="35" t="s">
        <v>780</v>
      </c>
      <c r="F341" s="35" t="s">
        <v>852</v>
      </c>
      <c r="G341" s="35" t="s">
        <v>211</v>
      </c>
      <c r="H341" s="35" t="s">
        <v>358</v>
      </c>
      <c r="I341" s="34" t="s">
        <v>853</v>
      </c>
      <c r="J341" s="34">
        <v>99</v>
      </c>
      <c r="K341" s="36" t="s">
        <v>720</v>
      </c>
      <c r="L341" s="36" t="s">
        <v>712</v>
      </c>
      <c r="M341" s="37" t="s">
        <v>734</v>
      </c>
      <c r="N341" s="37" t="s">
        <v>1772</v>
      </c>
      <c r="O341" s="38">
        <v>1</v>
      </c>
      <c r="P341" s="38"/>
      <c r="R341" s="1">
        <f t="shared" si="115"/>
        <v>0</v>
      </c>
      <c r="S341" s="1">
        <f t="shared" si="116"/>
        <v>0</v>
      </c>
      <c r="T341" s="1">
        <f t="shared" si="117"/>
        <v>0</v>
      </c>
      <c r="U341" s="1">
        <f t="shared" si="118"/>
        <v>0</v>
      </c>
      <c r="V341" s="1">
        <f t="shared" si="119"/>
        <v>0</v>
      </c>
      <c r="W341" s="1">
        <f t="shared" si="120"/>
        <v>0</v>
      </c>
      <c r="X341" s="1">
        <f t="shared" si="121"/>
        <v>0</v>
      </c>
      <c r="Y341" s="1">
        <f t="shared" si="122"/>
        <v>0</v>
      </c>
      <c r="Z341" s="1">
        <f t="shared" si="123"/>
        <v>0</v>
      </c>
      <c r="AA341" s="1">
        <f t="shared" si="124"/>
        <v>0</v>
      </c>
      <c r="AC341" s="1">
        <f t="shared" si="125"/>
        <v>0</v>
      </c>
      <c r="AD341" s="1">
        <f t="shared" si="126"/>
        <v>1</v>
      </c>
      <c r="AE341" s="1">
        <f t="shared" si="127"/>
        <v>0</v>
      </c>
      <c r="AF341" s="1">
        <f t="shared" si="128"/>
        <v>1</v>
      </c>
      <c r="AG341" s="1">
        <f t="shared" si="129"/>
        <v>0</v>
      </c>
      <c r="AH341" s="1">
        <f t="shared" si="130"/>
        <v>1</v>
      </c>
    </row>
    <row r="342" spans="1:34" ht="14.25" customHeight="1" x14ac:dyDescent="0.25">
      <c r="A342" s="47">
        <v>0</v>
      </c>
      <c r="B342" s="47">
        <v>2</v>
      </c>
      <c r="C342" s="47">
        <v>4</v>
      </c>
      <c r="D342" s="48" t="s">
        <v>1238</v>
      </c>
      <c r="E342" s="48" t="s">
        <v>1237</v>
      </c>
      <c r="F342" s="48" t="s">
        <v>1239</v>
      </c>
      <c r="G342" s="48" t="s">
        <v>541</v>
      </c>
      <c r="H342" s="48" t="s">
        <v>358</v>
      </c>
      <c r="I342" s="47" t="s">
        <v>1240</v>
      </c>
      <c r="J342" s="47">
        <v>99</v>
      </c>
      <c r="K342" s="49" t="s">
        <v>721</v>
      </c>
      <c r="L342" s="49" t="s">
        <v>702</v>
      </c>
      <c r="M342" s="50" t="s">
        <v>1438</v>
      </c>
      <c r="N342" s="50" t="s">
        <v>1763</v>
      </c>
      <c r="O342" s="51"/>
      <c r="P342" s="51"/>
      <c r="R342" s="1">
        <f t="shared" si="115"/>
        <v>0</v>
      </c>
      <c r="S342" s="1">
        <f t="shared" si="116"/>
        <v>0</v>
      </c>
      <c r="T342" s="1">
        <f t="shared" si="117"/>
        <v>0</v>
      </c>
      <c r="U342" s="1">
        <f t="shared" si="118"/>
        <v>0</v>
      </c>
      <c r="V342" s="1">
        <f t="shared" si="119"/>
        <v>0</v>
      </c>
      <c r="W342" s="1">
        <f t="shared" si="120"/>
        <v>0</v>
      </c>
      <c r="X342" s="1">
        <f t="shared" si="121"/>
        <v>0</v>
      </c>
      <c r="Y342" s="1">
        <f t="shared" si="122"/>
        <v>0</v>
      </c>
      <c r="Z342" s="1">
        <f t="shared" si="123"/>
        <v>0</v>
      </c>
      <c r="AA342" s="1">
        <f t="shared" si="124"/>
        <v>0</v>
      </c>
      <c r="AC342" s="1">
        <f t="shared" si="125"/>
        <v>0</v>
      </c>
      <c r="AD342" s="1">
        <f t="shared" si="126"/>
        <v>0</v>
      </c>
      <c r="AE342" s="1">
        <f t="shared" si="127"/>
        <v>0</v>
      </c>
      <c r="AF342" s="1">
        <f t="shared" si="128"/>
        <v>0</v>
      </c>
      <c r="AG342" s="1">
        <f t="shared" si="129"/>
        <v>0</v>
      </c>
      <c r="AH342" s="1">
        <f t="shared" si="130"/>
        <v>1</v>
      </c>
    </row>
    <row r="343" spans="1:34" ht="14.25" customHeight="1" x14ac:dyDescent="0.25">
      <c r="A343" s="34">
        <v>0</v>
      </c>
      <c r="B343" s="34">
        <v>2</v>
      </c>
      <c r="C343" s="34">
        <v>4</v>
      </c>
      <c r="D343" s="35" t="s">
        <v>831</v>
      </c>
      <c r="E343" s="35" t="s">
        <v>596</v>
      </c>
      <c r="F343" s="35" t="s">
        <v>832</v>
      </c>
      <c r="G343" s="35" t="s">
        <v>945</v>
      </c>
      <c r="H343" s="35" t="s">
        <v>358</v>
      </c>
      <c r="I343" s="34" t="s">
        <v>959</v>
      </c>
      <c r="J343" s="34">
        <v>7</v>
      </c>
      <c r="K343" s="36" t="s">
        <v>720</v>
      </c>
      <c r="L343" s="36" t="s">
        <v>39</v>
      </c>
      <c r="M343" s="37" t="s">
        <v>39</v>
      </c>
      <c r="N343" s="37" t="s">
        <v>1743</v>
      </c>
      <c r="O343" s="38">
        <v>1</v>
      </c>
      <c r="P343" s="38">
        <v>1</v>
      </c>
      <c r="R343" s="1">
        <f t="shared" si="115"/>
        <v>0</v>
      </c>
      <c r="S343" s="1">
        <f t="shared" si="116"/>
        <v>0</v>
      </c>
      <c r="T343" s="1">
        <f t="shared" si="117"/>
        <v>0</v>
      </c>
      <c r="U343" s="1">
        <f t="shared" si="118"/>
        <v>0</v>
      </c>
      <c r="V343" s="1">
        <f t="shared" si="119"/>
        <v>0</v>
      </c>
      <c r="W343" s="1">
        <f t="shared" si="120"/>
        <v>0</v>
      </c>
      <c r="X343" s="1">
        <f t="shared" si="121"/>
        <v>1</v>
      </c>
      <c r="Y343" s="1">
        <f t="shared" si="122"/>
        <v>0</v>
      </c>
      <c r="Z343" s="1">
        <f t="shared" si="123"/>
        <v>0</v>
      </c>
      <c r="AA343" s="1">
        <f t="shared" si="124"/>
        <v>0</v>
      </c>
      <c r="AC343" s="1">
        <f t="shared" si="125"/>
        <v>1</v>
      </c>
      <c r="AD343" s="1">
        <f t="shared" si="126"/>
        <v>0</v>
      </c>
      <c r="AE343" s="1">
        <f t="shared" si="127"/>
        <v>1</v>
      </c>
      <c r="AF343" s="1">
        <f t="shared" si="128"/>
        <v>0</v>
      </c>
      <c r="AG343" s="1">
        <f t="shared" si="129"/>
        <v>1</v>
      </c>
      <c r="AH343" s="1">
        <f t="shared" si="130"/>
        <v>0</v>
      </c>
    </row>
    <row r="344" spans="1:34" ht="14.25" customHeight="1" x14ac:dyDescent="0.25">
      <c r="A344" s="47">
        <v>0</v>
      </c>
      <c r="B344" s="47">
        <v>2</v>
      </c>
      <c r="C344" s="47">
        <v>4</v>
      </c>
      <c r="D344" s="48" t="s">
        <v>1621</v>
      </c>
      <c r="E344" s="48" t="s">
        <v>1671</v>
      </c>
      <c r="F344" s="48" t="s">
        <v>1622</v>
      </c>
      <c r="G344" s="48" t="s">
        <v>336</v>
      </c>
      <c r="H344" s="48" t="s">
        <v>358</v>
      </c>
      <c r="I344" s="47" t="s">
        <v>30</v>
      </c>
      <c r="J344" s="47">
        <v>99</v>
      </c>
      <c r="K344" s="49" t="s">
        <v>721</v>
      </c>
      <c r="L344" s="49">
        <v>20</v>
      </c>
      <c r="M344" s="50" t="s">
        <v>39</v>
      </c>
      <c r="N344" s="50" t="s">
        <v>1757</v>
      </c>
      <c r="O344" s="51"/>
      <c r="P344" s="51"/>
      <c r="R344" s="1">
        <f t="shared" si="115"/>
        <v>0</v>
      </c>
      <c r="S344" s="1">
        <f t="shared" si="116"/>
        <v>0</v>
      </c>
      <c r="T344" s="1">
        <f t="shared" si="117"/>
        <v>0</v>
      </c>
      <c r="U344" s="1">
        <f t="shared" si="118"/>
        <v>0</v>
      </c>
      <c r="V344" s="1">
        <f t="shared" si="119"/>
        <v>0</v>
      </c>
      <c r="W344" s="1">
        <f t="shared" si="120"/>
        <v>0</v>
      </c>
      <c r="X344" s="1">
        <f t="shared" si="121"/>
        <v>0</v>
      </c>
      <c r="Y344" s="1">
        <f t="shared" si="122"/>
        <v>0</v>
      </c>
      <c r="Z344" s="1">
        <f t="shared" si="123"/>
        <v>0</v>
      </c>
      <c r="AA344" s="1">
        <f t="shared" si="124"/>
        <v>0</v>
      </c>
      <c r="AC344" s="1">
        <f t="shared" si="125"/>
        <v>0</v>
      </c>
      <c r="AD344" s="1">
        <f t="shared" si="126"/>
        <v>0</v>
      </c>
      <c r="AE344" s="1">
        <f t="shared" si="127"/>
        <v>0</v>
      </c>
      <c r="AF344" s="1">
        <f t="shared" si="128"/>
        <v>0</v>
      </c>
      <c r="AG344" s="1">
        <f t="shared" si="129"/>
        <v>0</v>
      </c>
      <c r="AH344" s="1">
        <f t="shared" si="130"/>
        <v>1</v>
      </c>
    </row>
    <row r="345" spans="1:34" ht="14.25" customHeight="1" x14ac:dyDescent="0.25">
      <c r="A345" s="34">
        <v>0</v>
      </c>
      <c r="B345" s="34">
        <v>2</v>
      </c>
      <c r="C345" s="34">
        <v>5</v>
      </c>
      <c r="D345" s="35" t="s">
        <v>58</v>
      </c>
      <c r="E345" s="35" t="s">
        <v>44</v>
      </c>
      <c r="F345" s="35" t="s">
        <v>678</v>
      </c>
      <c r="G345" s="35" t="s">
        <v>225</v>
      </c>
      <c r="H345" s="35" t="s">
        <v>358</v>
      </c>
      <c r="I345" s="34" t="s">
        <v>401</v>
      </c>
      <c r="J345" s="34">
        <v>8</v>
      </c>
      <c r="K345" s="36" t="s">
        <v>721</v>
      </c>
      <c r="L345" s="36" t="s">
        <v>724</v>
      </c>
      <c r="M345" s="37" t="s">
        <v>1439</v>
      </c>
      <c r="N345" s="37" t="s">
        <v>1764</v>
      </c>
      <c r="O345" s="38">
        <v>1</v>
      </c>
      <c r="P345" s="38"/>
      <c r="R345" s="1">
        <f t="shared" si="115"/>
        <v>0</v>
      </c>
      <c r="S345" s="1">
        <f t="shared" si="116"/>
        <v>0</v>
      </c>
      <c r="T345" s="1">
        <f t="shared" si="117"/>
        <v>0</v>
      </c>
      <c r="U345" s="1">
        <f t="shared" si="118"/>
        <v>0</v>
      </c>
      <c r="V345" s="1">
        <f t="shared" si="119"/>
        <v>0</v>
      </c>
      <c r="W345" s="1">
        <f t="shared" si="120"/>
        <v>0</v>
      </c>
      <c r="X345" s="1">
        <f t="shared" si="121"/>
        <v>0</v>
      </c>
      <c r="Y345" s="1">
        <f t="shared" si="122"/>
        <v>1</v>
      </c>
      <c r="Z345" s="1">
        <f t="shared" si="123"/>
        <v>0</v>
      </c>
      <c r="AA345" s="1">
        <f t="shared" si="124"/>
        <v>0</v>
      </c>
      <c r="AC345" s="1">
        <f t="shared" si="125"/>
        <v>0</v>
      </c>
      <c r="AD345" s="1">
        <f t="shared" si="126"/>
        <v>1</v>
      </c>
      <c r="AE345" s="1">
        <f t="shared" si="127"/>
        <v>0</v>
      </c>
      <c r="AF345" s="1">
        <f t="shared" si="128"/>
        <v>1</v>
      </c>
      <c r="AG345" s="1">
        <f t="shared" si="129"/>
        <v>0</v>
      </c>
      <c r="AH345" s="1">
        <f t="shared" si="130"/>
        <v>1</v>
      </c>
    </row>
    <row r="346" spans="1:34" ht="14.25" customHeight="1" x14ac:dyDescent="0.25">
      <c r="A346" s="47">
        <v>0</v>
      </c>
      <c r="B346" s="47">
        <v>2</v>
      </c>
      <c r="C346" s="47">
        <v>5</v>
      </c>
      <c r="D346" s="48" t="s">
        <v>840</v>
      </c>
      <c r="E346" s="48" t="s">
        <v>839</v>
      </c>
      <c r="F346" s="48" t="s">
        <v>932</v>
      </c>
      <c r="G346" s="48" t="s">
        <v>215</v>
      </c>
      <c r="H346" s="48" t="s">
        <v>358</v>
      </c>
      <c r="I346" s="47" t="s">
        <v>841</v>
      </c>
      <c r="J346" s="47">
        <v>1</v>
      </c>
      <c r="K346" s="49" t="s">
        <v>720</v>
      </c>
      <c r="L346" s="49" t="s">
        <v>701</v>
      </c>
      <c r="M346" s="50" t="s">
        <v>1440</v>
      </c>
      <c r="N346" s="50" t="s">
        <v>1751</v>
      </c>
      <c r="O346" s="51"/>
      <c r="P346" s="51"/>
      <c r="R346" s="1">
        <f t="shared" si="115"/>
        <v>1</v>
      </c>
      <c r="S346" s="1">
        <f t="shared" si="116"/>
        <v>0</v>
      </c>
      <c r="T346" s="1">
        <f t="shared" si="117"/>
        <v>0</v>
      </c>
      <c r="U346" s="1">
        <f t="shared" si="118"/>
        <v>0</v>
      </c>
      <c r="V346" s="1">
        <f t="shared" si="119"/>
        <v>0</v>
      </c>
      <c r="W346" s="1">
        <f t="shared" si="120"/>
        <v>0</v>
      </c>
      <c r="X346" s="1">
        <f t="shared" si="121"/>
        <v>0</v>
      </c>
      <c r="Y346" s="1">
        <f t="shared" si="122"/>
        <v>0</v>
      </c>
      <c r="Z346" s="1">
        <f t="shared" si="123"/>
        <v>0</v>
      </c>
      <c r="AA346" s="1">
        <f t="shared" si="124"/>
        <v>0</v>
      </c>
      <c r="AC346" s="1">
        <f t="shared" si="125"/>
        <v>0</v>
      </c>
      <c r="AD346" s="1">
        <f t="shared" si="126"/>
        <v>0</v>
      </c>
      <c r="AE346" s="1">
        <f t="shared" si="127"/>
        <v>0</v>
      </c>
      <c r="AF346" s="1">
        <f t="shared" si="128"/>
        <v>0</v>
      </c>
      <c r="AG346" s="1">
        <f t="shared" si="129"/>
        <v>0</v>
      </c>
      <c r="AH346" s="1">
        <f t="shared" si="130"/>
        <v>1</v>
      </c>
    </row>
    <row r="347" spans="1:34" ht="14.25" customHeight="1" x14ac:dyDescent="0.25">
      <c r="A347" s="47">
        <v>0</v>
      </c>
      <c r="B347" s="47">
        <v>2</v>
      </c>
      <c r="C347" s="47">
        <v>5</v>
      </c>
      <c r="D347" s="48" t="s">
        <v>65</v>
      </c>
      <c r="E347" s="48" t="s">
        <v>166</v>
      </c>
      <c r="F347" s="48" t="s">
        <v>553</v>
      </c>
      <c r="G347" s="48" t="s">
        <v>196</v>
      </c>
      <c r="H347" s="48" t="s">
        <v>358</v>
      </c>
      <c r="I347" s="47" t="s">
        <v>558</v>
      </c>
      <c r="J347" s="47">
        <v>9</v>
      </c>
      <c r="K347" s="49" t="s">
        <v>721</v>
      </c>
      <c r="L347" s="49" t="s">
        <v>694</v>
      </c>
      <c r="M347" s="50" t="s">
        <v>1459</v>
      </c>
      <c r="N347" s="50" t="s">
        <v>1754</v>
      </c>
      <c r="O347" s="51"/>
      <c r="P347" s="51"/>
      <c r="R347" s="1">
        <f t="shared" si="115"/>
        <v>0</v>
      </c>
      <c r="S347" s="1">
        <f t="shared" si="116"/>
        <v>0</v>
      </c>
      <c r="T347" s="1">
        <f t="shared" si="117"/>
        <v>0</v>
      </c>
      <c r="U347" s="1">
        <f t="shared" si="118"/>
        <v>0</v>
      </c>
      <c r="V347" s="1">
        <f t="shared" si="119"/>
        <v>0</v>
      </c>
      <c r="W347" s="1">
        <f t="shared" si="120"/>
        <v>0</v>
      </c>
      <c r="X347" s="1">
        <f t="shared" si="121"/>
        <v>0</v>
      </c>
      <c r="Y347" s="1">
        <f t="shared" si="122"/>
        <v>0</v>
      </c>
      <c r="Z347" s="1">
        <f t="shared" si="123"/>
        <v>1</v>
      </c>
      <c r="AA347" s="1">
        <f t="shared" si="124"/>
        <v>0</v>
      </c>
      <c r="AC347" s="1">
        <f t="shared" si="125"/>
        <v>0</v>
      </c>
      <c r="AD347" s="1">
        <f t="shared" si="126"/>
        <v>0</v>
      </c>
      <c r="AE347" s="1">
        <f t="shared" si="127"/>
        <v>0</v>
      </c>
      <c r="AF347" s="1">
        <f t="shared" si="128"/>
        <v>0</v>
      </c>
      <c r="AG347" s="1">
        <f t="shared" si="129"/>
        <v>0</v>
      </c>
      <c r="AH347" s="1">
        <f t="shared" si="130"/>
        <v>1</v>
      </c>
    </row>
    <row r="348" spans="1:34" ht="14.25" customHeight="1" x14ac:dyDescent="0.25">
      <c r="A348" s="47">
        <v>0</v>
      </c>
      <c r="B348" s="47">
        <v>2</v>
      </c>
      <c r="C348" s="47">
        <v>5</v>
      </c>
      <c r="D348" s="48" t="s">
        <v>1048</v>
      </c>
      <c r="E348" s="48" t="s">
        <v>780</v>
      </c>
      <c r="F348" s="48" t="s">
        <v>1049</v>
      </c>
      <c r="G348" s="48" t="s">
        <v>224</v>
      </c>
      <c r="H348" s="48" t="s">
        <v>358</v>
      </c>
      <c r="I348" s="47" t="s">
        <v>1050</v>
      </c>
      <c r="J348" s="47">
        <v>99</v>
      </c>
      <c r="K348" s="49" t="s">
        <v>721</v>
      </c>
      <c r="L348" s="49" t="s">
        <v>701</v>
      </c>
      <c r="M348" s="50" t="s">
        <v>1433</v>
      </c>
      <c r="N348" s="50" t="s">
        <v>1754</v>
      </c>
      <c r="O348" s="51"/>
      <c r="P348" s="51"/>
      <c r="R348" s="1">
        <f t="shared" si="115"/>
        <v>0</v>
      </c>
      <c r="S348" s="1">
        <f t="shared" si="116"/>
        <v>0</v>
      </c>
      <c r="T348" s="1">
        <f t="shared" si="117"/>
        <v>0</v>
      </c>
      <c r="U348" s="1">
        <f t="shared" si="118"/>
        <v>0</v>
      </c>
      <c r="V348" s="1">
        <f t="shared" si="119"/>
        <v>0</v>
      </c>
      <c r="W348" s="1">
        <f t="shared" si="120"/>
        <v>0</v>
      </c>
      <c r="X348" s="1">
        <f t="shared" si="121"/>
        <v>0</v>
      </c>
      <c r="Y348" s="1">
        <f t="shared" si="122"/>
        <v>0</v>
      </c>
      <c r="Z348" s="1">
        <f t="shared" si="123"/>
        <v>0</v>
      </c>
      <c r="AA348" s="1">
        <f t="shared" si="124"/>
        <v>0</v>
      </c>
      <c r="AC348" s="1">
        <f t="shared" si="125"/>
        <v>0</v>
      </c>
      <c r="AD348" s="1">
        <f t="shared" si="126"/>
        <v>0</v>
      </c>
      <c r="AE348" s="1">
        <f t="shared" si="127"/>
        <v>0</v>
      </c>
      <c r="AF348" s="1">
        <f t="shared" si="128"/>
        <v>0</v>
      </c>
      <c r="AG348" s="1">
        <f t="shared" si="129"/>
        <v>0</v>
      </c>
      <c r="AH348" s="1">
        <f t="shared" si="130"/>
        <v>1</v>
      </c>
    </row>
    <row r="349" spans="1:34" ht="14.25" customHeight="1" x14ac:dyDescent="0.25">
      <c r="A349" s="47">
        <v>0</v>
      </c>
      <c r="B349" s="47">
        <v>2</v>
      </c>
      <c r="C349" s="47">
        <v>5</v>
      </c>
      <c r="D349" s="48" t="s">
        <v>1502</v>
      </c>
      <c r="E349" s="48" t="s">
        <v>35</v>
      </c>
      <c r="F349" s="68" t="s">
        <v>1890</v>
      </c>
      <c r="G349" s="48" t="s">
        <v>224</v>
      </c>
      <c r="H349" s="48" t="s">
        <v>358</v>
      </c>
      <c r="I349" s="47" t="s">
        <v>1702</v>
      </c>
      <c r="J349" s="47">
        <v>99</v>
      </c>
      <c r="K349" s="49" t="s">
        <v>721</v>
      </c>
      <c r="L349" s="49">
        <v>25</v>
      </c>
      <c r="M349" s="50" t="s">
        <v>39</v>
      </c>
      <c r="N349" s="50" t="s">
        <v>1753</v>
      </c>
      <c r="O349" s="51"/>
      <c r="P349" s="51"/>
      <c r="R349" s="1">
        <f t="shared" si="115"/>
        <v>0</v>
      </c>
      <c r="S349" s="1">
        <f t="shared" si="116"/>
        <v>0</v>
      </c>
      <c r="T349" s="1">
        <f t="shared" si="117"/>
        <v>0</v>
      </c>
      <c r="U349" s="1">
        <f t="shared" si="118"/>
        <v>0</v>
      </c>
      <c r="V349" s="1">
        <f t="shared" si="119"/>
        <v>0</v>
      </c>
      <c r="W349" s="1">
        <f t="shared" si="120"/>
        <v>0</v>
      </c>
      <c r="X349" s="1">
        <f t="shared" si="121"/>
        <v>0</v>
      </c>
      <c r="Y349" s="1">
        <f t="shared" si="122"/>
        <v>0</v>
      </c>
      <c r="Z349" s="1">
        <f t="shared" si="123"/>
        <v>0</v>
      </c>
      <c r="AA349" s="1">
        <f t="shared" si="124"/>
        <v>0</v>
      </c>
      <c r="AC349" s="1">
        <f t="shared" si="125"/>
        <v>0</v>
      </c>
      <c r="AD349" s="1">
        <f t="shared" si="126"/>
        <v>0</v>
      </c>
      <c r="AE349" s="1">
        <f t="shared" si="127"/>
        <v>0</v>
      </c>
      <c r="AF349" s="1">
        <f t="shared" si="128"/>
        <v>0</v>
      </c>
      <c r="AG349" s="1">
        <f t="shared" si="129"/>
        <v>0</v>
      </c>
      <c r="AH349" s="1">
        <f t="shared" si="130"/>
        <v>1</v>
      </c>
    </row>
    <row r="350" spans="1:34" ht="14.25" customHeight="1" x14ac:dyDescent="0.25">
      <c r="A350" s="47">
        <v>0</v>
      </c>
      <c r="B350" s="47">
        <v>2</v>
      </c>
      <c r="C350" s="47">
        <v>5</v>
      </c>
      <c r="D350" s="48" t="s">
        <v>1835</v>
      </c>
      <c r="E350" s="48" t="s">
        <v>780</v>
      </c>
      <c r="F350" s="48" t="s">
        <v>1836</v>
      </c>
      <c r="G350" s="48" t="s">
        <v>226</v>
      </c>
      <c r="H350" s="48" t="s">
        <v>358</v>
      </c>
      <c r="I350" s="47" t="s">
        <v>1837</v>
      </c>
      <c r="J350" s="47">
        <v>99</v>
      </c>
      <c r="K350" s="49" t="s">
        <v>1838</v>
      </c>
      <c r="L350" s="49">
        <v>40</v>
      </c>
      <c r="M350" s="50" t="s">
        <v>1839</v>
      </c>
      <c r="N350" s="50" t="s">
        <v>1825</v>
      </c>
      <c r="O350" s="51"/>
      <c r="P350" s="51"/>
      <c r="R350" s="1">
        <f t="shared" si="115"/>
        <v>0</v>
      </c>
      <c r="S350" s="1">
        <f t="shared" si="116"/>
        <v>0</v>
      </c>
      <c r="T350" s="1">
        <f t="shared" si="117"/>
        <v>0</v>
      </c>
      <c r="U350" s="1">
        <f t="shared" si="118"/>
        <v>0</v>
      </c>
      <c r="V350" s="1">
        <f t="shared" si="119"/>
        <v>0</v>
      </c>
      <c r="W350" s="1">
        <f t="shared" si="120"/>
        <v>0</v>
      </c>
      <c r="X350" s="1">
        <f t="shared" si="121"/>
        <v>0</v>
      </c>
      <c r="Y350" s="1">
        <f t="shared" si="122"/>
        <v>0</v>
      </c>
      <c r="Z350" s="1">
        <f t="shared" si="123"/>
        <v>0</v>
      </c>
      <c r="AA350" s="1">
        <f t="shared" si="124"/>
        <v>0</v>
      </c>
      <c r="AC350" s="1">
        <f t="shared" si="125"/>
        <v>0</v>
      </c>
      <c r="AD350" s="1">
        <f t="shared" si="126"/>
        <v>0</v>
      </c>
      <c r="AE350" s="1">
        <f t="shared" si="127"/>
        <v>0</v>
      </c>
      <c r="AF350" s="1">
        <f t="shared" si="128"/>
        <v>0</v>
      </c>
      <c r="AG350" s="1">
        <f t="shared" si="129"/>
        <v>0</v>
      </c>
      <c r="AH350" s="1">
        <f t="shared" si="130"/>
        <v>1</v>
      </c>
    </row>
    <row r="351" spans="1:34" ht="14.25" customHeight="1" x14ac:dyDescent="0.25">
      <c r="A351" s="34">
        <v>0</v>
      </c>
      <c r="B351" s="34">
        <v>2</v>
      </c>
      <c r="C351" s="34">
        <v>5</v>
      </c>
      <c r="D351" s="35" t="s">
        <v>622</v>
      </c>
      <c r="E351" s="35" t="s">
        <v>693</v>
      </c>
      <c r="F351" s="35" t="s">
        <v>623</v>
      </c>
      <c r="G351" s="35" t="s">
        <v>290</v>
      </c>
      <c r="H351" s="35" t="s">
        <v>358</v>
      </c>
      <c r="I351" s="34" t="s">
        <v>624</v>
      </c>
      <c r="J351" s="34">
        <v>99</v>
      </c>
      <c r="K351" s="36" t="s">
        <v>720</v>
      </c>
      <c r="L351" s="36" t="s">
        <v>712</v>
      </c>
      <c r="M351" s="37" t="s">
        <v>1441</v>
      </c>
      <c r="N351" s="37" t="s">
        <v>1759</v>
      </c>
      <c r="O351" s="38">
        <v>1</v>
      </c>
      <c r="P351" s="38"/>
      <c r="R351" s="1">
        <f t="shared" si="115"/>
        <v>0</v>
      </c>
      <c r="S351" s="1">
        <f t="shared" si="116"/>
        <v>0</v>
      </c>
      <c r="T351" s="1">
        <f t="shared" si="117"/>
        <v>0</v>
      </c>
      <c r="U351" s="1">
        <f t="shared" si="118"/>
        <v>0</v>
      </c>
      <c r="V351" s="1">
        <f t="shared" si="119"/>
        <v>0</v>
      </c>
      <c r="W351" s="1">
        <f t="shared" si="120"/>
        <v>0</v>
      </c>
      <c r="X351" s="1">
        <f t="shared" si="121"/>
        <v>0</v>
      </c>
      <c r="Y351" s="1">
        <f t="shared" si="122"/>
        <v>0</v>
      </c>
      <c r="Z351" s="1">
        <f t="shared" si="123"/>
        <v>0</v>
      </c>
      <c r="AA351" s="1">
        <f t="shared" si="124"/>
        <v>0</v>
      </c>
      <c r="AC351" s="1">
        <f t="shared" si="125"/>
        <v>0</v>
      </c>
      <c r="AD351" s="1">
        <f t="shared" si="126"/>
        <v>1</v>
      </c>
      <c r="AE351" s="1">
        <f t="shared" si="127"/>
        <v>0</v>
      </c>
      <c r="AF351" s="1">
        <f t="shared" si="128"/>
        <v>1</v>
      </c>
      <c r="AG351" s="1">
        <f t="shared" si="129"/>
        <v>0</v>
      </c>
      <c r="AH351" s="1">
        <f t="shared" si="130"/>
        <v>1</v>
      </c>
    </row>
    <row r="352" spans="1:34" ht="14.25" customHeight="1" x14ac:dyDescent="0.25">
      <c r="A352" s="47">
        <v>0</v>
      </c>
      <c r="B352" s="47">
        <v>2</v>
      </c>
      <c r="C352" s="47">
        <v>5</v>
      </c>
      <c r="D352" s="48" t="s">
        <v>1504</v>
      </c>
      <c r="E352" s="48" t="s">
        <v>780</v>
      </c>
      <c r="F352" s="48" t="s">
        <v>1505</v>
      </c>
      <c r="G352" s="48" t="s">
        <v>198</v>
      </c>
      <c r="H352" s="48" t="s">
        <v>358</v>
      </c>
      <c r="I352" s="47" t="s">
        <v>1506</v>
      </c>
      <c r="J352" s="47">
        <v>99</v>
      </c>
      <c r="K352" s="49" t="s">
        <v>962</v>
      </c>
      <c r="L352" s="49" t="s">
        <v>701</v>
      </c>
      <c r="M352" s="50" t="s">
        <v>1431</v>
      </c>
      <c r="N352" s="50" t="s">
        <v>1751</v>
      </c>
      <c r="O352" s="51"/>
      <c r="P352" s="51"/>
      <c r="R352" s="1">
        <f t="shared" si="115"/>
        <v>0</v>
      </c>
      <c r="S352" s="1">
        <f t="shared" si="116"/>
        <v>0</v>
      </c>
      <c r="T352" s="1">
        <f t="shared" si="117"/>
        <v>0</v>
      </c>
      <c r="U352" s="1">
        <f t="shared" si="118"/>
        <v>0</v>
      </c>
      <c r="V352" s="1">
        <f t="shared" si="119"/>
        <v>0</v>
      </c>
      <c r="W352" s="1">
        <f t="shared" si="120"/>
        <v>0</v>
      </c>
      <c r="X352" s="1">
        <f t="shared" si="121"/>
        <v>0</v>
      </c>
      <c r="Y352" s="1">
        <f t="shared" si="122"/>
        <v>0</v>
      </c>
      <c r="Z352" s="1">
        <f t="shared" si="123"/>
        <v>0</v>
      </c>
      <c r="AA352" s="1">
        <f t="shared" si="124"/>
        <v>0</v>
      </c>
      <c r="AC352" s="1">
        <f t="shared" si="125"/>
        <v>0</v>
      </c>
      <c r="AD352" s="1">
        <f t="shared" si="126"/>
        <v>0</v>
      </c>
      <c r="AE352" s="1">
        <f t="shared" si="127"/>
        <v>0</v>
      </c>
      <c r="AF352" s="1">
        <f t="shared" si="128"/>
        <v>0</v>
      </c>
      <c r="AG352" s="1">
        <f t="shared" si="129"/>
        <v>0</v>
      </c>
      <c r="AH352" s="1">
        <f t="shared" si="130"/>
        <v>1</v>
      </c>
    </row>
    <row r="353" spans="1:34" ht="14.25" customHeight="1" x14ac:dyDescent="0.25">
      <c r="A353" s="47">
        <v>0</v>
      </c>
      <c r="B353" s="47">
        <v>2</v>
      </c>
      <c r="C353" s="47">
        <v>5</v>
      </c>
      <c r="D353" s="48" t="s">
        <v>783</v>
      </c>
      <c r="E353" s="48" t="s">
        <v>780</v>
      </c>
      <c r="F353" s="48" t="s">
        <v>785</v>
      </c>
      <c r="G353" s="48" t="s">
        <v>209</v>
      </c>
      <c r="H353" s="48" t="s">
        <v>358</v>
      </c>
      <c r="I353" s="47" t="s">
        <v>784</v>
      </c>
      <c r="J353" s="47">
        <v>99</v>
      </c>
      <c r="K353" s="49" t="s">
        <v>720</v>
      </c>
      <c r="L353" s="49" t="s">
        <v>702</v>
      </c>
      <c r="M353" s="50" t="s">
        <v>1442</v>
      </c>
      <c r="N353" s="50" t="s">
        <v>1751</v>
      </c>
      <c r="O353" s="51"/>
      <c r="P353" s="51"/>
      <c r="R353" s="1">
        <f t="shared" si="115"/>
        <v>0</v>
      </c>
      <c r="S353" s="1">
        <f t="shared" si="116"/>
        <v>0</v>
      </c>
      <c r="T353" s="1">
        <f t="shared" si="117"/>
        <v>0</v>
      </c>
      <c r="U353" s="1">
        <f t="shared" si="118"/>
        <v>0</v>
      </c>
      <c r="V353" s="1">
        <f t="shared" si="119"/>
        <v>0</v>
      </c>
      <c r="W353" s="1">
        <f t="shared" si="120"/>
        <v>0</v>
      </c>
      <c r="X353" s="1">
        <f t="shared" si="121"/>
        <v>0</v>
      </c>
      <c r="Y353" s="1">
        <f t="shared" si="122"/>
        <v>0</v>
      </c>
      <c r="Z353" s="1">
        <f t="shared" si="123"/>
        <v>0</v>
      </c>
      <c r="AA353" s="1">
        <f t="shared" si="124"/>
        <v>0</v>
      </c>
      <c r="AC353" s="1">
        <f t="shared" si="125"/>
        <v>0</v>
      </c>
      <c r="AD353" s="1">
        <f t="shared" si="126"/>
        <v>0</v>
      </c>
      <c r="AE353" s="1">
        <f t="shared" si="127"/>
        <v>0</v>
      </c>
      <c r="AF353" s="1">
        <f t="shared" si="128"/>
        <v>0</v>
      </c>
      <c r="AG353" s="1">
        <f t="shared" si="129"/>
        <v>0</v>
      </c>
      <c r="AH353" s="1">
        <f t="shared" si="130"/>
        <v>1</v>
      </c>
    </row>
    <row r="354" spans="1:34" ht="14.25" customHeight="1" x14ac:dyDescent="0.25">
      <c r="A354" s="47">
        <v>1</v>
      </c>
      <c r="B354" s="47">
        <v>2</v>
      </c>
      <c r="C354" s="47">
        <v>5</v>
      </c>
      <c r="D354" s="48" t="s">
        <v>783</v>
      </c>
      <c r="E354" s="48" t="s">
        <v>780</v>
      </c>
      <c r="F354" s="48" t="s">
        <v>1014</v>
      </c>
      <c r="G354" s="48" t="s">
        <v>192</v>
      </c>
      <c r="H354" s="48" t="s">
        <v>358</v>
      </c>
      <c r="I354" s="47" t="s">
        <v>1015</v>
      </c>
      <c r="J354" s="47">
        <v>99</v>
      </c>
      <c r="K354" s="49" t="s">
        <v>720</v>
      </c>
      <c r="L354" s="49" t="s">
        <v>702</v>
      </c>
      <c r="M354" s="50" t="s">
        <v>1442</v>
      </c>
      <c r="N354" s="50" t="s">
        <v>1751</v>
      </c>
      <c r="O354" s="51"/>
      <c r="P354" s="51"/>
      <c r="R354" s="1">
        <f t="shared" si="115"/>
        <v>0</v>
      </c>
      <c r="S354" s="1">
        <f t="shared" si="116"/>
        <v>0</v>
      </c>
      <c r="T354" s="1">
        <f t="shared" si="117"/>
        <v>0</v>
      </c>
      <c r="U354" s="1">
        <f t="shared" si="118"/>
        <v>0</v>
      </c>
      <c r="V354" s="1">
        <f t="shared" si="119"/>
        <v>0</v>
      </c>
      <c r="W354" s="1">
        <f t="shared" si="120"/>
        <v>0</v>
      </c>
      <c r="X354" s="1">
        <f t="shared" si="121"/>
        <v>0</v>
      </c>
      <c r="Y354" s="1">
        <f t="shared" si="122"/>
        <v>0</v>
      </c>
      <c r="Z354" s="1">
        <f t="shared" si="123"/>
        <v>0</v>
      </c>
      <c r="AA354" s="1">
        <f t="shared" si="124"/>
        <v>0</v>
      </c>
      <c r="AC354" s="1">
        <f t="shared" si="125"/>
        <v>0</v>
      </c>
      <c r="AD354" s="1">
        <f t="shared" si="126"/>
        <v>0</v>
      </c>
      <c r="AE354" s="1">
        <f t="shared" si="127"/>
        <v>0</v>
      </c>
      <c r="AF354" s="1">
        <f t="shared" si="128"/>
        <v>0</v>
      </c>
      <c r="AG354" s="1">
        <f t="shared" si="129"/>
        <v>0</v>
      </c>
      <c r="AH354" s="1">
        <f t="shared" si="130"/>
        <v>0</v>
      </c>
    </row>
    <row r="355" spans="1:34" ht="14.25" customHeight="1" x14ac:dyDescent="0.25">
      <c r="A355" s="15">
        <v>0</v>
      </c>
      <c r="B355" s="15">
        <v>2</v>
      </c>
      <c r="C355" s="15">
        <v>5</v>
      </c>
      <c r="D355" s="16" t="s">
        <v>924</v>
      </c>
      <c r="E355" s="16" t="s">
        <v>919</v>
      </c>
      <c r="F355" s="16" t="s">
        <v>937</v>
      </c>
      <c r="G355" s="16" t="s">
        <v>1365</v>
      </c>
      <c r="H355" s="16" t="s">
        <v>358</v>
      </c>
      <c r="I355" s="15" t="s">
        <v>778</v>
      </c>
      <c r="J355" s="15">
        <v>99</v>
      </c>
      <c r="K355" s="10" t="s">
        <v>711</v>
      </c>
      <c r="L355" s="10">
        <v>20</v>
      </c>
      <c r="M355" s="19" t="s">
        <v>1443</v>
      </c>
      <c r="N355" s="19"/>
      <c r="R355" s="1">
        <f t="shared" si="115"/>
        <v>0</v>
      </c>
      <c r="S355" s="1">
        <f t="shared" si="116"/>
        <v>0</v>
      </c>
      <c r="T355" s="1">
        <f t="shared" si="117"/>
        <v>0</v>
      </c>
      <c r="U355" s="1">
        <f t="shared" si="118"/>
        <v>0</v>
      </c>
      <c r="V355" s="1">
        <f t="shared" si="119"/>
        <v>0</v>
      </c>
      <c r="W355" s="1">
        <f t="shared" si="120"/>
        <v>0</v>
      </c>
      <c r="X355" s="1">
        <f t="shared" si="121"/>
        <v>0</v>
      </c>
      <c r="Y355" s="1">
        <f t="shared" si="122"/>
        <v>0</v>
      </c>
      <c r="Z355" s="1">
        <f t="shared" si="123"/>
        <v>0</v>
      </c>
      <c r="AA355" s="1">
        <f t="shared" si="124"/>
        <v>0</v>
      </c>
      <c r="AC355" s="1">
        <f t="shared" si="125"/>
        <v>0</v>
      </c>
      <c r="AD355" s="1">
        <f t="shared" si="126"/>
        <v>0</v>
      </c>
      <c r="AE355" s="1">
        <f t="shared" si="127"/>
        <v>0</v>
      </c>
      <c r="AF355" s="1">
        <f t="shared" si="128"/>
        <v>0</v>
      </c>
      <c r="AG355" s="1">
        <f t="shared" si="129"/>
        <v>0</v>
      </c>
      <c r="AH355" s="1">
        <f t="shared" si="130"/>
        <v>1</v>
      </c>
    </row>
    <row r="356" spans="1:34" ht="14.25" customHeight="1" x14ac:dyDescent="0.25">
      <c r="A356" s="52">
        <v>0</v>
      </c>
      <c r="B356" s="52">
        <v>2</v>
      </c>
      <c r="C356" s="52">
        <v>5</v>
      </c>
      <c r="D356" s="58" t="s">
        <v>1806</v>
      </c>
      <c r="E356" s="53" t="s">
        <v>169</v>
      </c>
      <c r="F356" s="53" t="s">
        <v>1784</v>
      </c>
      <c r="G356" s="53"/>
      <c r="H356" s="53" t="s">
        <v>358</v>
      </c>
      <c r="I356" s="52" t="s">
        <v>1785</v>
      </c>
      <c r="J356" s="52"/>
      <c r="K356" s="54" t="s">
        <v>711</v>
      </c>
      <c r="L356" s="54">
        <v>30</v>
      </c>
      <c r="M356" s="55" t="s">
        <v>1786</v>
      </c>
      <c r="N356" s="55" t="s">
        <v>1764</v>
      </c>
      <c r="O356" s="56">
        <v>1</v>
      </c>
      <c r="P356" s="56"/>
      <c r="R356" s="1">
        <f t="shared" si="115"/>
        <v>0</v>
      </c>
      <c r="S356" s="1">
        <f t="shared" si="116"/>
        <v>0</v>
      </c>
      <c r="T356" s="1">
        <f t="shared" si="117"/>
        <v>0</v>
      </c>
      <c r="U356" s="1">
        <f t="shared" si="118"/>
        <v>0</v>
      </c>
      <c r="V356" s="1">
        <f t="shared" si="119"/>
        <v>0</v>
      </c>
      <c r="W356" s="1">
        <f t="shared" si="120"/>
        <v>0</v>
      </c>
      <c r="X356" s="1">
        <f t="shared" si="121"/>
        <v>0</v>
      </c>
      <c r="Y356" s="1">
        <f t="shared" si="122"/>
        <v>0</v>
      </c>
      <c r="Z356" s="1">
        <f t="shared" si="123"/>
        <v>0</v>
      </c>
      <c r="AA356" s="1">
        <f t="shared" si="124"/>
        <v>0</v>
      </c>
      <c r="AC356" s="1">
        <f t="shared" si="125"/>
        <v>0</v>
      </c>
      <c r="AD356" s="1">
        <f t="shared" si="126"/>
        <v>1</v>
      </c>
      <c r="AE356" s="1">
        <f t="shared" si="127"/>
        <v>0</v>
      </c>
      <c r="AF356" s="1">
        <f t="shared" si="128"/>
        <v>1</v>
      </c>
      <c r="AG356" s="1">
        <f t="shared" si="129"/>
        <v>0</v>
      </c>
      <c r="AH356" s="1">
        <f t="shared" si="130"/>
        <v>1</v>
      </c>
    </row>
    <row r="357" spans="1:34" ht="14.25" customHeight="1" x14ac:dyDescent="0.25">
      <c r="A357" s="34">
        <v>0</v>
      </c>
      <c r="B357" s="34">
        <v>2</v>
      </c>
      <c r="C357" s="34">
        <v>5</v>
      </c>
      <c r="D357" s="35" t="s">
        <v>1285</v>
      </c>
      <c r="E357" s="35" t="s">
        <v>1286</v>
      </c>
      <c r="F357" s="35" t="s">
        <v>1287</v>
      </c>
      <c r="G357" s="35" t="s">
        <v>222</v>
      </c>
      <c r="H357" s="35" t="s">
        <v>358</v>
      </c>
      <c r="I357" s="34" t="s">
        <v>1739</v>
      </c>
      <c r="J357" s="34">
        <v>8</v>
      </c>
      <c r="K357" s="36" t="s">
        <v>721</v>
      </c>
      <c r="L357" s="36" t="s">
        <v>39</v>
      </c>
      <c r="M357" s="37" t="s">
        <v>39</v>
      </c>
      <c r="N357" s="37" t="s">
        <v>1743</v>
      </c>
      <c r="O357" s="38">
        <v>1</v>
      </c>
      <c r="P357" s="38">
        <v>1</v>
      </c>
      <c r="R357" s="1">
        <f t="shared" si="115"/>
        <v>0</v>
      </c>
      <c r="S357" s="1">
        <f t="shared" si="116"/>
        <v>0</v>
      </c>
      <c r="T357" s="1">
        <f t="shared" si="117"/>
        <v>0</v>
      </c>
      <c r="U357" s="1">
        <f t="shared" si="118"/>
        <v>0</v>
      </c>
      <c r="V357" s="1">
        <f t="shared" si="119"/>
        <v>0</v>
      </c>
      <c r="W357" s="1">
        <f t="shared" si="120"/>
        <v>0</v>
      </c>
      <c r="X357" s="1">
        <f t="shared" si="121"/>
        <v>0</v>
      </c>
      <c r="Y357" s="1">
        <f t="shared" si="122"/>
        <v>1</v>
      </c>
      <c r="Z357" s="1">
        <f t="shared" si="123"/>
        <v>0</v>
      </c>
      <c r="AA357" s="1">
        <f t="shared" si="124"/>
        <v>0</v>
      </c>
      <c r="AC357" s="1">
        <f t="shared" si="125"/>
        <v>1</v>
      </c>
      <c r="AD357" s="1">
        <f t="shared" si="126"/>
        <v>0</v>
      </c>
      <c r="AE357" s="1">
        <f t="shared" si="127"/>
        <v>1</v>
      </c>
      <c r="AF357" s="1">
        <f t="shared" si="128"/>
        <v>0</v>
      </c>
      <c r="AG357" s="1">
        <f t="shared" si="129"/>
        <v>1</v>
      </c>
      <c r="AH357" s="1">
        <f t="shared" si="130"/>
        <v>0</v>
      </c>
    </row>
    <row r="358" spans="1:34" ht="14.25" customHeight="1" x14ac:dyDescent="0.25">
      <c r="A358" s="34">
        <v>0</v>
      </c>
      <c r="B358" s="34">
        <v>2</v>
      </c>
      <c r="C358" s="34">
        <v>5</v>
      </c>
      <c r="D358" s="35" t="s">
        <v>1093</v>
      </c>
      <c r="E358" s="35" t="s">
        <v>157</v>
      </c>
      <c r="F358" s="35" t="s">
        <v>1077</v>
      </c>
      <c r="G358" s="35" t="s">
        <v>324</v>
      </c>
      <c r="H358" s="35" t="s">
        <v>358</v>
      </c>
      <c r="I358" s="34" t="s">
        <v>1078</v>
      </c>
      <c r="J358" s="34">
        <v>99</v>
      </c>
      <c r="K358" s="36" t="s">
        <v>721</v>
      </c>
      <c r="L358" s="36" t="s">
        <v>702</v>
      </c>
      <c r="M358" s="37" t="s">
        <v>1444</v>
      </c>
      <c r="N358" s="37" t="s">
        <v>1772</v>
      </c>
      <c r="O358" s="38">
        <v>1</v>
      </c>
      <c r="P358" s="38"/>
      <c r="R358" s="1">
        <f t="shared" si="115"/>
        <v>0</v>
      </c>
      <c r="S358" s="1">
        <f t="shared" si="116"/>
        <v>0</v>
      </c>
      <c r="T358" s="1">
        <f t="shared" si="117"/>
        <v>0</v>
      </c>
      <c r="U358" s="1">
        <f t="shared" si="118"/>
        <v>0</v>
      </c>
      <c r="V358" s="1">
        <f t="shared" si="119"/>
        <v>0</v>
      </c>
      <c r="W358" s="1">
        <f t="shared" si="120"/>
        <v>0</v>
      </c>
      <c r="X358" s="1">
        <f t="shared" si="121"/>
        <v>0</v>
      </c>
      <c r="Y358" s="1">
        <f t="shared" si="122"/>
        <v>0</v>
      </c>
      <c r="Z358" s="1">
        <f t="shared" si="123"/>
        <v>0</v>
      </c>
      <c r="AA358" s="1">
        <f t="shared" si="124"/>
        <v>0</v>
      </c>
      <c r="AC358" s="1">
        <f t="shared" si="125"/>
        <v>0</v>
      </c>
      <c r="AD358" s="1">
        <f t="shared" si="126"/>
        <v>1</v>
      </c>
      <c r="AE358" s="1">
        <f t="shared" si="127"/>
        <v>0</v>
      </c>
      <c r="AF358" s="1">
        <f t="shared" si="128"/>
        <v>1</v>
      </c>
      <c r="AG358" s="1">
        <f t="shared" si="129"/>
        <v>0</v>
      </c>
      <c r="AH358" s="1">
        <f t="shared" si="130"/>
        <v>1</v>
      </c>
    </row>
    <row r="359" spans="1:34" ht="14.25" customHeight="1" x14ac:dyDescent="0.25">
      <c r="A359" s="15">
        <v>0</v>
      </c>
      <c r="B359" s="15">
        <v>2</v>
      </c>
      <c r="C359" s="15">
        <v>5</v>
      </c>
      <c r="D359" s="16" t="s">
        <v>804</v>
      </c>
      <c r="E359" s="16" t="s">
        <v>780</v>
      </c>
      <c r="F359" s="16" t="s">
        <v>940</v>
      </c>
      <c r="G359" s="16" t="s">
        <v>222</v>
      </c>
      <c r="H359" s="16" t="s">
        <v>358</v>
      </c>
      <c r="I359" s="15" t="s">
        <v>805</v>
      </c>
      <c r="J359" s="15">
        <v>8</v>
      </c>
      <c r="K359" s="10" t="s">
        <v>711</v>
      </c>
      <c r="L359" s="10">
        <v>20</v>
      </c>
      <c r="M359" s="19" t="s">
        <v>1435</v>
      </c>
      <c r="N359" s="19"/>
      <c r="R359" s="1">
        <f t="shared" si="115"/>
        <v>0</v>
      </c>
      <c r="S359" s="1">
        <f t="shared" si="116"/>
        <v>0</v>
      </c>
      <c r="T359" s="1">
        <f t="shared" si="117"/>
        <v>0</v>
      </c>
      <c r="U359" s="1">
        <f t="shared" si="118"/>
        <v>0</v>
      </c>
      <c r="V359" s="1">
        <f t="shared" si="119"/>
        <v>0</v>
      </c>
      <c r="W359" s="1">
        <f t="shared" si="120"/>
        <v>0</v>
      </c>
      <c r="X359" s="1">
        <f t="shared" si="121"/>
        <v>0</v>
      </c>
      <c r="Y359" s="1">
        <f t="shared" si="122"/>
        <v>1</v>
      </c>
      <c r="Z359" s="1">
        <f t="shared" si="123"/>
        <v>0</v>
      </c>
      <c r="AA359" s="1">
        <f t="shared" si="124"/>
        <v>0</v>
      </c>
      <c r="AC359" s="1">
        <f t="shared" si="125"/>
        <v>0</v>
      </c>
      <c r="AD359" s="1">
        <f t="shared" si="126"/>
        <v>0</v>
      </c>
      <c r="AE359" s="1">
        <f t="shared" si="127"/>
        <v>0</v>
      </c>
      <c r="AF359" s="1">
        <f t="shared" si="128"/>
        <v>0</v>
      </c>
      <c r="AG359" s="1">
        <f t="shared" si="129"/>
        <v>0</v>
      </c>
      <c r="AH359" s="1">
        <f t="shared" si="130"/>
        <v>1</v>
      </c>
    </row>
    <row r="360" spans="1:34" ht="14.25" customHeight="1" x14ac:dyDescent="0.25">
      <c r="A360" s="52">
        <v>0</v>
      </c>
      <c r="B360" s="52">
        <v>2</v>
      </c>
      <c r="C360" s="52">
        <v>5</v>
      </c>
      <c r="D360" s="53" t="s">
        <v>80</v>
      </c>
      <c r="E360" s="53" t="s">
        <v>161</v>
      </c>
      <c r="F360" s="53" t="s">
        <v>271</v>
      </c>
      <c r="G360" s="53" t="s">
        <v>215</v>
      </c>
      <c r="H360" s="53" t="s">
        <v>358</v>
      </c>
      <c r="I360" s="52" t="s">
        <v>430</v>
      </c>
      <c r="J360" s="52">
        <v>1</v>
      </c>
      <c r="K360" s="54" t="s">
        <v>963</v>
      </c>
      <c r="L360" s="54" t="s">
        <v>712</v>
      </c>
      <c r="M360" s="55" t="s">
        <v>735</v>
      </c>
      <c r="N360" s="55" t="s">
        <v>1759</v>
      </c>
      <c r="O360" s="56">
        <v>1</v>
      </c>
      <c r="P360" s="56"/>
      <c r="R360" s="1">
        <f t="shared" si="115"/>
        <v>1</v>
      </c>
      <c r="S360" s="1">
        <f t="shared" si="116"/>
        <v>0</v>
      </c>
      <c r="T360" s="1">
        <f t="shared" si="117"/>
        <v>0</v>
      </c>
      <c r="U360" s="1">
        <f t="shared" si="118"/>
        <v>0</v>
      </c>
      <c r="V360" s="1">
        <f t="shared" si="119"/>
        <v>0</v>
      </c>
      <c r="W360" s="1">
        <f t="shared" si="120"/>
        <v>0</v>
      </c>
      <c r="X360" s="1">
        <f t="shared" si="121"/>
        <v>0</v>
      </c>
      <c r="Y360" s="1">
        <f t="shared" si="122"/>
        <v>0</v>
      </c>
      <c r="Z360" s="1">
        <f t="shared" si="123"/>
        <v>0</v>
      </c>
      <c r="AA360" s="1">
        <f t="shared" si="124"/>
        <v>0</v>
      </c>
      <c r="AC360" s="1">
        <f t="shared" si="125"/>
        <v>0</v>
      </c>
      <c r="AD360" s="1">
        <f t="shared" si="126"/>
        <v>1</v>
      </c>
      <c r="AE360" s="1">
        <f t="shared" si="127"/>
        <v>0</v>
      </c>
      <c r="AF360" s="1">
        <f t="shared" si="128"/>
        <v>1</v>
      </c>
      <c r="AG360" s="1">
        <f t="shared" si="129"/>
        <v>0</v>
      </c>
      <c r="AH360" s="1">
        <f t="shared" si="130"/>
        <v>1</v>
      </c>
    </row>
    <row r="361" spans="1:34" ht="14.25" customHeight="1" x14ac:dyDescent="0.25">
      <c r="A361" s="34">
        <v>0</v>
      </c>
      <c r="B361" s="34">
        <v>2</v>
      </c>
      <c r="C361" s="34">
        <v>5</v>
      </c>
      <c r="D361" s="35" t="s">
        <v>1658</v>
      </c>
      <c r="E361" s="35" t="s">
        <v>1670</v>
      </c>
      <c r="F361" s="35" t="s">
        <v>1567</v>
      </c>
      <c r="G361" s="35" t="s">
        <v>265</v>
      </c>
      <c r="H361" s="35" t="s">
        <v>358</v>
      </c>
      <c r="I361" s="34" t="s">
        <v>1568</v>
      </c>
      <c r="J361" s="34">
        <v>99</v>
      </c>
      <c r="K361" s="36" t="s">
        <v>963</v>
      </c>
      <c r="L361" s="36">
        <v>40</v>
      </c>
      <c r="M361" s="37" t="s">
        <v>39</v>
      </c>
      <c r="N361" s="37" t="s">
        <v>1841</v>
      </c>
      <c r="O361" s="38">
        <v>1</v>
      </c>
      <c r="P361" s="38"/>
      <c r="R361" s="1">
        <f t="shared" si="115"/>
        <v>0</v>
      </c>
      <c r="S361" s="1">
        <f t="shared" si="116"/>
        <v>0</v>
      </c>
      <c r="T361" s="1">
        <f t="shared" si="117"/>
        <v>0</v>
      </c>
      <c r="U361" s="1">
        <f t="shared" si="118"/>
        <v>0</v>
      </c>
      <c r="V361" s="1">
        <f t="shared" si="119"/>
        <v>0</v>
      </c>
      <c r="W361" s="1">
        <f t="shared" si="120"/>
        <v>0</v>
      </c>
      <c r="X361" s="1">
        <f t="shared" si="121"/>
        <v>0</v>
      </c>
      <c r="Y361" s="1">
        <f t="shared" si="122"/>
        <v>0</v>
      </c>
      <c r="Z361" s="1">
        <f t="shared" si="123"/>
        <v>0</v>
      </c>
      <c r="AA361" s="1">
        <f t="shared" si="124"/>
        <v>0</v>
      </c>
      <c r="AC361" s="1">
        <f t="shared" si="125"/>
        <v>0</v>
      </c>
      <c r="AD361" s="1">
        <f t="shared" si="126"/>
        <v>1</v>
      </c>
      <c r="AE361" s="1">
        <f t="shared" si="127"/>
        <v>0</v>
      </c>
      <c r="AF361" s="1">
        <f t="shared" si="128"/>
        <v>1</v>
      </c>
      <c r="AG361" s="1">
        <f t="shared" si="129"/>
        <v>0</v>
      </c>
      <c r="AH361" s="1">
        <f t="shared" si="130"/>
        <v>1</v>
      </c>
    </row>
    <row r="362" spans="1:34" ht="14.25" customHeight="1" x14ac:dyDescent="0.25">
      <c r="A362" s="41">
        <v>0</v>
      </c>
      <c r="B362" s="41">
        <v>2</v>
      </c>
      <c r="C362" s="41">
        <v>5</v>
      </c>
      <c r="D362" s="42" t="s">
        <v>1312</v>
      </c>
      <c r="E362" s="42" t="s">
        <v>27</v>
      </c>
      <c r="F362" s="42" t="s">
        <v>1313</v>
      </c>
      <c r="G362" s="42" t="s">
        <v>1314</v>
      </c>
      <c r="H362" s="42" t="s">
        <v>358</v>
      </c>
      <c r="I362" s="41" t="s">
        <v>1315</v>
      </c>
      <c r="J362" s="41">
        <v>99</v>
      </c>
      <c r="K362" s="43" t="s">
        <v>963</v>
      </c>
      <c r="L362" s="43" t="s">
        <v>39</v>
      </c>
      <c r="M362" s="44" t="s">
        <v>39</v>
      </c>
      <c r="N362" s="45"/>
      <c r="O362" s="46"/>
      <c r="P362" s="46">
        <v>1</v>
      </c>
      <c r="R362" s="1">
        <f t="shared" si="115"/>
        <v>0</v>
      </c>
      <c r="S362" s="1">
        <f t="shared" si="116"/>
        <v>0</v>
      </c>
      <c r="T362" s="1">
        <f t="shared" si="117"/>
        <v>0</v>
      </c>
      <c r="U362" s="1">
        <f t="shared" si="118"/>
        <v>0</v>
      </c>
      <c r="V362" s="1">
        <f t="shared" si="119"/>
        <v>0</v>
      </c>
      <c r="W362" s="1">
        <f t="shared" si="120"/>
        <v>0</v>
      </c>
      <c r="X362" s="1">
        <f t="shared" si="121"/>
        <v>0</v>
      </c>
      <c r="Y362" s="1">
        <f t="shared" si="122"/>
        <v>0</v>
      </c>
      <c r="Z362" s="1">
        <f t="shared" si="123"/>
        <v>0</v>
      </c>
      <c r="AA362" s="1">
        <f t="shared" si="124"/>
        <v>0</v>
      </c>
      <c r="AC362" s="1">
        <f t="shared" si="125"/>
        <v>0</v>
      </c>
      <c r="AD362" s="1">
        <f t="shared" si="126"/>
        <v>0</v>
      </c>
      <c r="AE362" s="1">
        <f t="shared" si="127"/>
        <v>0</v>
      </c>
      <c r="AF362" s="1">
        <f t="shared" si="128"/>
        <v>0</v>
      </c>
      <c r="AG362" s="1">
        <f t="shared" si="129"/>
        <v>1</v>
      </c>
      <c r="AH362" s="1">
        <f t="shared" si="130"/>
        <v>0</v>
      </c>
    </row>
    <row r="363" spans="1:34" ht="14.25" customHeight="1" x14ac:dyDescent="0.25">
      <c r="A363" s="47">
        <v>0</v>
      </c>
      <c r="B363" s="47">
        <v>2</v>
      </c>
      <c r="C363" s="47">
        <v>5</v>
      </c>
      <c r="D363" s="48" t="s">
        <v>1619</v>
      </c>
      <c r="E363" s="48" t="s">
        <v>161</v>
      </c>
      <c r="F363" s="48" t="s">
        <v>1691</v>
      </c>
      <c r="G363" s="48" t="s">
        <v>1484</v>
      </c>
      <c r="H363" s="48" t="s">
        <v>358</v>
      </c>
      <c r="I363" s="47" t="s">
        <v>1485</v>
      </c>
      <c r="J363" s="47">
        <v>99</v>
      </c>
      <c r="K363" s="49" t="s">
        <v>721</v>
      </c>
      <c r="L363" s="49" t="s">
        <v>704</v>
      </c>
      <c r="M363" s="50" t="s">
        <v>1486</v>
      </c>
      <c r="N363" s="50" t="s">
        <v>1763</v>
      </c>
      <c r="O363" s="51"/>
      <c r="P363" s="51"/>
      <c r="R363" s="1">
        <f t="shared" si="115"/>
        <v>0</v>
      </c>
      <c r="S363" s="1">
        <f t="shared" si="116"/>
        <v>0</v>
      </c>
      <c r="T363" s="1">
        <f t="shared" si="117"/>
        <v>0</v>
      </c>
      <c r="U363" s="1">
        <f t="shared" si="118"/>
        <v>0</v>
      </c>
      <c r="V363" s="1">
        <f t="shared" si="119"/>
        <v>0</v>
      </c>
      <c r="W363" s="1">
        <f t="shared" si="120"/>
        <v>0</v>
      </c>
      <c r="X363" s="1">
        <f t="shared" si="121"/>
        <v>0</v>
      </c>
      <c r="Y363" s="1">
        <f t="shared" si="122"/>
        <v>0</v>
      </c>
      <c r="Z363" s="1">
        <f t="shared" si="123"/>
        <v>0</v>
      </c>
      <c r="AA363" s="1">
        <f t="shared" si="124"/>
        <v>0</v>
      </c>
      <c r="AC363" s="1">
        <f t="shared" si="125"/>
        <v>0</v>
      </c>
      <c r="AD363" s="1">
        <f t="shared" si="126"/>
        <v>0</v>
      </c>
      <c r="AE363" s="1">
        <f t="shared" si="127"/>
        <v>0</v>
      </c>
      <c r="AF363" s="1">
        <f t="shared" si="128"/>
        <v>0</v>
      </c>
      <c r="AG363" s="1">
        <f t="shared" si="129"/>
        <v>0</v>
      </c>
      <c r="AH363" s="1">
        <f t="shared" si="130"/>
        <v>1</v>
      </c>
    </row>
    <row r="364" spans="1:34" ht="14.25" customHeight="1" x14ac:dyDescent="0.25">
      <c r="A364" s="34">
        <v>0</v>
      </c>
      <c r="B364" s="34">
        <v>2</v>
      </c>
      <c r="C364" s="34">
        <v>5</v>
      </c>
      <c r="D364" s="35" t="s">
        <v>1794</v>
      </c>
      <c r="E364" s="35" t="s">
        <v>157</v>
      </c>
      <c r="F364" s="35" t="s">
        <v>1795</v>
      </c>
      <c r="G364" s="35" t="s">
        <v>663</v>
      </c>
      <c r="H364" s="35" t="s">
        <v>358</v>
      </c>
      <c r="I364" s="34" t="s">
        <v>1796</v>
      </c>
      <c r="J364" s="34"/>
      <c r="K364" s="36" t="s">
        <v>711</v>
      </c>
      <c r="L364" s="36">
        <v>40</v>
      </c>
      <c r="M364" s="37" t="s">
        <v>1797</v>
      </c>
      <c r="N364" s="37" t="s">
        <v>1759</v>
      </c>
      <c r="O364" s="38">
        <v>1</v>
      </c>
      <c r="P364" s="38"/>
      <c r="R364" s="1">
        <f t="shared" si="115"/>
        <v>0</v>
      </c>
      <c r="S364" s="1">
        <f t="shared" si="116"/>
        <v>0</v>
      </c>
      <c r="T364" s="1">
        <f t="shared" si="117"/>
        <v>0</v>
      </c>
      <c r="U364" s="1">
        <f t="shared" si="118"/>
        <v>0</v>
      </c>
      <c r="V364" s="1">
        <f t="shared" si="119"/>
        <v>0</v>
      </c>
      <c r="W364" s="1">
        <f t="shared" si="120"/>
        <v>0</v>
      </c>
      <c r="X364" s="1">
        <f t="shared" si="121"/>
        <v>0</v>
      </c>
      <c r="Y364" s="1">
        <f t="shared" si="122"/>
        <v>0</v>
      </c>
      <c r="Z364" s="1">
        <f t="shared" si="123"/>
        <v>0</v>
      </c>
      <c r="AA364" s="1">
        <f t="shared" si="124"/>
        <v>0</v>
      </c>
      <c r="AC364" s="1">
        <f t="shared" si="125"/>
        <v>0</v>
      </c>
      <c r="AD364" s="1">
        <f t="shared" si="126"/>
        <v>1</v>
      </c>
      <c r="AE364" s="1">
        <f t="shared" si="127"/>
        <v>0</v>
      </c>
      <c r="AF364" s="1">
        <f t="shared" si="128"/>
        <v>1</v>
      </c>
      <c r="AG364" s="1">
        <f t="shared" si="129"/>
        <v>0</v>
      </c>
      <c r="AH364" s="1">
        <f t="shared" si="130"/>
        <v>1</v>
      </c>
    </row>
    <row r="365" spans="1:34" ht="14.25" customHeight="1" x14ac:dyDescent="0.25">
      <c r="A365" s="47">
        <v>0</v>
      </c>
      <c r="B365" s="47">
        <v>2</v>
      </c>
      <c r="C365" s="47">
        <v>5</v>
      </c>
      <c r="D365" s="48" t="s">
        <v>845</v>
      </c>
      <c r="E365" s="48" t="s">
        <v>839</v>
      </c>
      <c r="F365" s="48" t="s">
        <v>949</v>
      </c>
      <c r="G365" s="48" t="s">
        <v>182</v>
      </c>
      <c r="H365" s="48" t="s">
        <v>358</v>
      </c>
      <c r="I365" s="47" t="s">
        <v>1120</v>
      </c>
      <c r="J365" s="47">
        <v>10</v>
      </c>
      <c r="K365" s="49" t="s">
        <v>720</v>
      </c>
      <c r="L365" s="49" t="s">
        <v>701</v>
      </c>
      <c r="M365" s="50" t="s">
        <v>1445</v>
      </c>
      <c r="N365" s="50" t="s">
        <v>1757</v>
      </c>
      <c r="O365" s="51"/>
      <c r="P365" s="51"/>
      <c r="R365" s="1">
        <f t="shared" si="115"/>
        <v>0</v>
      </c>
      <c r="S365" s="1">
        <f t="shared" si="116"/>
        <v>0</v>
      </c>
      <c r="T365" s="1">
        <f t="shared" si="117"/>
        <v>0</v>
      </c>
      <c r="U365" s="1">
        <f t="shared" si="118"/>
        <v>0</v>
      </c>
      <c r="V365" s="1">
        <f t="shared" si="119"/>
        <v>0</v>
      </c>
      <c r="W365" s="1">
        <f t="shared" si="120"/>
        <v>0</v>
      </c>
      <c r="X365" s="1">
        <f t="shared" si="121"/>
        <v>0</v>
      </c>
      <c r="Y365" s="1">
        <f t="shared" si="122"/>
        <v>0</v>
      </c>
      <c r="Z365" s="1">
        <f t="shared" si="123"/>
        <v>0</v>
      </c>
      <c r="AA365" s="1">
        <f t="shared" si="124"/>
        <v>1</v>
      </c>
      <c r="AC365" s="1">
        <f t="shared" si="125"/>
        <v>0</v>
      </c>
      <c r="AD365" s="1">
        <f t="shared" si="126"/>
        <v>0</v>
      </c>
      <c r="AE365" s="1">
        <f t="shared" si="127"/>
        <v>0</v>
      </c>
      <c r="AF365" s="1">
        <f t="shared" si="128"/>
        <v>0</v>
      </c>
      <c r="AG365" s="1">
        <f t="shared" si="129"/>
        <v>0</v>
      </c>
      <c r="AH365" s="1">
        <f t="shared" si="130"/>
        <v>1</v>
      </c>
    </row>
    <row r="366" spans="1:34" ht="14.25" customHeight="1" x14ac:dyDescent="0.25">
      <c r="A366" s="60">
        <v>0</v>
      </c>
      <c r="B366" s="60">
        <v>2</v>
      </c>
      <c r="C366" s="60">
        <v>6</v>
      </c>
      <c r="D366" s="61" t="s">
        <v>1559</v>
      </c>
      <c r="E366" s="61" t="s">
        <v>27</v>
      </c>
      <c r="F366" s="61" t="s">
        <v>1561</v>
      </c>
      <c r="G366" s="61" t="s">
        <v>1550</v>
      </c>
      <c r="H366" s="61" t="s">
        <v>358</v>
      </c>
      <c r="I366" s="60" t="s">
        <v>1560</v>
      </c>
      <c r="J366" s="60">
        <v>5</v>
      </c>
      <c r="K366" s="62" t="s">
        <v>963</v>
      </c>
      <c r="L366" s="62" t="s">
        <v>39</v>
      </c>
      <c r="M366" s="63" t="s">
        <v>39</v>
      </c>
      <c r="N366" s="64"/>
      <c r="O366" s="65"/>
      <c r="P366" s="65"/>
      <c r="R366" s="1">
        <f t="shared" si="115"/>
        <v>0</v>
      </c>
      <c r="S366" s="1">
        <f t="shared" si="116"/>
        <v>0</v>
      </c>
      <c r="T366" s="1">
        <f t="shared" si="117"/>
        <v>0</v>
      </c>
      <c r="U366" s="1">
        <f t="shared" si="118"/>
        <v>0</v>
      </c>
      <c r="V366" s="1">
        <f t="shared" si="119"/>
        <v>1</v>
      </c>
      <c r="W366" s="1">
        <f t="shared" si="120"/>
        <v>0</v>
      </c>
      <c r="X366" s="1">
        <f t="shared" si="121"/>
        <v>0</v>
      </c>
      <c r="Y366" s="1">
        <f t="shared" si="122"/>
        <v>0</v>
      </c>
      <c r="Z366" s="1">
        <f t="shared" si="123"/>
        <v>0</v>
      </c>
      <c r="AA366" s="1">
        <f t="shared" si="124"/>
        <v>0</v>
      </c>
      <c r="AC366" s="1">
        <f t="shared" si="125"/>
        <v>0</v>
      </c>
      <c r="AD366" s="1">
        <f t="shared" si="126"/>
        <v>0</v>
      </c>
      <c r="AE366" s="1">
        <f t="shared" si="127"/>
        <v>0</v>
      </c>
      <c r="AF366" s="1">
        <f t="shared" si="128"/>
        <v>0</v>
      </c>
      <c r="AG366" s="1">
        <f t="shared" si="129"/>
        <v>0</v>
      </c>
      <c r="AH366" s="1">
        <f t="shared" si="130"/>
        <v>1</v>
      </c>
    </row>
    <row r="367" spans="1:34" ht="14.25" customHeight="1" x14ac:dyDescent="0.25">
      <c r="A367" s="47">
        <v>0</v>
      </c>
      <c r="B367" s="47">
        <v>2</v>
      </c>
      <c r="C367" s="47">
        <v>6</v>
      </c>
      <c r="D367" s="48" t="s">
        <v>525</v>
      </c>
      <c r="E367" s="48" t="s">
        <v>31</v>
      </c>
      <c r="F367" s="48" t="s">
        <v>679</v>
      </c>
      <c r="G367" s="48" t="s">
        <v>202</v>
      </c>
      <c r="H367" s="48" t="s">
        <v>358</v>
      </c>
      <c r="I367" s="47" t="s">
        <v>526</v>
      </c>
      <c r="J367" s="47">
        <v>2</v>
      </c>
      <c r="K367" s="49" t="s">
        <v>962</v>
      </c>
      <c r="L367" s="49" t="s">
        <v>702</v>
      </c>
      <c r="M367" s="50" t="s">
        <v>1446</v>
      </c>
      <c r="N367" s="50" t="s">
        <v>1751</v>
      </c>
      <c r="O367" s="51"/>
      <c r="P367" s="51"/>
      <c r="R367" s="1">
        <f t="shared" si="115"/>
        <v>0</v>
      </c>
      <c r="S367" s="1">
        <f t="shared" si="116"/>
        <v>1</v>
      </c>
      <c r="T367" s="1">
        <f t="shared" si="117"/>
        <v>0</v>
      </c>
      <c r="U367" s="1">
        <f t="shared" si="118"/>
        <v>0</v>
      </c>
      <c r="V367" s="1">
        <f t="shared" si="119"/>
        <v>0</v>
      </c>
      <c r="W367" s="1">
        <f t="shared" si="120"/>
        <v>0</v>
      </c>
      <c r="X367" s="1">
        <f t="shared" si="121"/>
        <v>0</v>
      </c>
      <c r="Y367" s="1">
        <f t="shared" si="122"/>
        <v>0</v>
      </c>
      <c r="Z367" s="1">
        <f t="shared" si="123"/>
        <v>0</v>
      </c>
      <c r="AA367" s="1">
        <f t="shared" si="124"/>
        <v>0</v>
      </c>
      <c r="AC367" s="1">
        <f t="shared" si="125"/>
        <v>0</v>
      </c>
      <c r="AD367" s="1">
        <f t="shared" si="126"/>
        <v>0</v>
      </c>
      <c r="AE367" s="1">
        <f t="shared" si="127"/>
        <v>0</v>
      </c>
      <c r="AF367" s="1">
        <f t="shared" si="128"/>
        <v>0</v>
      </c>
      <c r="AG367" s="1">
        <f t="shared" si="129"/>
        <v>0</v>
      </c>
      <c r="AH367" s="1">
        <f t="shared" si="130"/>
        <v>1</v>
      </c>
    </row>
    <row r="368" spans="1:34" ht="14.25" customHeight="1" x14ac:dyDescent="0.25">
      <c r="A368" s="34">
        <v>0</v>
      </c>
      <c r="B368" s="34">
        <v>2</v>
      </c>
      <c r="C368" s="34">
        <v>6</v>
      </c>
      <c r="D368" s="35" t="s">
        <v>53</v>
      </c>
      <c r="E368" s="35" t="s">
        <v>31</v>
      </c>
      <c r="F368" s="35" t="s">
        <v>212</v>
      </c>
      <c r="G368" s="35" t="s">
        <v>213</v>
      </c>
      <c r="H368" s="35" t="s">
        <v>358</v>
      </c>
      <c r="I368" s="34" t="s">
        <v>396</v>
      </c>
      <c r="J368" s="34">
        <v>1</v>
      </c>
      <c r="K368" s="36" t="s">
        <v>720</v>
      </c>
      <c r="L368" s="36" t="s">
        <v>712</v>
      </c>
      <c r="M368" s="37" t="s">
        <v>736</v>
      </c>
      <c r="N368" s="37" t="s">
        <v>1759</v>
      </c>
      <c r="O368" s="38">
        <v>1</v>
      </c>
      <c r="P368" s="38"/>
      <c r="R368" s="1">
        <f t="shared" si="115"/>
        <v>1</v>
      </c>
      <c r="S368" s="1">
        <f t="shared" si="116"/>
        <v>0</v>
      </c>
      <c r="T368" s="1">
        <f t="shared" si="117"/>
        <v>0</v>
      </c>
      <c r="U368" s="1">
        <f t="shared" si="118"/>
        <v>0</v>
      </c>
      <c r="V368" s="1">
        <f t="shared" si="119"/>
        <v>0</v>
      </c>
      <c r="W368" s="1">
        <f t="shared" si="120"/>
        <v>0</v>
      </c>
      <c r="X368" s="1">
        <f t="shared" si="121"/>
        <v>0</v>
      </c>
      <c r="Y368" s="1">
        <f t="shared" si="122"/>
        <v>0</v>
      </c>
      <c r="Z368" s="1">
        <f t="shared" si="123"/>
        <v>0</v>
      </c>
      <c r="AA368" s="1">
        <f t="shared" si="124"/>
        <v>0</v>
      </c>
      <c r="AC368" s="1">
        <f t="shared" si="125"/>
        <v>0</v>
      </c>
      <c r="AD368" s="1">
        <f t="shared" si="126"/>
        <v>1</v>
      </c>
      <c r="AE368" s="1">
        <f t="shared" si="127"/>
        <v>0</v>
      </c>
      <c r="AF368" s="1">
        <f t="shared" si="128"/>
        <v>1</v>
      </c>
      <c r="AG368" s="1">
        <f t="shared" si="129"/>
        <v>0</v>
      </c>
      <c r="AH368" s="1">
        <f t="shared" si="130"/>
        <v>1</v>
      </c>
    </row>
    <row r="369" spans="1:34" ht="14.25" customHeight="1" x14ac:dyDescent="0.25">
      <c r="A369" s="15">
        <v>0</v>
      </c>
      <c r="B369" s="15">
        <v>2</v>
      </c>
      <c r="C369" s="15">
        <v>6</v>
      </c>
      <c r="D369" s="16" t="s">
        <v>1878</v>
      </c>
      <c r="E369" s="16" t="s">
        <v>1879</v>
      </c>
      <c r="F369" s="20" t="s">
        <v>1880</v>
      </c>
      <c r="G369" s="16"/>
      <c r="H369" s="20" t="s">
        <v>358</v>
      </c>
      <c r="I369" s="21" t="s">
        <v>1881</v>
      </c>
      <c r="J369" s="15">
        <v>99</v>
      </c>
      <c r="K369" s="10" t="s">
        <v>711</v>
      </c>
      <c r="L369" s="10">
        <v>25</v>
      </c>
      <c r="M369" s="19" t="s">
        <v>1882</v>
      </c>
      <c r="N369" s="19"/>
      <c r="R369" s="1">
        <f t="shared" ref="R369:R371" si="131">IF(J369=$R$7,1,0)</f>
        <v>0</v>
      </c>
      <c r="S369" s="1">
        <f t="shared" ref="S369:S371" si="132">IF(J369=$S$7,1,0)</f>
        <v>0</v>
      </c>
      <c r="T369" s="1">
        <f t="shared" ref="T369:T371" si="133">IF(J369=$T$7,1,0)</f>
        <v>0</v>
      </c>
      <c r="U369" s="1">
        <f t="shared" ref="U369:U371" si="134">IF(J369=$U$7,1,0)</f>
        <v>0</v>
      </c>
      <c r="V369" s="1">
        <f t="shared" ref="V369:V371" si="135">IF(J369=$V$7,1,0)</f>
        <v>0</v>
      </c>
      <c r="W369" s="1">
        <f t="shared" ref="W369:W371" si="136">IF(J369=$W$7,1,0)</f>
        <v>0</v>
      </c>
      <c r="X369" s="1">
        <f t="shared" ref="X369:X371" si="137">IF(J369=$X$7,1,0)</f>
        <v>0</v>
      </c>
      <c r="Y369" s="1">
        <f t="shared" ref="Y369:Y371" si="138">IF(J369=$Y$7,1,0)</f>
        <v>0</v>
      </c>
      <c r="Z369" s="1">
        <f t="shared" ref="Z369:Z371" si="139">IF(J369=$Z$7,1,0)</f>
        <v>0</v>
      </c>
      <c r="AA369" s="1">
        <f t="shared" ref="AA369:AA371" si="140">IF(J369=$AA$7,1,0)</f>
        <v>0</v>
      </c>
      <c r="AC369" s="1">
        <f t="shared" ref="AC369:AC371" si="141">+O369*P369</f>
        <v>0</v>
      </c>
      <c r="AD369" s="1">
        <f t="shared" ref="AD369:AD371" si="142">O369*(1-P369)</f>
        <v>0</v>
      </c>
      <c r="AE369" s="1">
        <f t="shared" ref="AE369:AE371" si="143">+O369*P369*(1-A369)</f>
        <v>0</v>
      </c>
      <c r="AF369" s="1">
        <f t="shared" ref="AF369:AF371" si="144">O369*(1-P369)*(1-A369)</f>
        <v>0</v>
      </c>
      <c r="AG369" s="1">
        <f t="shared" ref="AG369:AG371" si="145">+P369*(1-A369)</f>
        <v>0</v>
      </c>
      <c r="AH369" s="1">
        <f t="shared" ref="AH369:AH371" si="146">+(1-A369)*(1-P369)</f>
        <v>1</v>
      </c>
    </row>
    <row r="370" spans="1:34" ht="14.25" customHeight="1" x14ac:dyDescent="0.25">
      <c r="A370" s="15">
        <v>0</v>
      </c>
      <c r="B370" s="15">
        <v>2</v>
      </c>
      <c r="C370" s="15">
        <v>6</v>
      </c>
      <c r="D370" s="16" t="s">
        <v>81</v>
      </c>
      <c r="E370" s="16" t="s">
        <v>31</v>
      </c>
      <c r="F370" s="16" t="s">
        <v>273</v>
      </c>
      <c r="G370" s="16" t="s">
        <v>226</v>
      </c>
      <c r="H370" s="16" t="s">
        <v>358</v>
      </c>
      <c r="I370" s="15" t="s">
        <v>685</v>
      </c>
      <c r="J370" s="15">
        <v>99</v>
      </c>
      <c r="K370" s="10" t="s">
        <v>963</v>
      </c>
      <c r="L370" s="10" t="s">
        <v>702</v>
      </c>
      <c r="M370" s="19" t="s">
        <v>1447</v>
      </c>
      <c r="N370" s="19"/>
      <c r="R370" s="1">
        <f t="shared" si="131"/>
        <v>0</v>
      </c>
      <c r="S370" s="1">
        <f t="shared" si="132"/>
        <v>0</v>
      </c>
      <c r="T370" s="1">
        <f t="shared" si="133"/>
        <v>0</v>
      </c>
      <c r="U370" s="1">
        <f t="shared" si="134"/>
        <v>0</v>
      </c>
      <c r="V370" s="1">
        <f t="shared" si="135"/>
        <v>0</v>
      </c>
      <c r="W370" s="1">
        <f t="shared" si="136"/>
        <v>0</v>
      </c>
      <c r="X370" s="1">
        <f t="shared" si="137"/>
        <v>0</v>
      </c>
      <c r="Y370" s="1">
        <f t="shared" si="138"/>
        <v>0</v>
      </c>
      <c r="Z370" s="1">
        <f t="shared" si="139"/>
        <v>0</v>
      </c>
      <c r="AA370" s="1">
        <f t="shared" si="140"/>
        <v>0</v>
      </c>
      <c r="AC370" s="1">
        <f t="shared" si="141"/>
        <v>0</v>
      </c>
      <c r="AD370" s="1">
        <f t="shared" si="142"/>
        <v>0</v>
      </c>
      <c r="AE370" s="1">
        <f t="shared" si="143"/>
        <v>0</v>
      </c>
      <c r="AF370" s="1">
        <f t="shared" si="144"/>
        <v>0</v>
      </c>
      <c r="AG370" s="1">
        <f t="shared" si="145"/>
        <v>0</v>
      </c>
      <c r="AH370" s="1">
        <f t="shared" si="146"/>
        <v>1</v>
      </c>
    </row>
    <row r="371" spans="1:34" ht="14.25" customHeight="1" x14ac:dyDescent="0.25">
      <c r="A371" s="47">
        <v>0</v>
      </c>
      <c r="B371" s="47">
        <v>2</v>
      </c>
      <c r="C371" s="47">
        <v>6</v>
      </c>
      <c r="D371" s="48" t="s">
        <v>645</v>
      </c>
      <c r="E371" s="48" t="s">
        <v>31</v>
      </c>
      <c r="F371" s="48" t="s">
        <v>646</v>
      </c>
      <c r="G371" s="48" t="s">
        <v>242</v>
      </c>
      <c r="H371" s="48" t="s">
        <v>358</v>
      </c>
      <c r="I371" s="47" t="s">
        <v>647</v>
      </c>
      <c r="J371" s="47">
        <v>1</v>
      </c>
      <c r="K371" s="49" t="s">
        <v>721</v>
      </c>
      <c r="L371" s="49" t="s">
        <v>702</v>
      </c>
      <c r="M371" s="50" t="s">
        <v>1448</v>
      </c>
      <c r="N371" s="50" t="s">
        <v>1751</v>
      </c>
      <c r="O371" s="51"/>
      <c r="P371" s="51"/>
      <c r="R371" s="1">
        <f t="shared" si="131"/>
        <v>1</v>
      </c>
      <c r="S371" s="1">
        <f t="shared" si="132"/>
        <v>0</v>
      </c>
      <c r="T371" s="1">
        <f t="shared" si="133"/>
        <v>0</v>
      </c>
      <c r="U371" s="1">
        <f t="shared" si="134"/>
        <v>0</v>
      </c>
      <c r="V371" s="1">
        <f t="shared" si="135"/>
        <v>0</v>
      </c>
      <c r="W371" s="1">
        <f t="shared" si="136"/>
        <v>0</v>
      </c>
      <c r="X371" s="1">
        <f t="shared" si="137"/>
        <v>0</v>
      </c>
      <c r="Y371" s="1">
        <f t="shared" si="138"/>
        <v>0</v>
      </c>
      <c r="Z371" s="1">
        <f t="shared" si="139"/>
        <v>0</v>
      </c>
      <c r="AA371" s="1">
        <f t="shared" si="140"/>
        <v>0</v>
      </c>
      <c r="AC371" s="1">
        <f t="shared" si="141"/>
        <v>0</v>
      </c>
      <c r="AD371" s="1">
        <f t="shared" si="142"/>
        <v>0</v>
      </c>
      <c r="AE371" s="1">
        <f t="shared" si="143"/>
        <v>0</v>
      </c>
      <c r="AF371" s="1">
        <f t="shared" si="144"/>
        <v>0</v>
      </c>
      <c r="AG371" s="1">
        <f t="shared" si="145"/>
        <v>0</v>
      </c>
      <c r="AH371" s="1">
        <f t="shared" si="146"/>
        <v>1</v>
      </c>
    </row>
    <row r="372" spans="1:34" ht="14.25" customHeight="1" x14ac:dyDescent="0.25">
      <c r="A372" s="47">
        <v>0</v>
      </c>
      <c r="B372" s="47">
        <v>2</v>
      </c>
      <c r="C372" s="47">
        <v>6</v>
      </c>
      <c r="D372" s="48" t="s">
        <v>1146</v>
      </c>
      <c r="E372" s="48" t="s">
        <v>31</v>
      </c>
      <c r="F372" s="48" t="s">
        <v>679</v>
      </c>
      <c r="G372" s="48" t="s">
        <v>202</v>
      </c>
      <c r="H372" s="48" t="s">
        <v>358</v>
      </c>
      <c r="I372" s="47" t="s">
        <v>526</v>
      </c>
      <c r="J372" s="47">
        <v>2</v>
      </c>
      <c r="K372" s="49" t="s">
        <v>720</v>
      </c>
      <c r="L372" s="49" t="s">
        <v>702</v>
      </c>
      <c r="M372" s="50" t="s">
        <v>736</v>
      </c>
      <c r="N372" s="50" t="s">
        <v>1751</v>
      </c>
      <c r="O372" s="51"/>
      <c r="P372" s="51"/>
      <c r="R372" s="1">
        <f t="shared" si="115"/>
        <v>0</v>
      </c>
      <c r="S372" s="1">
        <f t="shared" si="116"/>
        <v>1</v>
      </c>
      <c r="T372" s="1">
        <f t="shared" si="117"/>
        <v>0</v>
      </c>
      <c r="U372" s="1">
        <f t="shared" si="118"/>
        <v>0</v>
      </c>
      <c r="V372" s="1">
        <f t="shared" si="119"/>
        <v>0</v>
      </c>
      <c r="W372" s="1">
        <f t="shared" si="120"/>
        <v>0</v>
      </c>
      <c r="X372" s="1">
        <f t="shared" si="121"/>
        <v>0</v>
      </c>
      <c r="Y372" s="1">
        <f t="shared" si="122"/>
        <v>0</v>
      </c>
      <c r="Z372" s="1">
        <f t="shared" si="123"/>
        <v>0</v>
      </c>
      <c r="AA372" s="1">
        <f t="shared" si="124"/>
        <v>0</v>
      </c>
      <c r="AC372" s="1">
        <f t="shared" si="125"/>
        <v>0</v>
      </c>
      <c r="AD372" s="1">
        <f t="shared" si="126"/>
        <v>0</v>
      </c>
      <c r="AE372" s="1">
        <f t="shared" si="127"/>
        <v>0</v>
      </c>
      <c r="AF372" s="1">
        <f t="shared" si="128"/>
        <v>0</v>
      </c>
      <c r="AG372" s="1">
        <f t="shared" si="129"/>
        <v>0</v>
      </c>
      <c r="AH372" s="1">
        <f t="shared" si="130"/>
        <v>1</v>
      </c>
    </row>
    <row r="373" spans="1:34" ht="14.25" customHeight="1" x14ac:dyDescent="0.25">
      <c r="A373" s="47">
        <v>0</v>
      </c>
      <c r="B373" s="47">
        <v>2</v>
      </c>
      <c r="C373" s="47">
        <v>6</v>
      </c>
      <c r="D373" s="48" t="s">
        <v>1094</v>
      </c>
      <c r="E373" s="48" t="s">
        <v>161</v>
      </c>
      <c r="F373" s="48" t="s">
        <v>200</v>
      </c>
      <c r="G373" s="48" t="s">
        <v>201</v>
      </c>
      <c r="H373" s="48" t="s">
        <v>358</v>
      </c>
      <c r="I373" s="47" t="s">
        <v>392</v>
      </c>
      <c r="J373" s="47">
        <v>99</v>
      </c>
      <c r="K373" s="49" t="s">
        <v>720</v>
      </c>
      <c r="L373" s="49" t="s">
        <v>724</v>
      </c>
      <c r="M373" s="50" t="s">
        <v>738</v>
      </c>
      <c r="N373" s="50" t="s">
        <v>1750</v>
      </c>
      <c r="O373" s="51"/>
      <c r="P373" s="51"/>
      <c r="R373" s="1">
        <f t="shared" si="115"/>
        <v>0</v>
      </c>
      <c r="S373" s="1">
        <f t="shared" si="116"/>
        <v>0</v>
      </c>
      <c r="T373" s="1">
        <f t="shared" si="117"/>
        <v>0</v>
      </c>
      <c r="U373" s="1">
        <f t="shared" si="118"/>
        <v>0</v>
      </c>
      <c r="V373" s="1">
        <f t="shared" si="119"/>
        <v>0</v>
      </c>
      <c r="W373" s="1">
        <f t="shared" si="120"/>
        <v>0</v>
      </c>
      <c r="X373" s="1">
        <f t="shared" si="121"/>
        <v>0</v>
      </c>
      <c r="Y373" s="1">
        <f t="shared" si="122"/>
        <v>0</v>
      </c>
      <c r="Z373" s="1">
        <f t="shared" si="123"/>
        <v>0</v>
      </c>
      <c r="AA373" s="1">
        <f t="shared" si="124"/>
        <v>0</v>
      </c>
      <c r="AC373" s="1">
        <f t="shared" si="125"/>
        <v>0</v>
      </c>
      <c r="AD373" s="1">
        <f t="shared" si="126"/>
        <v>0</v>
      </c>
      <c r="AE373" s="1">
        <f t="shared" si="127"/>
        <v>0</v>
      </c>
      <c r="AF373" s="1">
        <f t="shared" si="128"/>
        <v>0</v>
      </c>
      <c r="AG373" s="1">
        <f t="shared" si="129"/>
        <v>0</v>
      </c>
      <c r="AH373" s="1">
        <f t="shared" si="130"/>
        <v>1</v>
      </c>
    </row>
    <row r="374" spans="1:34" ht="14.25" customHeight="1" x14ac:dyDescent="0.25">
      <c r="A374" s="34">
        <v>0</v>
      </c>
      <c r="B374" s="34">
        <v>2</v>
      </c>
      <c r="C374" s="34">
        <v>7</v>
      </c>
      <c r="D374" s="35" t="s">
        <v>515</v>
      </c>
      <c r="E374" s="35" t="s">
        <v>158</v>
      </c>
      <c r="F374" s="35" t="s">
        <v>516</v>
      </c>
      <c r="G374" s="35" t="s">
        <v>39</v>
      </c>
      <c r="H374" s="35" t="s">
        <v>358</v>
      </c>
      <c r="I374" s="34" t="s">
        <v>950</v>
      </c>
      <c r="J374" s="34">
        <v>7</v>
      </c>
      <c r="K374" s="36" t="s">
        <v>963</v>
      </c>
      <c r="L374" s="36" t="s">
        <v>39</v>
      </c>
      <c r="M374" s="37" t="s">
        <v>39</v>
      </c>
      <c r="N374" s="37" t="s">
        <v>1743</v>
      </c>
      <c r="O374" s="38">
        <v>1</v>
      </c>
      <c r="P374" s="38">
        <v>1</v>
      </c>
      <c r="R374" s="1">
        <f t="shared" si="115"/>
        <v>0</v>
      </c>
      <c r="S374" s="1">
        <f t="shared" si="116"/>
        <v>0</v>
      </c>
      <c r="T374" s="1">
        <f t="shared" si="117"/>
        <v>0</v>
      </c>
      <c r="U374" s="1">
        <f t="shared" si="118"/>
        <v>0</v>
      </c>
      <c r="V374" s="1">
        <f t="shared" si="119"/>
        <v>0</v>
      </c>
      <c r="W374" s="1">
        <f t="shared" si="120"/>
        <v>0</v>
      </c>
      <c r="X374" s="1">
        <f t="shared" si="121"/>
        <v>1</v>
      </c>
      <c r="Y374" s="1">
        <f t="shared" si="122"/>
        <v>0</v>
      </c>
      <c r="Z374" s="1">
        <f t="shared" si="123"/>
        <v>0</v>
      </c>
      <c r="AA374" s="1">
        <f t="shared" si="124"/>
        <v>0</v>
      </c>
      <c r="AC374" s="1">
        <f t="shared" si="125"/>
        <v>1</v>
      </c>
      <c r="AD374" s="1">
        <f t="shared" si="126"/>
        <v>0</v>
      </c>
      <c r="AE374" s="1">
        <f t="shared" si="127"/>
        <v>1</v>
      </c>
      <c r="AF374" s="1">
        <f t="shared" si="128"/>
        <v>0</v>
      </c>
      <c r="AG374" s="1">
        <f t="shared" si="129"/>
        <v>1</v>
      </c>
      <c r="AH374" s="1">
        <f t="shared" si="130"/>
        <v>0</v>
      </c>
    </row>
    <row r="375" spans="1:34" ht="14.25" customHeight="1" x14ac:dyDescent="0.25">
      <c r="A375" s="34">
        <v>0</v>
      </c>
      <c r="B375" s="34">
        <v>2</v>
      </c>
      <c r="C375" s="34">
        <v>7</v>
      </c>
      <c r="D375" s="35" t="s">
        <v>70</v>
      </c>
      <c r="E375" s="35" t="s">
        <v>28</v>
      </c>
      <c r="F375" s="35" t="s">
        <v>680</v>
      </c>
      <c r="G375" s="35" t="s">
        <v>260</v>
      </c>
      <c r="H375" s="35" t="s">
        <v>358</v>
      </c>
      <c r="I375" s="34" t="s">
        <v>421</v>
      </c>
      <c r="J375" s="34">
        <v>8</v>
      </c>
      <c r="K375" s="36" t="s">
        <v>721</v>
      </c>
      <c r="L375" s="36" t="s">
        <v>721</v>
      </c>
      <c r="M375" s="37" t="s">
        <v>739</v>
      </c>
      <c r="N375" s="37" t="s">
        <v>1759</v>
      </c>
      <c r="O375" s="38">
        <v>1</v>
      </c>
      <c r="P375" s="38"/>
      <c r="R375" s="1">
        <f t="shared" si="115"/>
        <v>0</v>
      </c>
      <c r="S375" s="1">
        <f t="shared" si="116"/>
        <v>0</v>
      </c>
      <c r="T375" s="1">
        <f t="shared" si="117"/>
        <v>0</v>
      </c>
      <c r="U375" s="1">
        <f t="shared" si="118"/>
        <v>0</v>
      </c>
      <c r="V375" s="1">
        <f t="shared" si="119"/>
        <v>0</v>
      </c>
      <c r="W375" s="1">
        <f t="shared" si="120"/>
        <v>0</v>
      </c>
      <c r="X375" s="1">
        <f t="shared" si="121"/>
        <v>0</v>
      </c>
      <c r="Y375" s="1">
        <f t="shared" si="122"/>
        <v>1</v>
      </c>
      <c r="Z375" s="1">
        <f t="shared" si="123"/>
        <v>0</v>
      </c>
      <c r="AA375" s="1">
        <f t="shared" si="124"/>
        <v>0</v>
      </c>
      <c r="AC375" s="1">
        <f t="shared" si="125"/>
        <v>0</v>
      </c>
      <c r="AD375" s="1">
        <f t="shared" si="126"/>
        <v>1</v>
      </c>
      <c r="AE375" s="1">
        <f t="shared" si="127"/>
        <v>0</v>
      </c>
      <c r="AF375" s="1">
        <f t="shared" si="128"/>
        <v>1</v>
      </c>
      <c r="AG375" s="1">
        <f t="shared" si="129"/>
        <v>0</v>
      </c>
      <c r="AH375" s="1">
        <f t="shared" si="130"/>
        <v>1</v>
      </c>
    </row>
    <row r="376" spans="1:34" ht="14.25" customHeight="1" x14ac:dyDescent="0.25">
      <c r="A376" s="34">
        <v>0</v>
      </c>
      <c r="B376" s="34">
        <v>2</v>
      </c>
      <c r="C376" s="34">
        <v>7</v>
      </c>
      <c r="D376" s="35" t="s">
        <v>660</v>
      </c>
      <c r="E376" s="35" t="s">
        <v>158</v>
      </c>
      <c r="F376" s="35" t="s">
        <v>591</v>
      </c>
      <c r="G376" s="35" t="s">
        <v>251</v>
      </c>
      <c r="H376" s="35" t="s">
        <v>358</v>
      </c>
      <c r="I376" s="34" t="s">
        <v>686</v>
      </c>
      <c r="J376" s="34">
        <v>7</v>
      </c>
      <c r="K376" s="36" t="s">
        <v>963</v>
      </c>
      <c r="L376" s="36" t="s">
        <v>39</v>
      </c>
      <c r="M376" s="37" t="s">
        <v>39</v>
      </c>
      <c r="N376" s="37" t="s">
        <v>1743</v>
      </c>
      <c r="O376" s="38">
        <v>1</v>
      </c>
      <c r="P376" s="38">
        <v>1</v>
      </c>
      <c r="R376" s="1">
        <f t="shared" si="115"/>
        <v>0</v>
      </c>
      <c r="S376" s="1">
        <f t="shared" si="116"/>
        <v>0</v>
      </c>
      <c r="T376" s="1">
        <f t="shared" si="117"/>
        <v>0</v>
      </c>
      <c r="U376" s="1">
        <f t="shared" si="118"/>
        <v>0</v>
      </c>
      <c r="V376" s="1">
        <f t="shared" si="119"/>
        <v>0</v>
      </c>
      <c r="W376" s="1">
        <f t="shared" si="120"/>
        <v>0</v>
      </c>
      <c r="X376" s="1">
        <f t="shared" si="121"/>
        <v>1</v>
      </c>
      <c r="Y376" s="1">
        <f t="shared" si="122"/>
        <v>0</v>
      </c>
      <c r="Z376" s="1">
        <f t="shared" si="123"/>
        <v>0</v>
      </c>
      <c r="AA376" s="1">
        <f t="shared" si="124"/>
        <v>0</v>
      </c>
      <c r="AC376" s="1">
        <f t="shared" si="125"/>
        <v>1</v>
      </c>
      <c r="AD376" s="1">
        <f t="shared" si="126"/>
        <v>0</v>
      </c>
      <c r="AE376" s="1">
        <f t="shared" si="127"/>
        <v>1</v>
      </c>
      <c r="AF376" s="1">
        <f t="shared" si="128"/>
        <v>0</v>
      </c>
      <c r="AG376" s="1">
        <f t="shared" si="129"/>
        <v>1</v>
      </c>
      <c r="AH376" s="1">
        <f t="shared" si="130"/>
        <v>0</v>
      </c>
    </row>
    <row r="377" spans="1:34" ht="14.25" customHeight="1" x14ac:dyDescent="0.25">
      <c r="A377" s="47">
        <v>0</v>
      </c>
      <c r="B377" s="47">
        <v>2</v>
      </c>
      <c r="C377" s="47">
        <v>7</v>
      </c>
      <c r="D377" s="48" t="s">
        <v>1650</v>
      </c>
      <c r="E377" s="48" t="s">
        <v>158</v>
      </c>
      <c r="F377" s="48" t="s">
        <v>1673</v>
      </c>
      <c r="G377" s="48" t="s">
        <v>215</v>
      </c>
      <c r="H377" s="48" t="s">
        <v>358</v>
      </c>
      <c r="I377" s="47" t="s">
        <v>600</v>
      </c>
      <c r="J377" s="47">
        <v>1</v>
      </c>
      <c r="K377" s="49" t="s">
        <v>720</v>
      </c>
      <c r="L377" s="49" t="s">
        <v>730</v>
      </c>
      <c r="M377" s="50" t="s">
        <v>1449</v>
      </c>
      <c r="N377" s="50" t="s">
        <v>1751</v>
      </c>
      <c r="O377" s="51"/>
      <c r="P377" s="51"/>
      <c r="R377" s="1">
        <f t="shared" si="115"/>
        <v>1</v>
      </c>
      <c r="S377" s="1">
        <f t="shared" si="116"/>
        <v>0</v>
      </c>
      <c r="T377" s="1">
        <f t="shared" si="117"/>
        <v>0</v>
      </c>
      <c r="U377" s="1">
        <f t="shared" si="118"/>
        <v>0</v>
      </c>
      <c r="V377" s="1">
        <f t="shared" si="119"/>
        <v>0</v>
      </c>
      <c r="W377" s="1">
        <f t="shared" si="120"/>
        <v>0</v>
      </c>
      <c r="X377" s="1">
        <f t="shared" si="121"/>
        <v>0</v>
      </c>
      <c r="Y377" s="1">
        <f t="shared" si="122"/>
        <v>0</v>
      </c>
      <c r="Z377" s="1">
        <f t="shared" si="123"/>
        <v>0</v>
      </c>
      <c r="AA377" s="1">
        <f t="shared" si="124"/>
        <v>0</v>
      </c>
      <c r="AC377" s="1">
        <f t="shared" si="125"/>
        <v>0</v>
      </c>
      <c r="AD377" s="1">
        <f t="shared" si="126"/>
        <v>0</v>
      </c>
      <c r="AE377" s="1">
        <f t="shared" si="127"/>
        <v>0</v>
      </c>
      <c r="AF377" s="1">
        <f t="shared" si="128"/>
        <v>0</v>
      </c>
      <c r="AG377" s="1">
        <f t="shared" si="129"/>
        <v>0</v>
      </c>
      <c r="AH377" s="1">
        <f t="shared" si="130"/>
        <v>1</v>
      </c>
    </row>
    <row r="378" spans="1:34" ht="14.25" customHeight="1" x14ac:dyDescent="0.25">
      <c r="A378" s="47">
        <v>0</v>
      </c>
      <c r="B378" s="47">
        <v>2</v>
      </c>
      <c r="C378" s="47">
        <v>7</v>
      </c>
      <c r="D378" s="48" t="s">
        <v>1081</v>
      </c>
      <c r="E378" s="48" t="s">
        <v>1057</v>
      </c>
      <c r="F378" s="48" t="s">
        <v>1082</v>
      </c>
      <c r="G378" s="48" t="s">
        <v>215</v>
      </c>
      <c r="H378" s="48" t="s">
        <v>358</v>
      </c>
      <c r="I378" s="47" t="s">
        <v>1083</v>
      </c>
      <c r="J378" s="47">
        <v>1</v>
      </c>
      <c r="K378" s="49" t="s">
        <v>963</v>
      </c>
      <c r="L378" s="49" t="s">
        <v>730</v>
      </c>
      <c r="M378" s="50" t="s">
        <v>1450</v>
      </c>
      <c r="N378" s="50" t="s">
        <v>1751</v>
      </c>
      <c r="O378" s="51"/>
      <c r="P378" s="51"/>
      <c r="R378" s="1">
        <f t="shared" si="115"/>
        <v>1</v>
      </c>
      <c r="S378" s="1">
        <f t="shared" si="116"/>
        <v>0</v>
      </c>
      <c r="T378" s="1">
        <f t="shared" si="117"/>
        <v>0</v>
      </c>
      <c r="U378" s="1">
        <f t="shared" si="118"/>
        <v>0</v>
      </c>
      <c r="V378" s="1">
        <f t="shared" si="119"/>
        <v>0</v>
      </c>
      <c r="W378" s="1">
        <f t="shared" si="120"/>
        <v>0</v>
      </c>
      <c r="X378" s="1">
        <f t="shared" si="121"/>
        <v>0</v>
      </c>
      <c r="Y378" s="1">
        <f t="shared" si="122"/>
        <v>0</v>
      </c>
      <c r="Z378" s="1">
        <f t="shared" si="123"/>
        <v>0</v>
      </c>
      <c r="AA378" s="1">
        <f t="shared" si="124"/>
        <v>0</v>
      </c>
      <c r="AC378" s="1">
        <f t="shared" si="125"/>
        <v>0</v>
      </c>
      <c r="AD378" s="1">
        <f t="shared" si="126"/>
        <v>0</v>
      </c>
      <c r="AE378" s="1">
        <f t="shared" si="127"/>
        <v>0</v>
      </c>
      <c r="AF378" s="1">
        <f t="shared" si="128"/>
        <v>0</v>
      </c>
      <c r="AG378" s="1">
        <f t="shared" si="129"/>
        <v>0</v>
      </c>
      <c r="AH378" s="1">
        <f t="shared" si="130"/>
        <v>1</v>
      </c>
    </row>
    <row r="379" spans="1:34" ht="14.25" customHeight="1" x14ac:dyDescent="0.25">
      <c r="A379" s="34">
        <v>0</v>
      </c>
      <c r="B379" s="34">
        <v>2</v>
      </c>
      <c r="C379" s="34">
        <v>7</v>
      </c>
      <c r="D379" s="35" t="s">
        <v>1025</v>
      </c>
      <c r="E379" s="35" t="s">
        <v>158</v>
      </c>
      <c r="F379" s="35" t="s">
        <v>1099</v>
      </c>
      <c r="G379" s="35" t="s">
        <v>1109</v>
      </c>
      <c r="H379" s="35" t="s">
        <v>358</v>
      </c>
      <c r="I379" s="34" t="s">
        <v>1026</v>
      </c>
      <c r="J379" s="34">
        <v>99</v>
      </c>
      <c r="K379" s="36" t="s">
        <v>721</v>
      </c>
      <c r="L379" s="36" t="s">
        <v>730</v>
      </c>
      <c r="M379" s="37" t="s">
        <v>1450</v>
      </c>
      <c r="N379" s="37" t="s">
        <v>1764</v>
      </c>
      <c r="O379" s="38">
        <v>1</v>
      </c>
      <c r="P379" s="38"/>
      <c r="R379" s="1">
        <f t="shared" si="115"/>
        <v>0</v>
      </c>
      <c r="S379" s="1">
        <f t="shared" si="116"/>
        <v>0</v>
      </c>
      <c r="T379" s="1">
        <f t="shared" si="117"/>
        <v>0</v>
      </c>
      <c r="U379" s="1">
        <f t="shared" si="118"/>
        <v>0</v>
      </c>
      <c r="V379" s="1">
        <f t="shared" si="119"/>
        <v>0</v>
      </c>
      <c r="W379" s="1">
        <f t="shared" si="120"/>
        <v>0</v>
      </c>
      <c r="X379" s="1">
        <f t="shared" si="121"/>
        <v>0</v>
      </c>
      <c r="Y379" s="1">
        <f t="shared" si="122"/>
        <v>0</v>
      </c>
      <c r="Z379" s="1">
        <f t="shared" si="123"/>
        <v>0</v>
      </c>
      <c r="AA379" s="1">
        <f t="shared" si="124"/>
        <v>0</v>
      </c>
      <c r="AC379" s="1">
        <f t="shared" si="125"/>
        <v>0</v>
      </c>
      <c r="AD379" s="1">
        <f t="shared" si="126"/>
        <v>1</v>
      </c>
      <c r="AE379" s="1">
        <f t="shared" si="127"/>
        <v>0</v>
      </c>
      <c r="AF379" s="1">
        <f t="shared" si="128"/>
        <v>1</v>
      </c>
      <c r="AG379" s="1">
        <f t="shared" si="129"/>
        <v>0</v>
      </c>
      <c r="AH379" s="1">
        <f t="shared" si="130"/>
        <v>1</v>
      </c>
    </row>
    <row r="380" spans="1:34" ht="14.25" customHeight="1" x14ac:dyDescent="0.25">
      <c r="A380" s="34">
        <v>0</v>
      </c>
      <c r="B380" s="34">
        <v>2</v>
      </c>
      <c r="C380" s="34">
        <v>7</v>
      </c>
      <c r="D380" s="35" t="s">
        <v>1220</v>
      </c>
      <c r="E380" s="35" t="s">
        <v>1347</v>
      </c>
      <c r="F380" s="35" t="s">
        <v>1221</v>
      </c>
      <c r="G380" s="35" t="s">
        <v>39</v>
      </c>
      <c r="H380" s="35" t="s">
        <v>358</v>
      </c>
      <c r="I380" s="34" t="s">
        <v>1701</v>
      </c>
      <c r="J380" s="34">
        <v>99</v>
      </c>
      <c r="K380" s="36" t="s">
        <v>963</v>
      </c>
      <c r="L380" s="36" t="s">
        <v>737</v>
      </c>
      <c r="M380" s="37" t="s">
        <v>1451</v>
      </c>
      <c r="N380" s="37" t="s">
        <v>1764</v>
      </c>
      <c r="O380" s="38">
        <v>1</v>
      </c>
      <c r="P380" s="38"/>
      <c r="R380" s="1">
        <f t="shared" si="115"/>
        <v>0</v>
      </c>
      <c r="S380" s="1">
        <f t="shared" si="116"/>
        <v>0</v>
      </c>
      <c r="T380" s="1">
        <f t="shared" si="117"/>
        <v>0</v>
      </c>
      <c r="U380" s="1">
        <f t="shared" si="118"/>
        <v>0</v>
      </c>
      <c r="V380" s="1">
        <f t="shared" si="119"/>
        <v>0</v>
      </c>
      <c r="W380" s="1">
        <f t="shared" si="120"/>
        <v>0</v>
      </c>
      <c r="X380" s="1">
        <f t="shared" si="121"/>
        <v>0</v>
      </c>
      <c r="Y380" s="1">
        <f t="shared" si="122"/>
        <v>0</v>
      </c>
      <c r="Z380" s="1">
        <f t="shared" si="123"/>
        <v>0</v>
      </c>
      <c r="AA380" s="1">
        <f t="shared" si="124"/>
        <v>0</v>
      </c>
      <c r="AC380" s="1">
        <f t="shared" si="125"/>
        <v>0</v>
      </c>
      <c r="AD380" s="1">
        <f t="shared" si="126"/>
        <v>1</v>
      </c>
      <c r="AE380" s="1">
        <f t="shared" si="127"/>
        <v>0</v>
      </c>
      <c r="AF380" s="1">
        <f t="shared" si="128"/>
        <v>1</v>
      </c>
      <c r="AG380" s="1">
        <f t="shared" si="129"/>
        <v>0</v>
      </c>
      <c r="AH380" s="1">
        <f t="shared" si="130"/>
        <v>1</v>
      </c>
    </row>
    <row r="381" spans="1:34" ht="14.25" customHeight="1" x14ac:dyDescent="0.25">
      <c r="A381" s="34">
        <v>0</v>
      </c>
      <c r="B381" s="34">
        <v>2</v>
      </c>
      <c r="C381" s="34">
        <v>7</v>
      </c>
      <c r="D381" s="35" t="s">
        <v>55</v>
      </c>
      <c r="E381" s="35" t="s">
        <v>28</v>
      </c>
      <c r="F381" s="35" t="s">
        <v>650</v>
      </c>
      <c r="G381" s="35" t="s">
        <v>541</v>
      </c>
      <c r="H381" s="35" t="s">
        <v>358</v>
      </c>
      <c r="I381" s="34" t="s">
        <v>398</v>
      </c>
      <c r="J381" s="34">
        <v>6</v>
      </c>
      <c r="K381" s="36" t="s">
        <v>720</v>
      </c>
      <c r="L381" s="36" t="s">
        <v>721</v>
      </c>
      <c r="M381" s="37" t="s">
        <v>739</v>
      </c>
      <c r="N381" s="37" t="s">
        <v>1777</v>
      </c>
      <c r="O381" s="38">
        <v>1</v>
      </c>
      <c r="P381" s="38"/>
      <c r="R381" s="1">
        <f t="shared" si="115"/>
        <v>0</v>
      </c>
      <c r="S381" s="1">
        <f t="shared" si="116"/>
        <v>0</v>
      </c>
      <c r="T381" s="1">
        <f t="shared" si="117"/>
        <v>0</v>
      </c>
      <c r="U381" s="1">
        <f t="shared" si="118"/>
        <v>0</v>
      </c>
      <c r="V381" s="1">
        <f t="shared" si="119"/>
        <v>0</v>
      </c>
      <c r="W381" s="1">
        <f t="shared" si="120"/>
        <v>1</v>
      </c>
      <c r="X381" s="1">
        <f t="shared" si="121"/>
        <v>0</v>
      </c>
      <c r="Y381" s="1">
        <f t="shared" si="122"/>
        <v>0</v>
      </c>
      <c r="Z381" s="1">
        <f t="shared" si="123"/>
        <v>0</v>
      </c>
      <c r="AA381" s="1">
        <f t="shared" si="124"/>
        <v>0</v>
      </c>
      <c r="AC381" s="1">
        <f t="shared" si="125"/>
        <v>0</v>
      </c>
      <c r="AD381" s="1">
        <f t="shared" si="126"/>
        <v>1</v>
      </c>
      <c r="AE381" s="1">
        <f t="shared" si="127"/>
        <v>0</v>
      </c>
      <c r="AF381" s="1">
        <f t="shared" si="128"/>
        <v>1</v>
      </c>
      <c r="AG381" s="1">
        <f t="shared" si="129"/>
        <v>0</v>
      </c>
      <c r="AH381" s="1">
        <f t="shared" si="130"/>
        <v>1</v>
      </c>
    </row>
    <row r="382" spans="1:34" ht="14.25" customHeight="1" x14ac:dyDescent="0.25">
      <c r="A382" s="34">
        <v>1</v>
      </c>
      <c r="B382" s="34">
        <v>2</v>
      </c>
      <c r="C382" s="34">
        <v>7</v>
      </c>
      <c r="D382" s="35" t="s">
        <v>55</v>
      </c>
      <c r="E382" s="35" t="s">
        <v>28</v>
      </c>
      <c r="F382" s="35" t="s">
        <v>218</v>
      </c>
      <c r="G382" s="35" t="s">
        <v>39</v>
      </c>
      <c r="H382" s="35" t="s">
        <v>358</v>
      </c>
      <c r="I382" s="34" t="s">
        <v>30</v>
      </c>
      <c r="J382" s="34">
        <v>99</v>
      </c>
      <c r="K382" s="36" t="s">
        <v>720</v>
      </c>
      <c r="L382" s="36" t="s">
        <v>721</v>
      </c>
      <c r="M382" s="37" t="s">
        <v>739</v>
      </c>
      <c r="N382" s="37" t="s">
        <v>1777</v>
      </c>
      <c r="O382" s="38">
        <v>1</v>
      </c>
      <c r="P382" s="38"/>
      <c r="R382" s="1">
        <f t="shared" si="115"/>
        <v>0</v>
      </c>
      <c r="S382" s="1">
        <f t="shared" si="116"/>
        <v>0</v>
      </c>
      <c r="T382" s="1">
        <f t="shared" si="117"/>
        <v>0</v>
      </c>
      <c r="U382" s="1">
        <f t="shared" si="118"/>
        <v>0</v>
      </c>
      <c r="V382" s="1">
        <f t="shared" si="119"/>
        <v>0</v>
      </c>
      <c r="W382" s="1">
        <f t="shared" si="120"/>
        <v>0</v>
      </c>
      <c r="X382" s="1">
        <f t="shared" si="121"/>
        <v>0</v>
      </c>
      <c r="Y382" s="1">
        <f t="shared" si="122"/>
        <v>0</v>
      </c>
      <c r="Z382" s="1">
        <f t="shared" si="123"/>
        <v>0</v>
      </c>
      <c r="AA382" s="1">
        <f t="shared" si="124"/>
        <v>0</v>
      </c>
      <c r="AC382" s="1">
        <f t="shared" si="125"/>
        <v>0</v>
      </c>
      <c r="AD382" s="1">
        <f t="shared" si="126"/>
        <v>1</v>
      </c>
      <c r="AE382" s="1">
        <f t="shared" si="127"/>
        <v>0</v>
      </c>
      <c r="AF382" s="1">
        <f t="shared" si="128"/>
        <v>0</v>
      </c>
      <c r="AG382" s="1">
        <f t="shared" si="129"/>
        <v>0</v>
      </c>
      <c r="AH382" s="1">
        <f t="shared" si="130"/>
        <v>0</v>
      </c>
    </row>
    <row r="383" spans="1:34" ht="14.25" customHeight="1" x14ac:dyDescent="0.25">
      <c r="A383" s="34">
        <v>1</v>
      </c>
      <c r="B383" s="34">
        <v>2</v>
      </c>
      <c r="C383" s="34">
        <v>7</v>
      </c>
      <c r="D383" s="35" t="s">
        <v>55</v>
      </c>
      <c r="E383" s="35" t="s">
        <v>28</v>
      </c>
      <c r="F383" s="35" t="s">
        <v>217</v>
      </c>
      <c r="G383" s="35" t="s">
        <v>39</v>
      </c>
      <c r="H383" s="35" t="s">
        <v>358</v>
      </c>
      <c r="I383" s="34" t="s">
        <v>398</v>
      </c>
      <c r="J383" s="34">
        <v>99</v>
      </c>
      <c r="K383" s="36" t="s">
        <v>720</v>
      </c>
      <c r="L383" s="36" t="s">
        <v>721</v>
      </c>
      <c r="M383" s="37" t="s">
        <v>739</v>
      </c>
      <c r="N383" s="37" t="s">
        <v>1777</v>
      </c>
      <c r="O383" s="38">
        <v>1</v>
      </c>
      <c r="P383" s="38"/>
      <c r="R383" s="1">
        <f t="shared" si="115"/>
        <v>0</v>
      </c>
      <c r="S383" s="1">
        <f t="shared" si="116"/>
        <v>0</v>
      </c>
      <c r="T383" s="1">
        <f t="shared" si="117"/>
        <v>0</v>
      </c>
      <c r="U383" s="1">
        <f t="shared" si="118"/>
        <v>0</v>
      </c>
      <c r="V383" s="1">
        <f t="shared" si="119"/>
        <v>0</v>
      </c>
      <c r="W383" s="1">
        <f t="shared" si="120"/>
        <v>0</v>
      </c>
      <c r="X383" s="1">
        <f t="shared" si="121"/>
        <v>0</v>
      </c>
      <c r="Y383" s="1">
        <f t="shared" si="122"/>
        <v>0</v>
      </c>
      <c r="Z383" s="1">
        <f t="shared" si="123"/>
        <v>0</v>
      </c>
      <c r="AA383" s="1">
        <f t="shared" si="124"/>
        <v>0</v>
      </c>
      <c r="AC383" s="1">
        <f t="shared" si="125"/>
        <v>0</v>
      </c>
      <c r="AD383" s="1">
        <f t="shared" si="126"/>
        <v>1</v>
      </c>
      <c r="AE383" s="1">
        <f t="shared" si="127"/>
        <v>0</v>
      </c>
      <c r="AF383" s="1">
        <f t="shared" si="128"/>
        <v>0</v>
      </c>
      <c r="AG383" s="1">
        <f t="shared" si="129"/>
        <v>0</v>
      </c>
      <c r="AH383" s="1">
        <f t="shared" si="130"/>
        <v>0</v>
      </c>
    </row>
    <row r="384" spans="1:34" ht="14.25" customHeight="1" x14ac:dyDescent="0.25">
      <c r="A384" s="34">
        <v>1</v>
      </c>
      <c r="B384" s="34">
        <v>2</v>
      </c>
      <c r="C384" s="34">
        <v>7</v>
      </c>
      <c r="D384" s="35" t="s">
        <v>55</v>
      </c>
      <c r="E384" s="35" t="s">
        <v>28</v>
      </c>
      <c r="F384" s="35" t="s">
        <v>219</v>
      </c>
      <c r="G384" s="35" t="s">
        <v>220</v>
      </c>
      <c r="H384" s="35" t="s">
        <v>358</v>
      </c>
      <c r="I384" s="34" t="s">
        <v>399</v>
      </c>
      <c r="J384" s="34">
        <v>99</v>
      </c>
      <c r="K384" s="36" t="s">
        <v>720</v>
      </c>
      <c r="L384" s="36" t="s">
        <v>721</v>
      </c>
      <c r="M384" s="37" t="s">
        <v>739</v>
      </c>
      <c r="N384" s="37" t="s">
        <v>1777</v>
      </c>
      <c r="O384" s="38">
        <v>1</v>
      </c>
      <c r="P384" s="38"/>
      <c r="R384" s="1">
        <f t="shared" si="115"/>
        <v>0</v>
      </c>
      <c r="S384" s="1">
        <f t="shared" si="116"/>
        <v>0</v>
      </c>
      <c r="T384" s="1">
        <f t="shared" si="117"/>
        <v>0</v>
      </c>
      <c r="U384" s="1">
        <f t="shared" si="118"/>
        <v>0</v>
      </c>
      <c r="V384" s="1">
        <f t="shared" si="119"/>
        <v>0</v>
      </c>
      <c r="W384" s="1">
        <f t="shared" si="120"/>
        <v>0</v>
      </c>
      <c r="X384" s="1">
        <f t="shared" si="121"/>
        <v>0</v>
      </c>
      <c r="Y384" s="1">
        <f t="shared" si="122"/>
        <v>0</v>
      </c>
      <c r="Z384" s="1">
        <f t="shared" si="123"/>
        <v>0</v>
      </c>
      <c r="AA384" s="1">
        <f t="shared" si="124"/>
        <v>0</v>
      </c>
      <c r="AC384" s="1">
        <f t="shared" si="125"/>
        <v>0</v>
      </c>
      <c r="AD384" s="1">
        <f t="shared" si="126"/>
        <v>1</v>
      </c>
      <c r="AE384" s="1">
        <f t="shared" si="127"/>
        <v>0</v>
      </c>
      <c r="AF384" s="1">
        <f t="shared" si="128"/>
        <v>0</v>
      </c>
      <c r="AG384" s="1">
        <f t="shared" si="129"/>
        <v>0</v>
      </c>
      <c r="AH384" s="1">
        <f t="shared" si="130"/>
        <v>0</v>
      </c>
    </row>
    <row r="385" spans="1:34" ht="14.25" customHeight="1" x14ac:dyDescent="0.25">
      <c r="A385" s="47">
        <v>0</v>
      </c>
      <c r="B385" s="47">
        <v>2</v>
      </c>
      <c r="C385" s="47">
        <v>7</v>
      </c>
      <c r="D385" s="48" t="s">
        <v>68</v>
      </c>
      <c r="E385" s="48" t="s">
        <v>28</v>
      </c>
      <c r="F385" s="48" t="s">
        <v>255</v>
      </c>
      <c r="G385" s="48" t="s">
        <v>256</v>
      </c>
      <c r="H385" s="48" t="s">
        <v>358</v>
      </c>
      <c r="I385" s="47" t="s">
        <v>418</v>
      </c>
      <c r="J385" s="47">
        <v>99</v>
      </c>
      <c r="K385" s="49" t="s">
        <v>721</v>
      </c>
      <c r="L385" s="49" t="s">
        <v>721</v>
      </c>
      <c r="M385" s="50" t="s">
        <v>739</v>
      </c>
      <c r="N385" s="50" t="s">
        <v>1818</v>
      </c>
      <c r="O385" s="51"/>
      <c r="P385" s="51"/>
      <c r="R385" s="1">
        <f t="shared" si="115"/>
        <v>0</v>
      </c>
      <c r="S385" s="1">
        <f t="shared" si="116"/>
        <v>0</v>
      </c>
      <c r="T385" s="1">
        <f t="shared" si="117"/>
        <v>0</v>
      </c>
      <c r="U385" s="1">
        <f t="shared" si="118"/>
        <v>0</v>
      </c>
      <c r="V385" s="1">
        <f t="shared" si="119"/>
        <v>0</v>
      </c>
      <c r="W385" s="1">
        <f t="shared" si="120"/>
        <v>0</v>
      </c>
      <c r="X385" s="1">
        <f t="shared" si="121"/>
        <v>0</v>
      </c>
      <c r="Y385" s="1">
        <f t="shared" si="122"/>
        <v>0</v>
      </c>
      <c r="Z385" s="1">
        <f t="shared" si="123"/>
        <v>0</v>
      </c>
      <c r="AA385" s="1">
        <f t="shared" si="124"/>
        <v>0</v>
      </c>
      <c r="AC385" s="1">
        <f t="shared" si="125"/>
        <v>0</v>
      </c>
      <c r="AD385" s="1">
        <f t="shared" si="126"/>
        <v>0</v>
      </c>
      <c r="AE385" s="1">
        <f t="shared" si="127"/>
        <v>0</v>
      </c>
      <c r="AF385" s="1">
        <f t="shared" si="128"/>
        <v>0</v>
      </c>
      <c r="AG385" s="1">
        <f t="shared" si="129"/>
        <v>0</v>
      </c>
      <c r="AH385" s="1">
        <f t="shared" si="130"/>
        <v>1</v>
      </c>
    </row>
    <row r="386" spans="1:34" ht="14.25" customHeight="1" x14ac:dyDescent="0.25">
      <c r="A386" s="15">
        <v>0</v>
      </c>
      <c r="B386" s="15">
        <v>2</v>
      </c>
      <c r="C386" s="15">
        <v>7</v>
      </c>
      <c r="D386" s="16" t="s">
        <v>69</v>
      </c>
      <c r="E386" s="16" t="s">
        <v>28</v>
      </c>
      <c r="F386" s="16" t="s">
        <v>257</v>
      </c>
      <c r="G386" s="16" t="s">
        <v>209</v>
      </c>
      <c r="H386" s="16" t="s">
        <v>358</v>
      </c>
      <c r="I386" s="15" t="s">
        <v>419</v>
      </c>
      <c r="J386" s="15">
        <v>99</v>
      </c>
      <c r="K386" s="10" t="s">
        <v>963</v>
      </c>
      <c r="L386" s="10" t="s">
        <v>721</v>
      </c>
      <c r="M386" s="19" t="s">
        <v>739</v>
      </c>
      <c r="N386" s="17"/>
      <c r="R386" s="1">
        <f t="shared" si="115"/>
        <v>0</v>
      </c>
      <c r="S386" s="1">
        <f t="shared" si="116"/>
        <v>0</v>
      </c>
      <c r="T386" s="1">
        <f t="shared" si="117"/>
        <v>0</v>
      </c>
      <c r="U386" s="1">
        <f t="shared" si="118"/>
        <v>0</v>
      </c>
      <c r="V386" s="1">
        <f t="shared" si="119"/>
        <v>0</v>
      </c>
      <c r="W386" s="1">
        <f t="shared" si="120"/>
        <v>0</v>
      </c>
      <c r="X386" s="1">
        <f t="shared" si="121"/>
        <v>0</v>
      </c>
      <c r="Y386" s="1">
        <f t="shared" si="122"/>
        <v>0</v>
      </c>
      <c r="Z386" s="1">
        <f t="shared" si="123"/>
        <v>0</v>
      </c>
      <c r="AA386" s="1">
        <f t="shared" si="124"/>
        <v>0</v>
      </c>
      <c r="AC386" s="1">
        <f t="shared" si="125"/>
        <v>0</v>
      </c>
      <c r="AD386" s="1">
        <f t="shared" si="126"/>
        <v>0</v>
      </c>
      <c r="AE386" s="1">
        <f t="shared" si="127"/>
        <v>0</v>
      </c>
      <c r="AF386" s="1">
        <f t="shared" si="128"/>
        <v>0</v>
      </c>
      <c r="AG386" s="1">
        <f t="shared" si="129"/>
        <v>0</v>
      </c>
      <c r="AH386" s="1">
        <f t="shared" si="130"/>
        <v>1</v>
      </c>
    </row>
    <row r="387" spans="1:34" ht="14.25" customHeight="1" x14ac:dyDescent="0.25">
      <c r="A387" s="15">
        <v>1</v>
      </c>
      <c r="B387" s="15">
        <v>2</v>
      </c>
      <c r="C387" s="15">
        <v>7</v>
      </c>
      <c r="D387" s="16" t="s">
        <v>69</v>
      </c>
      <c r="E387" s="16" t="s">
        <v>28</v>
      </c>
      <c r="F387" s="20" t="s">
        <v>1891</v>
      </c>
      <c r="G387" s="16" t="s">
        <v>258</v>
      </c>
      <c r="H387" s="16" t="s">
        <v>358</v>
      </c>
      <c r="I387" s="15" t="s">
        <v>420</v>
      </c>
      <c r="J387" s="15">
        <v>99</v>
      </c>
      <c r="K387" s="10" t="s">
        <v>963</v>
      </c>
      <c r="L387" s="10" t="s">
        <v>721</v>
      </c>
      <c r="M387" s="19" t="s">
        <v>739</v>
      </c>
      <c r="N387" s="17"/>
      <c r="R387" s="1">
        <f t="shared" si="115"/>
        <v>0</v>
      </c>
      <c r="S387" s="1">
        <f t="shared" si="116"/>
        <v>0</v>
      </c>
      <c r="T387" s="1">
        <f t="shared" si="117"/>
        <v>0</v>
      </c>
      <c r="U387" s="1">
        <f t="shared" si="118"/>
        <v>0</v>
      </c>
      <c r="V387" s="1">
        <f t="shared" si="119"/>
        <v>0</v>
      </c>
      <c r="W387" s="1">
        <f t="shared" si="120"/>
        <v>0</v>
      </c>
      <c r="X387" s="1">
        <f t="shared" si="121"/>
        <v>0</v>
      </c>
      <c r="Y387" s="1">
        <f t="shared" si="122"/>
        <v>0</v>
      </c>
      <c r="Z387" s="1">
        <f t="shared" si="123"/>
        <v>0</v>
      </c>
      <c r="AA387" s="1">
        <f t="shared" si="124"/>
        <v>0</v>
      </c>
      <c r="AC387" s="1">
        <f t="shared" si="125"/>
        <v>0</v>
      </c>
      <c r="AD387" s="1">
        <f t="shared" si="126"/>
        <v>0</v>
      </c>
      <c r="AE387" s="1">
        <f t="shared" si="127"/>
        <v>0</v>
      </c>
      <c r="AF387" s="1">
        <f t="shared" si="128"/>
        <v>0</v>
      </c>
      <c r="AG387" s="1">
        <f t="shared" si="129"/>
        <v>0</v>
      </c>
      <c r="AH387" s="1">
        <f t="shared" si="130"/>
        <v>0</v>
      </c>
    </row>
    <row r="388" spans="1:34" ht="14.25" customHeight="1" x14ac:dyDescent="0.25">
      <c r="A388" s="15">
        <v>1</v>
      </c>
      <c r="B388" s="15">
        <v>2</v>
      </c>
      <c r="C388" s="15">
        <v>7</v>
      </c>
      <c r="D388" s="16" t="s">
        <v>69</v>
      </c>
      <c r="E388" s="16" t="s">
        <v>28</v>
      </c>
      <c r="F388" s="16" t="s">
        <v>576</v>
      </c>
      <c r="G388" s="16" t="s">
        <v>577</v>
      </c>
      <c r="H388" s="16" t="s">
        <v>358</v>
      </c>
      <c r="I388" s="15" t="s">
        <v>586</v>
      </c>
      <c r="J388" s="15">
        <v>99</v>
      </c>
      <c r="K388" s="10" t="s">
        <v>963</v>
      </c>
      <c r="L388" s="10" t="s">
        <v>721</v>
      </c>
      <c r="M388" s="19" t="s">
        <v>739</v>
      </c>
      <c r="N388" s="17"/>
      <c r="R388" s="1">
        <f t="shared" si="115"/>
        <v>0</v>
      </c>
      <c r="S388" s="1">
        <f t="shared" si="116"/>
        <v>0</v>
      </c>
      <c r="T388" s="1">
        <f t="shared" si="117"/>
        <v>0</v>
      </c>
      <c r="U388" s="1">
        <f t="shared" si="118"/>
        <v>0</v>
      </c>
      <c r="V388" s="1">
        <f t="shared" si="119"/>
        <v>0</v>
      </c>
      <c r="W388" s="1">
        <f t="shared" si="120"/>
        <v>0</v>
      </c>
      <c r="X388" s="1">
        <f t="shared" si="121"/>
        <v>0</v>
      </c>
      <c r="Y388" s="1">
        <f t="shared" si="122"/>
        <v>0</v>
      </c>
      <c r="Z388" s="1">
        <f t="shared" si="123"/>
        <v>0</v>
      </c>
      <c r="AA388" s="1">
        <f t="shared" si="124"/>
        <v>0</v>
      </c>
      <c r="AC388" s="1">
        <f t="shared" si="125"/>
        <v>0</v>
      </c>
      <c r="AD388" s="1">
        <f t="shared" si="126"/>
        <v>0</v>
      </c>
      <c r="AE388" s="1">
        <f t="shared" si="127"/>
        <v>0</v>
      </c>
      <c r="AF388" s="1">
        <f t="shared" si="128"/>
        <v>0</v>
      </c>
      <c r="AG388" s="1">
        <f t="shared" si="129"/>
        <v>0</v>
      </c>
      <c r="AH388" s="1">
        <f t="shared" si="130"/>
        <v>0</v>
      </c>
    </row>
    <row r="389" spans="1:34" ht="14.25" customHeight="1" x14ac:dyDescent="0.25">
      <c r="A389" s="47">
        <v>0</v>
      </c>
      <c r="B389" s="47">
        <v>2</v>
      </c>
      <c r="C389" s="47">
        <v>7</v>
      </c>
      <c r="D389" s="48" t="s">
        <v>71</v>
      </c>
      <c r="E389" s="48" t="s">
        <v>28</v>
      </c>
      <c r="F389" s="48" t="s">
        <v>1364</v>
      </c>
      <c r="G389" s="48" t="s">
        <v>262</v>
      </c>
      <c r="H389" s="48" t="s">
        <v>358</v>
      </c>
      <c r="I389" s="47" t="s">
        <v>422</v>
      </c>
      <c r="J389" s="47">
        <v>99</v>
      </c>
      <c r="K389" s="49" t="s">
        <v>721</v>
      </c>
      <c r="L389" s="49" t="s">
        <v>721</v>
      </c>
      <c r="M389" s="50" t="s">
        <v>739</v>
      </c>
      <c r="N389" s="50" t="s">
        <v>1818</v>
      </c>
      <c r="O389" s="51"/>
      <c r="P389" s="51"/>
      <c r="R389" s="1">
        <f t="shared" si="115"/>
        <v>0</v>
      </c>
      <c r="S389" s="1">
        <f t="shared" si="116"/>
        <v>0</v>
      </c>
      <c r="T389" s="1">
        <f t="shared" si="117"/>
        <v>0</v>
      </c>
      <c r="U389" s="1">
        <f t="shared" si="118"/>
        <v>0</v>
      </c>
      <c r="V389" s="1">
        <f t="shared" si="119"/>
        <v>0</v>
      </c>
      <c r="W389" s="1">
        <f t="shared" si="120"/>
        <v>0</v>
      </c>
      <c r="X389" s="1">
        <f t="shared" si="121"/>
        <v>0</v>
      </c>
      <c r="Y389" s="1">
        <f t="shared" si="122"/>
        <v>0</v>
      </c>
      <c r="Z389" s="1">
        <f t="shared" si="123"/>
        <v>0</v>
      </c>
      <c r="AA389" s="1">
        <f t="shared" si="124"/>
        <v>0</v>
      </c>
      <c r="AC389" s="1">
        <f t="shared" si="125"/>
        <v>0</v>
      </c>
      <c r="AD389" s="1">
        <f t="shared" si="126"/>
        <v>0</v>
      </c>
      <c r="AE389" s="1">
        <f t="shared" si="127"/>
        <v>0</v>
      </c>
      <c r="AF389" s="1">
        <f t="shared" si="128"/>
        <v>0</v>
      </c>
      <c r="AG389" s="1">
        <f t="shared" si="129"/>
        <v>0</v>
      </c>
      <c r="AH389" s="1">
        <f t="shared" si="130"/>
        <v>1</v>
      </c>
    </row>
    <row r="390" spans="1:34" ht="14.25" customHeight="1" x14ac:dyDescent="0.25">
      <c r="A390" s="47">
        <v>0</v>
      </c>
      <c r="B390" s="47">
        <v>2</v>
      </c>
      <c r="C390" s="47">
        <v>7</v>
      </c>
      <c r="D390" s="48" t="s">
        <v>1073</v>
      </c>
      <c r="E390" s="48" t="s">
        <v>28</v>
      </c>
      <c r="F390" s="48" t="s">
        <v>1074</v>
      </c>
      <c r="G390" s="48" t="s">
        <v>1075</v>
      </c>
      <c r="H390" s="48" t="s">
        <v>358</v>
      </c>
      <c r="I390" s="47" t="s">
        <v>1076</v>
      </c>
      <c r="J390" s="47">
        <v>99</v>
      </c>
      <c r="K390" s="49" t="s">
        <v>721</v>
      </c>
      <c r="L390" s="49" t="s">
        <v>721</v>
      </c>
      <c r="M390" s="50" t="s">
        <v>739</v>
      </c>
      <c r="N390" s="50" t="s">
        <v>1818</v>
      </c>
      <c r="O390" s="51"/>
      <c r="P390" s="51"/>
      <c r="R390" s="1">
        <f t="shared" si="115"/>
        <v>0</v>
      </c>
      <c r="S390" s="1">
        <f t="shared" si="116"/>
        <v>0</v>
      </c>
      <c r="T390" s="1">
        <f t="shared" si="117"/>
        <v>0</v>
      </c>
      <c r="U390" s="1">
        <f t="shared" si="118"/>
        <v>0</v>
      </c>
      <c r="V390" s="1">
        <f t="shared" si="119"/>
        <v>0</v>
      </c>
      <c r="W390" s="1">
        <f t="shared" si="120"/>
        <v>0</v>
      </c>
      <c r="X390" s="1">
        <f t="shared" si="121"/>
        <v>0</v>
      </c>
      <c r="Y390" s="1">
        <f t="shared" si="122"/>
        <v>0</v>
      </c>
      <c r="Z390" s="1">
        <f t="shared" si="123"/>
        <v>0</v>
      </c>
      <c r="AA390" s="1">
        <f t="shared" si="124"/>
        <v>0</v>
      </c>
      <c r="AC390" s="1">
        <f t="shared" si="125"/>
        <v>0</v>
      </c>
      <c r="AD390" s="1">
        <f t="shared" si="126"/>
        <v>0</v>
      </c>
      <c r="AE390" s="1">
        <f t="shared" si="127"/>
        <v>0</v>
      </c>
      <c r="AF390" s="1">
        <f t="shared" si="128"/>
        <v>0</v>
      </c>
      <c r="AG390" s="1">
        <f t="shared" si="129"/>
        <v>0</v>
      </c>
      <c r="AH390" s="1">
        <f t="shared" si="130"/>
        <v>1</v>
      </c>
    </row>
    <row r="391" spans="1:34" ht="14.25" customHeight="1" x14ac:dyDescent="0.25">
      <c r="A391" s="34">
        <v>0</v>
      </c>
      <c r="B391" s="34">
        <v>2</v>
      </c>
      <c r="C391" s="34">
        <v>7</v>
      </c>
      <c r="D391" s="35" t="s">
        <v>1822</v>
      </c>
      <c r="E391" s="35" t="s">
        <v>158</v>
      </c>
      <c r="F391" s="35" t="s">
        <v>1823</v>
      </c>
      <c r="G391" s="35"/>
      <c r="H391" s="35" t="s">
        <v>358</v>
      </c>
      <c r="I391" s="34" t="s">
        <v>1824</v>
      </c>
      <c r="J391" s="34">
        <v>99</v>
      </c>
      <c r="K391" s="36" t="s">
        <v>711</v>
      </c>
      <c r="L391" s="36"/>
      <c r="M391" s="37"/>
      <c r="N391" s="37" t="s">
        <v>1743</v>
      </c>
      <c r="O391" s="38">
        <v>1</v>
      </c>
      <c r="P391" s="38">
        <v>1</v>
      </c>
      <c r="R391" s="1">
        <f t="shared" si="115"/>
        <v>0</v>
      </c>
      <c r="S391" s="1">
        <f t="shared" si="116"/>
        <v>0</v>
      </c>
      <c r="T391" s="1">
        <f t="shared" si="117"/>
        <v>0</v>
      </c>
      <c r="U391" s="1">
        <f t="shared" si="118"/>
        <v>0</v>
      </c>
      <c r="V391" s="1">
        <f t="shared" si="119"/>
        <v>0</v>
      </c>
      <c r="W391" s="1">
        <f t="shared" si="120"/>
        <v>0</v>
      </c>
      <c r="X391" s="1">
        <f t="shared" si="121"/>
        <v>0</v>
      </c>
      <c r="Y391" s="1">
        <f t="shared" si="122"/>
        <v>0</v>
      </c>
      <c r="Z391" s="1">
        <f t="shared" si="123"/>
        <v>0</v>
      </c>
      <c r="AA391" s="1">
        <f t="shared" si="124"/>
        <v>0</v>
      </c>
      <c r="AC391" s="1">
        <f t="shared" si="125"/>
        <v>1</v>
      </c>
      <c r="AD391" s="1">
        <f t="shared" si="126"/>
        <v>0</v>
      </c>
      <c r="AE391" s="1">
        <f t="shared" si="127"/>
        <v>1</v>
      </c>
      <c r="AF391" s="1">
        <f t="shared" si="128"/>
        <v>0</v>
      </c>
      <c r="AG391" s="1">
        <f t="shared" si="129"/>
        <v>1</v>
      </c>
      <c r="AH391" s="1">
        <f t="shared" si="130"/>
        <v>0</v>
      </c>
    </row>
    <row r="392" spans="1:34" ht="14.25" customHeight="1" x14ac:dyDescent="0.25">
      <c r="A392" s="34">
        <v>0</v>
      </c>
      <c r="B392" s="34">
        <v>2</v>
      </c>
      <c r="C392" s="34">
        <v>7</v>
      </c>
      <c r="D392" s="35" t="s">
        <v>1193</v>
      </c>
      <c r="E392" s="35" t="s">
        <v>158</v>
      </c>
      <c r="F392" s="35" t="s">
        <v>1194</v>
      </c>
      <c r="G392" s="35" t="s">
        <v>296</v>
      </c>
      <c r="H392" s="35" t="s">
        <v>358</v>
      </c>
      <c r="I392" s="34" t="s">
        <v>1195</v>
      </c>
      <c r="J392" s="34">
        <v>99</v>
      </c>
      <c r="K392" s="36" t="s">
        <v>721</v>
      </c>
      <c r="L392" s="36" t="s">
        <v>730</v>
      </c>
      <c r="M392" s="37" t="s">
        <v>1450</v>
      </c>
      <c r="N392" s="37" t="s">
        <v>1764</v>
      </c>
      <c r="O392" s="38">
        <v>1</v>
      </c>
      <c r="P392" s="38"/>
      <c r="R392" s="1">
        <f t="shared" si="115"/>
        <v>0</v>
      </c>
      <c r="S392" s="1">
        <f t="shared" si="116"/>
        <v>0</v>
      </c>
      <c r="T392" s="1">
        <f t="shared" si="117"/>
        <v>0</v>
      </c>
      <c r="U392" s="1">
        <f t="shared" si="118"/>
        <v>0</v>
      </c>
      <c r="V392" s="1">
        <f t="shared" si="119"/>
        <v>0</v>
      </c>
      <c r="W392" s="1">
        <f t="shared" si="120"/>
        <v>0</v>
      </c>
      <c r="X392" s="1">
        <f t="shared" si="121"/>
        <v>0</v>
      </c>
      <c r="Y392" s="1">
        <f t="shared" si="122"/>
        <v>0</v>
      </c>
      <c r="Z392" s="1">
        <f t="shared" si="123"/>
        <v>0</v>
      </c>
      <c r="AA392" s="1">
        <f t="shared" si="124"/>
        <v>0</v>
      </c>
      <c r="AC392" s="1">
        <f t="shared" si="125"/>
        <v>0</v>
      </c>
      <c r="AD392" s="1">
        <f t="shared" si="126"/>
        <v>1</v>
      </c>
      <c r="AE392" s="1">
        <f t="shared" si="127"/>
        <v>0</v>
      </c>
      <c r="AF392" s="1">
        <f t="shared" si="128"/>
        <v>1</v>
      </c>
      <c r="AG392" s="1">
        <f t="shared" si="129"/>
        <v>0</v>
      </c>
      <c r="AH392" s="1">
        <f t="shared" si="130"/>
        <v>1</v>
      </c>
    </row>
    <row r="393" spans="1:34" ht="14.25" customHeight="1" x14ac:dyDescent="0.25">
      <c r="A393" s="34">
        <v>0</v>
      </c>
      <c r="B393" s="34">
        <v>2</v>
      </c>
      <c r="C393" s="34">
        <v>7</v>
      </c>
      <c r="D393" s="35" t="s">
        <v>1166</v>
      </c>
      <c r="E393" s="35" t="s">
        <v>1167</v>
      </c>
      <c r="F393" s="39" t="s">
        <v>1892</v>
      </c>
      <c r="G393" s="35" t="s">
        <v>634</v>
      </c>
      <c r="H393" s="35" t="s">
        <v>358</v>
      </c>
      <c r="I393" s="34" t="s">
        <v>1168</v>
      </c>
      <c r="J393" s="34">
        <v>99</v>
      </c>
      <c r="K393" s="36" t="s">
        <v>721</v>
      </c>
      <c r="L393" s="36" t="s">
        <v>721</v>
      </c>
      <c r="M393" s="37" t="s">
        <v>739</v>
      </c>
      <c r="N393" s="37" t="s">
        <v>1759</v>
      </c>
      <c r="O393" s="38">
        <v>1</v>
      </c>
      <c r="P393" s="38"/>
      <c r="R393" s="1">
        <f t="shared" si="115"/>
        <v>0</v>
      </c>
      <c r="S393" s="1">
        <f t="shared" si="116"/>
        <v>0</v>
      </c>
      <c r="T393" s="1">
        <f t="shared" si="117"/>
        <v>0</v>
      </c>
      <c r="U393" s="1">
        <f t="shared" si="118"/>
        <v>0</v>
      </c>
      <c r="V393" s="1">
        <f t="shared" si="119"/>
        <v>0</v>
      </c>
      <c r="W393" s="1">
        <f t="shared" si="120"/>
        <v>0</v>
      </c>
      <c r="X393" s="1">
        <f t="shared" si="121"/>
        <v>0</v>
      </c>
      <c r="Y393" s="1">
        <f t="shared" si="122"/>
        <v>0</v>
      </c>
      <c r="Z393" s="1">
        <f t="shared" si="123"/>
        <v>0</v>
      </c>
      <c r="AA393" s="1">
        <f t="shared" si="124"/>
        <v>0</v>
      </c>
      <c r="AC393" s="1">
        <f t="shared" si="125"/>
        <v>0</v>
      </c>
      <c r="AD393" s="1">
        <f t="shared" si="126"/>
        <v>1</v>
      </c>
      <c r="AE393" s="1">
        <f t="shared" si="127"/>
        <v>0</v>
      </c>
      <c r="AF393" s="1">
        <f t="shared" si="128"/>
        <v>1</v>
      </c>
      <c r="AG393" s="1">
        <f t="shared" si="129"/>
        <v>0</v>
      </c>
      <c r="AH393" s="1">
        <f t="shared" si="130"/>
        <v>1</v>
      </c>
    </row>
    <row r="394" spans="1:34" ht="14.25" customHeight="1" x14ac:dyDescent="0.25">
      <c r="A394" s="34">
        <v>0</v>
      </c>
      <c r="B394" s="34">
        <v>2</v>
      </c>
      <c r="C394" s="34">
        <v>7</v>
      </c>
      <c r="D394" s="35" t="s">
        <v>548</v>
      </c>
      <c r="E394" s="35" t="s">
        <v>160</v>
      </c>
      <c r="F394" s="35" t="s">
        <v>197</v>
      </c>
      <c r="G394" s="35" t="s">
        <v>198</v>
      </c>
      <c r="H394" s="35" t="s">
        <v>358</v>
      </c>
      <c r="I394" s="34" t="s">
        <v>556</v>
      </c>
      <c r="J394" s="34">
        <v>99</v>
      </c>
      <c r="K394" s="36" t="s">
        <v>963</v>
      </c>
      <c r="L394" s="36" t="s">
        <v>704</v>
      </c>
      <c r="M394" s="37" t="s">
        <v>1452</v>
      </c>
      <c r="N394" s="37" t="s">
        <v>1764</v>
      </c>
      <c r="O394" s="38">
        <v>1</v>
      </c>
      <c r="P394" s="38"/>
      <c r="R394" s="1">
        <f t="shared" si="115"/>
        <v>0</v>
      </c>
      <c r="S394" s="1">
        <f t="shared" si="116"/>
        <v>0</v>
      </c>
      <c r="T394" s="1">
        <f t="shared" si="117"/>
        <v>0</v>
      </c>
      <c r="U394" s="1">
        <f t="shared" si="118"/>
        <v>0</v>
      </c>
      <c r="V394" s="1">
        <f t="shared" si="119"/>
        <v>0</v>
      </c>
      <c r="W394" s="1">
        <f t="shared" si="120"/>
        <v>0</v>
      </c>
      <c r="X394" s="1">
        <f t="shared" si="121"/>
        <v>0</v>
      </c>
      <c r="Y394" s="1">
        <f t="shared" si="122"/>
        <v>0</v>
      </c>
      <c r="Z394" s="1">
        <f t="shared" si="123"/>
        <v>0</v>
      </c>
      <c r="AA394" s="1">
        <f t="shared" si="124"/>
        <v>0</v>
      </c>
      <c r="AC394" s="1">
        <f t="shared" si="125"/>
        <v>0</v>
      </c>
      <c r="AD394" s="1">
        <f t="shared" si="126"/>
        <v>1</v>
      </c>
      <c r="AE394" s="1">
        <f t="shared" si="127"/>
        <v>0</v>
      </c>
      <c r="AF394" s="1">
        <f t="shared" si="128"/>
        <v>1</v>
      </c>
      <c r="AG394" s="1">
        <f t="shared" si="129"/>
        <v>0</v>
      </c>
      <c r="AH394" s="1">
        <f t="shared" si="130"/>
        <v>1</v>
      </c>
    </row>
    <row r="395" spans="1:34" ht="14.25" customHeight="1" x14ac:dyDescent="0.25">
      <c r="A395" s="15">
        <v>0</v>
      </c>
      <c r="B395" s="15">
        <v>2</v>
      </c>
      <c r="C395" s="15">
        <v>7</v>
      </c>
      <c r="D395" s="16" t="s">
        <v>46</v>
      </c>
      <c r="E395" s="16" t="s">
        <v>158</v>
      </c>
      <c r="F395" s="16" t="s">
        <v>185</v>
      </c>
      <c r="G395" s="16" t="s">
        <v>181</v>
      </c>
      <c r="H395" s="16" t="s">
        <v>358</v>
      </c>
      <c r="I395" s="15" t="s">
        <v>386</v>
      </c>
      <c r="J395" s="15">
        <v>10</v>
      </c>
      <c r="K395" s="10" t="s">
        <v>963</v>
      </c>
      <c r="L395" s="10" t="s">
        <v>730</v>
      </c>
      <c r="M395" s="19" t="s">
        <v>1450</v>
      </c>
      <c r="N395" s="19"/>
      <c r="R395" s="1">
        <f t="shared" si="115"/>
        <v>0</v>
      </c>
      <c r="S395" s="1">
        <f t="shared" si="116"/>
        <v>0</v>
      </c>
      <c r="T395" s="1">
        <f t="shared" si="117"/>
        <v>0</v>
      </c>
      <c r="U395" s="1">
        <f t="shared" si="118"/>
        <v>0</v>
      </c>
      <c r="V395" s="1">
        <f t="shared" si="119"/>
        <v>0</v>
      </c>
      <c r="W395" s="1">
        <f t="shared" si="120"/>
        <v>0</v>
      </c>
      <c r="X395" s="1">
        <f t="shared" si="121"/>
        <v>0</v>
      </c>
      <c r="Y395" s="1">
        <f t="shared" si="122"/>
        <v>0</v>
      </c>
      <c r="Z395" s="1">
        <f t="shared" si="123"/>
        <v>0</v>
      </c>
      <c r="AA395" s="1">
        <f t="shared" si="124"/>
        <v>1</v>
      </c>
      <c r="AC395" s="1">
        <f t="shared" si="125"/>
        <v>0</v>
      </c>
      <c r="AD395" s="1">
        <f t="shared" si="126"/>
        <v>0</v>
      </c>
      <c r="AE395" s="1">
        <f t="shared" si="127"/>
        <v>0</v>
      </c>
      <c r="AF395" s="1">
        <f t="shared" si="128"/>
        <v>0</v>
      </c>
      <c r="AG395" s="1">
        <f t="shared" si="129"/>
        <v>0</v>
      </c>
      <c r="AH395" s="1">
        <f t="shared" si="130"/>
        <v>1</v>
      </c>
    </row>
    <row r="396" spans="1:34" ht="14.25" customHeight="1" x14ac:dyDescent="0.25">
      <c r="A396" s="47">
        <v>0</v>
      </c>
      <c r="B396" s="47">
        <v>2</v>
      </c>
      <c r="C396" s="47">
        <v>7</v>
      </c>
      <c r="D396" s="48" t="s">
        <v>67</v>
      </c>
      <c r="E396" s="48" t="s">
        <v>28</v>
      </c>
      <c r="F396" s="48" t="s">
        <v>250</v>
      </c>
      <c r="G396" s="48" t="s">
        <v>251</v>
      </c>
      <c r="H396" s="48" t="s">
        <v>358</v>
      </c>
      <c r="I396" s="47" t="s">
        <v>415</v>
      </c>
      <c r="J396" s="47">
        <v>7</v>
      </c>
      <c r="K396" s="49" t="s">
        <v>721</v>
      </c>
      <c r="L396" s="49" t="s">
        <v>721</v>
      </c>
      <c r="M396" s="50" t="s">
        <v>739</v>
      </c>
      <c r="N396" s="50" t="s">
        <v>1750</v>
      </c>
      <c r="O396" s="51"/>
      <c r="P396" s="51"/>
      <c r="R396" s="1">
        <f t="shared" ref="R396:R462" si="147">IF(J396=$R$7,1,0)</f>
        <v>0</v>
      </c>
      <c r="S396" s="1">
        <f t="shared" ref="S396:S462" si="148">IF(J396=$S$7,1,0)</f>
        <v>0</v>
      </c>
      <c r="T396" s="1">
        <f t="shared" ref="T396:T462" si="149">IF(J396=$T$7,1,0)</f>
        <v>0</v>
      </c>
      <c r="U396" s="1">
        <f t="shared" ref="U396:U462" si="150">IF(J396=$U$7,1,0)</f>
        <v>0</v>
      </c>
      <c r="V396" s="1">
        <f t="shared" ref="V396:V462" si="151">IF(J396=$V$7,1,0)</f>
        <v>0</v>
      </c>
      <c r="W396" s="1">
        <f t="shared" ref="W396:W462" si="152">IF(J396=$W$7,1,0)</f>
        <v>0</v>
      </c>
      <c r="X396" s="1">
        <f t="shared" ref="X396:X462" si="153">IF(J396=$X$7,1,0)</f>
        <v>1</v>
      </c>
      <c r="Y396" s="1">
        <f t="shared" ref="Y396:Y462" si="154">IF(J396=$Y$7,1,0)</f>
        <v>0</v>
      </c>
      <c r="Z396" s="1">
        <f t="shared" ref="Z396:Z462" si="155">IF(J396=$Z$7,1,0)</f>
        <v>0</v>
      </c>
      <c r="AA396" s="1">
        <f t="shared" ref="AA396:AA462" si="156">IF(J396=$AA$7,1,0)</f>
        <v>0</v>
      </c>
      <c r="AC396" s="1">
        <f t="shared" ref="AC396:AC462" si="157">+O396*P396</f>
        <v>0</v>
      </c>
      <c r="AD396" s="1">
        <f t="shared" ref="AD396:AD462" si="158">O396*(1-P396)</f>
        <v>0</v>
      </c>
      <c r="AE396" s="1">
        <f t="shared" ref="AE396:AE462" si="159">+O396*P396*(1-A396)</f>
        <v>0</v>
      </c>
      <c r="AF396" s="1">
        <f t="shared" ref="AF396:AF462" si="160">O396*(1-P396)*(1-A396)</f>
        <v>0</v>
      </c>
      <c r="AG396" s="1">
        <f t="shared" ref="AG396:AG462" si="161">+P396*(1-A396)</f>
        <v>0</v>
      </c>
      <c r="AH396" s="1">
        <f t="shared" ref="AH396:AH462" si="162">+(1-A396)*(1-P396)</f>
        <v>1</v>
      </c>
    </row>
    <row r="397" spans="1:34" ht="14.25" customHeight="1" x14ac:dyDescent="0.25">
      <c r="A397" s="47">
        <v>1</v>
      </c>
      <c r="B397" s="47">
        <v>2</v>
      </c>
      <c r="C397" s="47">
        <v>7</v>
      </c>
      <c r="D397" s="48" t="s">
        <v>67</v>
      </c>
      <c r="E397" s="48" t="s">
        <v>28</v>
      </c>
      <c r="F397" s="48" t="s">
        <v>1047</v>
      </c>
      <c r="G397" s="48" t="s">
        <v>545</v>
      </c>
      <c r="H397" s="48" t="s">
        <v>358</v>
      </c>
      <c r="I397" s="47" t="s">
        <v>30</v>
      </c>
      <c r="J397" s="47">
        <v>1</v>
      </c>
      <c r="K397" s="49" t="s">
        <v>721</v>
      </c>
      <c r="L397" s="49" t="s">
        <v>721</v>
      </c>
      <c r="M397" s="50" t="s">
        <v>739</v>
      </c>
      <c r="N397" s="50" t="s">
        <v>1750</v>
      </c>
      <c r="O397" s="51"/>
      <c r="P397" s="51"/>
      <c r="R397" s="1">
        <f t="shared" si="147"/>
        <v>1</v>
      </c>
      <c r="S397" s="1">
        <f t="shared" si="148"/>
        <v>0</v>
      </c>
      <c r="T397" s="1">
        <f t="shared" si="149"/>
        <v>0</v>
      </c>
      <c r="U397" s="1">
        <f t="shared" si="150"/>
        <v>0</v>
      </c>
      <c r="V397" s="1">
        <f t="shared" si="151"/>
        <v>0</v>
      </c>
      <c r="W397" s="1">
        <f t="shared" si="152"/>
        <v>0</v>
      </c>
      <c r="X397" s="1">
        <f t="shared" si="153"/>
        <v>0</v>
      </c>
      <c r="Y397" s="1">
        <f t="shared" si="154"/>
        <v>0</v>
      </c>
      <c r="Z397" s="1">
        <f t="shared" si="155"/>
        <v>0</v>
      </c>
      <c r="AA397" s="1">
        <f t="shared" si="156"/>
        <v>0</v>
      </c>
      <c r="AC397" s="1">
        <f t="shared" si="157"/>
        <v>0</v>
      </c>
      <c r="AD397" s="1">
        <f t="shared" si="158"/>
        <v>0</v>
      </c>
      <c r="AE397" s="1">
        <f t="shared" si="159"/>
        <v>0</v>
      </c>
      <c r="AF397" s="1">
        <f t="shared" si="160"/>
        <v>0</v>
      </c>
      <c r="AG397" s="1">
        <f t="shared" si="161"/>
        <v>0</v>
      </c>
      <c r="AH397" s="1">
        <f t="shared" si="162"/>
        <v>0</v>
      </c>
    </row>
    <row r="398" spans="1:34" ht="14.25" customHeight="1" x14ac:dyDescent="0.25">
      <c r="A398" s="47">
        <v>1</v>
      </c>
      <c r="B398" s="47">
        <v>2</v>
      </c>
      <c r="C398" s="47">
        <v>7</v>
      </c>
      <c r="D398" s="48" t="s">
        <v>67</v>
      </c>
      <c r="E398" s="48" t="s">
        <v>28</v>
      </c>
      <c r="F398" s="48" t="s">
        <v>252</v>
      </c>
      <c r="G398" s="48" t="s">
        <v>202</v>
      </c>
      <c r="H398" s="48" t="s">
        <v>358</v>
      </c>
      <c r="I398" s="47" t="s">
        <v>416</v>
      </c>
      <c r="J398" s="47">
        <v>2</v>
      </c>
      <c r="K398" s="49" t="s">
        <v>721</v>
      </c>
      <c r="L398" s="49" t="s">
        <v>721</v>
      </c>
      <c r="M398" s="50" t="s">
        <v>739</v>
      </c>
      <c r="N398" s="50" t="s">
        <v>1750</v>
      </c>
      <c r="O398" s="51"/>
      <c r="P398" s="51"/>
      <c r="R398" s="1">
        <f t="shared" si="147"/>
        <v>0</v>
      </c>
      <c r="S398" s="1">
        <f t="shared" si="148"/>
        <v>1</v>
      </c>
      <c r="T398" s="1">
        <f t="shared" si="149"/>
        <v>0</v>
      </c>
      <c r="U398" s="1">
        <f t="shared" si="150"/>
        <v>0</v>
      </c>
      <c r="V398" s="1">
        <f t="shared" si="151"/>
        <v>0</v>
      </c>
      <c r="W398" s="1">
        <f t="shared" si="152"/>
        <v>0</v>
      </c>
      <c r="X398" s="1">
        <f t="shared" si="153"/>
        <v>0</v>
      </c>
      <c r="Y398" s="1">
        <f t="shared" si="154"/>
        <v>0</v>
      </c>
      <c r="Z398" s="1">
        <f t="shared" si="155"/>
        <v>0</v>
      </c>
      <c r="AA398" s="1">
        <f t="shared" si="156"/>
        <v>0</v>
      </c>
      <c r="AC398" s="1">
        <f t="shared" si="157"/>
        <v>0</v>
      </c>
      <c r="AD398" s="1">
        <f t="shared" si="158"/>
        <v>0</v>
      </c>
      <c r="AE398" s="1">
        <f t="shared" si="159"/>
        <v>0</v>
      </c>
      <c r="AF398" s="1">
        <f t="shared" si="160"/>
        <v>0</v>
      </c>
      <c r="AG398" s="1">
        <f t="shared" si="161"/>
        <v>0</v>
      </c>
      <c r="AH398" s="1">
        <f t="shared" si="162"/>
        <v>0</v>
      </c>
    </row>
    <row r="399" spans="1:34" ht="14.25" customHeight="1" x14ac:dyDescent="0.25">
      <c r="A399" s="47">
        <v>1</v>
      </c>
      <c r="B399" s="47">
        <v>2</v>
      </c>
      <c r="C399" s="47">
        <v>7</v>
      </c>
      <c r="D399" s="48" t="s">
        <v>67</v>
      </c>
      <c r="E399" s="48" t="s">
        <v>28</v>
      </c>
      <c r="F399" s="48" t="s">
        <v>249</v>
      </c>
      <c r="G399" s="48" t="s">
        <v>1366</v>
      </c>
      <c r="H399" s="48" t="s">
        <v>358</v>
      </c>
      <c r="I399" s="47" t="s">
        <v>30</v>
      </c>
      <c r="J399" s="47">
        <v>1</v>
      </c>
      <c r="K399" s="49" t="s">
        <v>721</v>
      </c>
      <c r="L399" s="49" t="s">
        <v>721</v>
      </c>
      <c r="M399" s="50" t="s">
        <v>739</v>
      </c>
      <c r="N399" s="50" t="s">
        <v>1750</v>
      </c>
      <c r="O399" s="51"/>
      <c r="P399" s="51"/>
      <c r="R399" s="1">
        <f t="shared" si="147"/>
        <v>1</v>
      </c>
      <c r="S399" s="1">
        <f t="shared" si="148"/>
        <v>0</v>
      </c>
      <c r="T399" s="1">
        <f t="shared" si="149"/>
        <v>0</v>
      </c>
      <c r="U399" s="1">
        <f t="shared" si="150"/>
        <v>0</v>
      </c>
      <c r="V399" s="1">
        <f t="shared" si="151"/>
        <v>0</v>
      </c>
      <c r="W399" s="1">
        <f t="shared" si="152"/>
        <v>0</v>
      </c>
      <c r="X399" s="1">
        <f t="shared" si="153"/>
        <v>0</v>
      </c>
      <c r="Y399" s="1">
        <f t="shared" si="154"/>
        <v>0</v>
      </c>
      <c r="Z399" s="1">
        <f t="shared" si="155"/>
        <v>0</v>
      </c>
      <c r="AA399" s="1">
        <f t="shared" si="156"/>
        <v>0</v>
      </c>
      <c r="AC399" s="1">
        <f t="shared" si="157"/>
        <v>0</v>
      </c>
      <c r="AD399" s="1">
        <f t="shared" si="158"/>
        <v>0</v>
      </c>
      <c r="AE399" s="1">
        <f t="shared" si="159"/>
        <v>0</v>
      </c>
      <c r="AF399" s="1">
        <f t="shared" si="160"/>
        <v>0</v>
      </c>
      <c r="AG399" s="1">
        <f t="shared" si="161"/>
        <v>0</v>
      </c>
      <c r="AH399" s="1">
        <f t="shared" si="162"/>
        <v>0</v>
      </c>
    </row>
    <row r="400" spans="1:34" ht="14.25" customHeight="1" x14ac:dyDescent="0.25">
      <c r="A400" s="47">
        <v>1</v>
      </c>
      <c r="B400" s="47">
        <v>2</v>
      </c>
      <c r="C400" s="47">
        <v>7</v>
      </c>
      <c r="D400" s="48" t="s">
        <v>67</v>
      </c>
      <c r="E400" s="48" t="s">
        <v>28</v>
      </c>
      <c r="F400" s="48" t="s">
        <v>254</v>
      </c>
      <c r="G400" s="48" t="s">
        <v>196</v>
      </c>
      <c r="H400" s="48" t="s">
        <v>358</v>
      </c>
      <c r="I400" s="47" t="s">
        <v>417</v>
      </c>
      <c r="J400" s="47">
        <v>9</v>
      </c>
      <c r="K400" s="49" t="s">
        <v>721</v>
      </c>
      <c r="L400" s="49" t="s">
        <v>721</v>
      </c>
      <c r="M400" s="50" t="s">
        <v>739</v>
      </c>
      <c r="N400" s="50" t="s">
        <v>1750</v>
      </c>
      <c r="O400" s="51"/>
      <c r="P400" s="51"/>
      <c r="R400" s="1">
        <f t="shared" si="147"/>
        <v>0</v>
      </c>
      <c r="S400" s="1">
        <f t="shared" si="148"/>
        <v>0</v>
      </c>
      <c r="T400" s="1">
        <f t="shared" si="149"/>
        <v>0</v>
      </c>
      <c r="U400" s="1">
        <f t="shared" si="150"/>
        <v>0</v>
      </c>
      <c r="V400" s="1">
        <f t="shared" si="151"/>
        <v>0</v>
      </c>
      <c r="W400" s="1">
        <f t="shared" si="152"/>
        <v>0</v>
      </c>
      <c r="X400" s="1">
        <f t="shared" si="153"/>
        <v>0</v>
      </c>
      <c r="Y400" s="1">
        <f t="shared" si="154"/>
        <v>0</v>
      </c>
      <c r="Z400" s="1">
        <f t="shared" si="155"/>
        <v>1</v>
      </c>
      <c r="AA400" s="1">
        <f t="shared" si="156"/>
        <v>0</v>
      </c>
      <c r="AC400" s="1">
        <f t="shared" si="157"/>
        <v>0</v>
      </c>
      <c r="AD400" s="1">
        <f t="shared" si="158"/>
        <v>0</v>
      </c>
      <c r="AE400" s="1">
        <f t="shared" si="159"/>
        <v>0</v>
      </c>
      <c r="AF400" s="1">
        <f t="shared" si="160"/>
        <v>0</v>
      </c>
      <c r="AG400" s="1">
        <f t="shared" si="161"/>
        <v>0</v>
      </c>
      <c r="AH400" s="1">
        <f t="shared" si="162"/>
        <v>0</v>
      </c>
    </row>
    <row r="401" spans="1:34" ht="14.25" customHeight="1" x14ac:dyDescent="0.25">
      <c r="A401" s="47">
        <v>0</v>
      </c>
      <c r="B401" s="47">
        <v>2</v>
      </c>
      <c r="C401" s="47">
        <v>7</v>
      </c>
      <c r="D401" s="48" t="s">
        <v>1031</v>
      </c>
      <c r="E401" s="48" t="s">
        <v>28</v>
      </c>
      <c r="F401" s="48" t="s">
        <v>1032</v>
      </c>
      <c r="G401" s="48" t="s">
        <v>196</v>
      </c>
      <c r="H401" s="48" t="s">
        <v>358</v>
      </c>
      <c r="I401" s="47" t="s">
        <v>1033</v>
      </c>
      <c r="J401" s="47">
        <v>9</v>
      </c>
      <c r="K401" s="49" t="s">
        <v>720</v>
      </c>
      <c r="L401" s="49" t="s">
        <v>721</v>
      </c>
      <c r="M401" s="50" t="s">
        <v>739</v>
      </c>
      <c r="N401" s="50" t="s">
        <v>1751</v>
      </c>
      <c r="O401" s="51"/>
      <c r="P401" s="51"/>
      <c r="R401" s="1">
        <f t="shared" si="147"/>
        <v>0</v>
      </c>
      <c r="S401" s="1">
        <f t="shared" si="148"/>
        <v>0</v>
      </c>
      <c r="T401" s="1">
        <f t="shared" si="149"/>
        <v>0</v>
      </c>
      <c r="U401" s="1">
        <f t="shared" si="150"/>
        <v>0</v>
      </c>
      <c r="V401" s="1">
        <f t="shared" si="151"/>
        <v>0</v>
      </c>
      <c r="W401" s="1">
        <f t="shared" si="152"/>
        <v>0</v>
      </c>
      <c r="X401" s="1">
        <f t="shared" si="153"/>
        <v>0</v>
      </c>
      <c r="Y401" s="1">
        <f t="shared" si="154"/>
        <v>0</v>
      </c>
      <c r="Z401" s="1">
        <f t="shared" si="155"/>
        <v>1</v>
      </c>
      <c r="AA401" s="1">
        <f t="shared" si="156"/>
        <v>0</v>
      </c>
      <c r="AC401" s="1">
        <f t="shared" si="157"/>
        <v>0</v>
      </c>
      <c r="AD401" s="1">
        <f t="shared" si="158"/>
        <v>0</v>
      </c>
      <c r="AE401" s="1">
        <f t="shared" si="159"/>
        <v>0</v>
      </c>
      <c r="AF401" s="1">
        <f t="shared" si="160"/>
        <v>0</v>
      </c>
      <c r="AG401" s="1">
        <f t="shared" si="161"/>
        <v>0</v>
      </c>
      <c r="AH401" s="1">
        <f t="shared" si="162"/>
        <v>1</v>
      </c>
    </row>
    <row r="402" spans="1:34" ht="14.25" customHeight="1" x14ac:dyDescent="0.25">
      <c r="A402" s="34">
        <v>0</v>
      </c>
      <c r="B402" s="34">
        <v>2</v>
      </c>
      <c r="C402" s="34">
        <v>7</v>
      </c>
      <c r="D402" s="35" t="s">
        <v>1849</v>
      </c>
      <c r="E402" s="35" t="s">
        <v>1850</v>
      </c>
      <c r="F402" s="35" t="s">
        <v>1851</v>
      </c>
      <c r="G402" s="35" t="s">
        <v>209</v>
      </c>
      <c r="H402" s="35" t="s">
        <v>358</v>
      </c>
      <c r="I402" s="34" t="s">
        <v>30</v>
      </c>
      <c r="J402" s="34"/>
      <c r="K402" s="36" t="s">
        <v>711</v>
      </c>
      <c r="L402" s="36">
        <v>20</v>
      </c>
      <c r="M402" s="37" t="s">
        <v>1852</v>
      </c>
      <c r="N402" s="37" t="s">
        <v>1759</v>
      </c>
      <c r="O402" s="38">
        <v>1</v>
      </c>
      <c r="P402" s="38"/>
      <c r="R402" s="1">
        <f t="shared" si="147"/>
        <v>0</v>
      </c>
      <c r="S402" s="1">
        <f t="shared" si="148"/>
        <v>0</v>
      </c>
      <c r="T402" s="1">
        <f t="shared" si="149"/>
        <v>0</v>
      </c>
      <c r="U402" s="1">
        <f t="shared" si="150"/>
        <v>0</v>
      </c>
      <c r="V402" s="1">
        <f t="shared" si="151"/>
        <v>0</v>
      </c>
      <c r="W402" s="1">
        <f t="shared" si="152"/>
        <v>0</v>
      </c>
      <c r="X402" s="1">
        <f t="shared" si="153"/>
        <v>0</v>
      </c>
      <c r="Y402" s="1">
        <f t="shared" si="154"/>
        <v>0</v>
      </c>
      <c r="Z402" s="1">
        <f t="shared" si="155"/>
        <v>0</v>
      </c>
      <c r="AA402" s="1">
        <f t="shared" si="156"/>
        <v>0</v>
      </c>
      <c r="AC402" s="1">
        <f t="shared" si="157"/>
        <v>0</v>
      </c>
      <c r="AD402" s="1">
        <f t="shared" si="158"/>
        <v>1</v>
      </c>
      <c r="AE402" s="1">
        <f t="shared" si="159"/>
        <v>0</v>
      </c>
      <c r="AF402" s="1">
        <f t="shared" si="160"/>
        <v>1</v>
      </c>
      <c r="AG402" s="1">
        <f t="shared" si="161"/>
        <v>0</v>
      </c>
      <c r="AH402" s="1">
        <f t="shared" si="162"/>
        <v>1</v>
      </c>
    </row>
    <row r="403" spans="1:34" ht="14.25" customHeight="1" x14ac:dyDescent="0.25">
      <c r="A403" s="52">
        <v>0</v>
      </c>
      <c r="B403" s="52">
        <v>2</v>
      </c>
      <c r="C403" s="52">
        <v>7</v>
      </c>
      <c r="D403" s="53" t="s">
        <v>1090</v>
      </c>
      <c r="E403" s="53" t="s">
        <v>550</v>
      </c>
      <c r="F403" s="53" t="s">
        <v>1071</v>
      </c>
      <c r="G403" s="53" t="s">
        <v>240</v>
      </c>
      <c r="H403" s="53" t="s">
        <v>358</v>
      </c>
      <c r="I403" s="52" t="s">
        <v>1072</v>
      </c>
      <c r="J403" s="52">
        <v>99</v>
      </c>
      <c r="K403" s="54" t="s">
        <v>963</v>
      </c>
      <c r="L403" s="54" t="s">
        <v>730</v>
      </c>
      <c r="M403" s="55" t="s">
        <v>1453</v>
      </c>
      <c r="N403" s="55" t="s">
        <v>1759</v>
      </c>
      <c r="O403" s="56">
        <v>1</v>
      </c>
      <c r="P403" s="56"/>
      <c r="R403" s="1">
        <f t="shared" si="147"/>
        <v>0</v>
      </c>
      <c r="S403" s="1">
        <f t="shared" si="148"/>
        <v>0</v>
      </c>
      <c r="T403" s="1">
        <f t="shared" si="149"/>
        <v>0</v>
      </c>
      <c r="U403" s="1">
        <f t="shared" si="150"/>
        <v>0</v>
      </c>
      <c r="V403" s="1">
        <f t="shared" si="151"/>
        <v>0</v>
      </c>
      <c r="W403" s="1">
        <f t="shared" si="152"/>
        <v>0</v>
      </c>
      <c r="X403" s="1">
        <f t="shared" si="153"/>
        <v>0</v>
      </c>
      <c r="Y403" s="1">
        <f t="shared" si="154"/>
        <v>0</v>
      </c>
      <c r="Z403" s="1">
        <f t="shared" si="155"/>
        <v>0</v>
      </c>
      <c r="AA403" s="1">
        <f t="shared" si="156"/>
        <v>0</v>
      </c>
      <c r="AC403" s="1">
        <f t="shared" si="157"/>
        <v>0</v>
      </c>
      <c r="AD403" s="1">
        <f t="shared" si="158"/>
        <v>1</v>
      </c>
      <c r="AE403" s="1">
        <f t="shared" si="159"/>
        <v>0</v>
      </c>
      <c r="AF403" s="1">
        <f t="shared" si="160"/>
        <v>1</v>
      </c>
      <c r="AG403" s="1">
        <f t="shared" si="161"/>
        <v>0</v>
      </c>
      <c r="AH403" s="1">
        <f t="shared" si="162"/>
        <v>1</v>
      </c>
    </row>
    <row r="404" spans="1:34" ht="14.25" customHeight="1" x14ac:dyDescent="0.25">
      <c r="A404" s="34">
        <v>0</v>
      </c>
      <c r="B404" s="34">
        <v>2</v>
      </c>
      <c r="C404" s="34">
        <v>7</v>
      </c>
      <c r="D404" s="35" t="s">
        <v>1241</v>
      </c>
      <c r="E404" s="35" t="s">
        <v>158</v>
      </c>
      <c r="F404" s="35" t="s">
        <v>1242</v>
      </c>
      <c r="G404" s="35" t="s">
        <v>253</v>
      </c>
      <c r="H404" s="35" t="s">
        <v>358</v>
      </c>
      <c r="I404" s="34" t="s">
        <v>1243</v>
      </c>
      <c r="J404" s="34">
        <v>99</v>
      </c>
      <c r="K404" s="36" t="s">
        <v>721</v>
      </c>
      <c r="L404" s="36">
        <v>10</v>
      </c>
      <c r="M404" s="37" t="s">
        <v>1762</v>
      </c>
      <c r="N404" s="37" t="s">
        <v>1743</v>
      </c>
      <c r="O404" s="38">
        <v>1</v>
      </c>
      <c r="P404" s="38">
        <v>1</v>
      </c>
      <c r="R404" s="1">
        <f t="shared" si="147"/>
        <v>0</v>
      </c>
      <c r="S404" s="1">
        <f t="shared" si="148"/>
        <v>0</v>
      </c>
      <c r="T404" s="1">
        <f t="shared" si="149"/>
        <v>0</v>
      </c>
      <c r="U404" s="1">
        <f t="shared" si="150"/>
        <v>0</v>
      </c>
      <c r="V404" s="1">
        <f t="shared" si="151"/>
        <v>0</v>
      </c>
      <c r="W404" s="1">
        <f t="shared" si="152"/>
        <v>0</v>
      </c>
      <c r="X404" s="1">
        <f t="shared" si="153"/>
        <v>0</v>
      </c>
      <c r="Y404" s="1">
        <f t="shared" si="154"/>
        <v>0</v>
      </c>
      <c r="Z404" s="1">
        <f t="shared" si="155"/>
        <v>0</v>
      </c>
      <c r="AA404" s="1">
        <f t="shared" si="156"/>
        <v>0</v>
      </c>
      <c r="AC404" s="1">
        <f t="shared" si="157"/>
        <v>1</v>
      </c>
      <c r="AD404" s="1">
        <f t="shared" si="158"/>
        <v>0</v>
      </c>
      <c r="AE404" s="1">
        <f t="shared" si="159"/>
        <v>1</v>
      </c>
      <c r="AF404" s="1">
        <f t="shared" si="160"/>
        <v>0</v>
      </c>
      <c r="AG404" s="1">
        <f t="shared" si="161"/>
        <v>1</v>
      </c>
      <c r="AH404" s="1">
        <f t="shared" si="162"/>
        <v>0</v>
      </c>
    </row>
    <row r="405" spans="1:34" ht="14.25" customHeight="1" x14ac:dyDescent="0.25">
      <c r="A405" s="34">
        <v>0</v>
      </c>
      <c r="B405" s="34">
        <v>2</v>
      </c>
      <c r="C405" s="34">
        <v>7</v>
      </c>
      <c r="D405" s="39" t="s">
        <v>1819</v>
      </c>
      <c r="E405" s="39" t="s">
        <v>28</v>
      </c>
      <c r="F405" s="39" t="s">
        <v>1820</v>
      </c>
      <c r="G405" s="39" t="s">
        <v>182</v>
      </c>
      <c r="H405" s="39" t="s">
        <v>358</v>
      </c>
      <c r="I405" s="40" t="s">
        <v>1821</v>
      </c>
      <c r="J405" s="34">
        <v>10</v>
      </c>
      <c r="K405" s="36" t="s">
        <v>711</v>
      </c>
      <c r="L405" s="36">
        <v>10</v>
      </c>
      <c r="M405" s="37"/>
      <c r="N405" s="37" t="s">
        <v>1743</v>
      </c>
      <c r="O405" s="38">
        <v>1</v>
      </c>
      <c r="P405" s="38">
        <v>1</v>
      </c>
      <c r="R405" s="1">
        <f t="shared" si="147"/>
        <v>0</v>
      </c>
      <c r="S405" s="1">
        <f t="shared" si="148"/>
        <v>0</v>
      </c>
      <c r="T405" s="1">
        <f t="shared" si="149"/>
        <v>0</v>
      </c>
      <c r="U405" s="1">
        <f t="shared" si="150"/>
        <v>0</v>
      </c>
      <c r="V405" s="1">
        <f t="shared" si="151"/>
        <v>0</v>
      </c>
      <c r="W405" s="1">
        <f t="shared" si="152"/>
        <v>0</v>
      </c>
      <c r="X405" s="1">
        <f t="shared" si="153"/>
        <v>0</v>
      </c>
      <c r="Y405" s="1">
        <f t="shared" si="154"/>
        <v>0</v>
      </c>
      <c r="Z405" s="1">
        <f t="shared" si="155"/>
        <v>0</v>
      </c>
      <c r="AA405" s="1">
        <f t="shared" si="156"/>
        <v>1</v>
      </c>
      <c r="AC405" s="1">
        <f t="shared" si="157"/>
        <v>1</v>
      </c>
      <c r="AD405" s="1">
        <f t="shared" si="158"/>
        <v>0</v>
      </c>
      <c r="AE405" s="1">
        <f t="shared" si="159"/>
        <v>1</v>
      </c>
      <c r="AF405" s="1">
        <f t="shared" si="160"/>
        <v>0</v>
      </c>
      <c r="AG405" s="1">
        <f t="shared" si="161"/>
        <v>1</v>
      </c>
      <c r="AH405" s="1">
        <f t="shared" si="162"/>
        <v>0</v>
      </c>
    </row>
    <row r="406" spans="1:34" ht="14.25" customHeight="1" x14ac:dyDescent="0.25">
      <c r="A406" s="40">
        <v>0</v>
      </c>
      <c r="B406" s="40">
        <v>2</v>
      </c>
      <c r="C406" s="40">
        <v>7</v>
      </c>
      <c r="D406" s="39" t="s">
        <v>1601</v>
      </c>
      <c r="E406" s="39" t="s">
        <v>1667</v>
      </c>
      <c r="F406" s="39" t="s">
        <v>1602</v>
      </c>
      <c r="G406" s="39" t="s">
        <v>663</v>
      </c>
      <c r="H406" s="39" t="s">
        <v>358</v>
      </c>
      <c r="I406" s="40" t="s">
        <v>1603</v>
      </c>
      <c r="J406" s="40">
        <v>99</v>
      </c>
      <c r="K406" s="36" t="s">
        <v>721</v>
      </c>
      <c r="L406" s="36" t="s">
        <v>39</v>
      </c>
      <c r="M406" s="37" t="s">
        <v>39</v>
      </c>
      <c r="N406" s="37" t="s">
        <v>1743</v>
      </c>
      <c r="O406" s="38">
        <v>1</v>
      </c>
      <c r="P406" s="38">
        <v>1</v>
      </c>
      <c r="R406" s="1">
        <f t="shared" si="147"/>
        <v>0</v>
      </c>
      <c r="S406" s="1">
        <f t="shared" si="148"/>
        <v>0</v>
      </c>
      <c r="T406" s="1">
        <f t="shared" si="149"/>
        <v>0</v>
      </c>
      <c r="U406" s="1">
        <f t="shared" si="150"/>
        <v>0</v>
      </c>
      <c r="V406" s="1">
        <f t="shared" si="151"/>
        <v>0</v>
      </c>
      <c r="W406" s="1">
        <f t="shared" si="152"/>
        <v>0</v>
      </c>
      <c r="X406" s="1">
        <f t="shared" si="153"/>
        <v>0</v>
      </c>
      <c r="Y406" s="1">
        <f t="shared" si="154"/>
        <v>0</v>
      </c>
      <c r="Z406" s="1">
        <f t="shared" si="155"/>
        <v>0</v>
      </c>
      <c r="AA406" s="1">
        <f t="shared" si="156"/>
        <v>0</v>
      </c>
      <c r="AC406" s="1">
        <f t="shared" si="157"/>
        <v>1</v>
      </c>
      <c r="AD406" s="1">
        <f t="shared" si="158"/>
        <v>0</v>
      </c>
      <c r="AE406" s="1">
        <f t="shared" si="159"/>
        <v>1</v>
      </c>
      <c r="AF406" s="1">
        <f t="shared" si="160"/>
        <v>0</v>
      </c>
      <c r="AG406" s="1">
        <f t="shared" si="161"/>
        <v>1</v>
      </c>
      <c r="AH406" s="1">
        <f t="shared" si="162"/>
        <v>0</v>
      </c>
    </row>
    <row r="407" spans="1:34" ht="14.25" customHeight="1" x14ac:dyDescent="0.25">
      <c r="A407" s="47">
        <v>0</v>
      </c>
      <c r="B407" s="47">
        <v>2</v>
      </c>
      <c r="C407" s="47">
        <v>7</v>
      </c>
      <c r="D407" s="48" t="s">
        <v>1553</v>
      </c>
      <c r="E407" s="48" t="s">
        <v>28</v>
      </c>
      <c r="F407" s="48" t="s">
        <v>1678</v>
      </c>
      <c r="G407" s="48" t="s">
        <v>290</v>
      </c>
      <c r="H407" s="48" t="s">
        <v>358</v>
      </c>
      <c r="I407" s="47" t="s">
        <v>1704</v>
      </c>
      <c r="J407" s="47">
        <v>99</v>
      </c>
      <c r="K407" s="49" t="s">
        <v>721</v>
      </c>
      <c r="L407" s="49" t="s">
        <v>721</v>
      </c>
      <c r="M407" s="50" t="s">
        <v>739</v>
      </c>
      <c r="N407" s="50" t="s">
        <v>1751</v>
      </c>
      <c r="O407" s="51"/>
      <c r="P407" s="51"/>
      <c r="R407" s="1">
        <f t="shared" si="147"/>
        <v>0</v>
      </c>
      <c r="S407" s="1">
        <f t="shared" si="148"/>
        <v>0</v>
      </c>
      <c r="T407" s="1">
        <f t="shared" si="149"/>
        <v>0</v>
      </c>
      <c r="U407" s="1">
        <f t="shared" si="150"/>
        <v>0</v>
      </c>
      <c r="V407" s="1">
        <f t="shared" si="151"/>
        <v>0</v>
      </c>
      <c r="W407" s="1">
        <f t="shared" si="152"/>
        <v>0</v>
      </c>
      <c r="X407" s="1">
        <f t="shared" si="153"/>
        <v>0</v>
      </c>
      <c r="Y407" s="1">
        <f t="shared" si="154"/>
        <v>0</v>
      </c>
      <c r="Z407" s="1">
        <f t="shared" si="155"/>
        <v>0</v>
      </c>
      <c r="AA407" s="1">
        <f t="shared" si="156"/>
        <v>0</v>
      </c>
      <c r="AC407" s="1">
        <f t="shared" si="157"/>
        <v>0</v>
      </c>
      <c r="AD407" s="1">
        <f t="shared" si="158"/>
        <v>0</v>
      </c>
      <c r="AE407" s="1">
        <f t="shared" si="159"/>
        <v>0</v>
      </c>
      <c r="AF407" s="1">
        <f t="shared" si="160"/>
        <v>0</v>
      </c>
      <c r="AG407" s="1">
        <f t="shared" si="161"/>
        <v>0</v>
      </c>
      <c r="AH407" s="1">
        <f t="shared" si="162"/>
        <v>1</v>
      </c>
    </row>
    <row r="408" spans="1:34" ht="14.25" customHeight="1" x14ac:dyDescent="0.25">
      <c r="A408" s="47">
        <v>0</v>
      </c>
      <c r="B408" s="47">
        <v>2</v>
      </c>
      <c r="C408" s="47">
        <v>7</v>
      </c>
      <c r="D408" s="48" t="s">
        <v>1343</v>
      </c>
      <c r="E408" s="48" t="s">
        <v>28</v>
      </c>
      <c r="F408" s="48" t="s">
        <v>578</v>
      </c>
      <c r="G408" s="48" t="s">
        <v>183</v>
      </c>
      <c r="H408" s="48" t="s">
        <v>358</v>
      </c>
      <c r="I408" s="47" t="s">
        <v>435</v>
      </c>
      <c r="J408" s="47">
        <v>7</v>
      </c>
      <c r="K408" s="49" t="s">
        <v>720</v>
      </c>
      <c r="L408" s="49" t="s">
        <v>721</v>
      </c>
      <c r="M408" s="50" t="s">
        <v>739</v>
      </c>
      <c r="N408" s="50" t="s">
        <v>1751</v>
      </c>
      <c r="O408" s="51"/>
      <c r="P408" s="51"/>
      <c r="R408" s="1">
        <f t="shared" si="147"/>
        <v>0</v>
      </c>
      <c r="S408" s="1">
        <f t="shared" si="148"/>
        <v>0</v>
      </c>
      <c r="T408" s="1">
        <f t="shared" si="149"/>
        <v>0</v>
      </c>
      <c r="U408" s="1">
        <f t="shared" si="150"/>
        <v>0</v>
      </c>
      <c r="V408" s="1">
        <f t="shared" si="151"/>
        <v>0</v>
      </c>
      <c r="W408" s="1">
        <f t="shared" si="152"/>
        <v>0</v>
      </c>
      <c r="X408" s="1">
        <f t="shared" si="153"/>
        <v>1</v>
      </c>
      <c r="Y408" s="1">
        <f t="shared" si="154"/>
        <v>0</v>
      </c>
      <c r="Z408" s="1">
        <f t="shared" si="155"/>
        <v>0</v>
      </c>
      <c r="AA408" s="1">
        <f t="shared" si="156"/>
        <v>0</v>
      </c>
      <c r="AC408" s="1">
        <f t="shared" si="157"/>
        <v>0</v>
      </c>
      <c r="AD408" s="1">
        <f t="shared" si="158"/>
        <v>0</v>
      </c>
      <c r="AE408" s="1">
        <f t="shared" si="159"/>
        <v>0</v>
      </c>
      <c r="AF408" s="1">
        <f t="shared" si="160"/>
        <v>0</v>
      </c>
      <c r="AG408" s="1">
        <f t="shared" si="161"/>
        <v>0</v>
      </c>
      <c r="AH408" s="1">
        <f t="shared" si="162"/>
        <v>1</v>
      </c>
    </row>
    <row r="409" spans="1:34" ht="14.25" customHeight="1" x14ac:dyDescent="0.25">
      <c r="A409" s="47">
        <v>0</v>
      </c>
      <c r="B409" s="47">
        <v>2</v>
      </c>
      <c r="C409" s="47">
        <v>7</v>
      </c>
      <c r="D409" s="48" t="s">
        <v>73</v>
      </c>
      <c r="E409" s="48" t="s">
        <v>28</v>
      </c>
      <c r="F409" s="68" t="s">
        <v>1893</v>
      </c>
      <c r="G409" s="48" t="s">
        <v>237</v>
      </c>
      <c r="H409" s="48" t="s">
        <v>358</v>
      </c>
      <c r="I409" s="47" t="s">
        <v>687</v>
      </c>
      <c r="J409" s="47">
        <v>99</v>
      </c>
      <c r="K409" s="49" t="s">
        <v>721</v>
      </c>
      <c r="L409" s="49" t="s">
        <v>721</v>
      </c>
      <c r="M409" s="50" t="s">
        <v>739</v>
      </c>
      <c r="N409" s="50" t="s">
        <v>1751</v>
      </c>
      <c r="O409" s="51"/>
      <c r="P409" s="51"/>
      <c r="R409" s="1">
        <f t="shared" si="147"/>
        <v>0</v>
      </c>
      <c r="S409" s="1">
        <f t="shared" si="148"/>
        <v>0</v>
      </c>
      <c r="T409" s="1">
        <f t="shared" si="149"/>
        <v>0</v>
      </c>
      <c r="U409" s="1">
        <f t="shared" si="150"/>
        <v>0</v>
      </c>
      <c r="V409" s="1">
        <f t="shared" si="151"/>
        <v>0</v>
      </c>
      <c r="W409" s="1">
        <f t="shared" si="152"/>
        <v>0</v>
      </c>
      <c r="X409" s="1">
        <f t="shared" si="153"/>
        <v>0</v>
      </c>
      <c r="Y409" s="1">
        <f t="shared" si="154"/>
        <v>0</v>
      </c>
      <c r="Z409" s="1">
        <f t="shared" si="155"/>
        <v>0</v>
      </c>
      <c r="AA409" s="1">
        <f t="shared" si="156"/>
        <v>0</v>
      </c>
      <c r="AC409" s="1">
        <f t="shared" si="157"/>
        <v>0</v>
      </c>
      <c r="AD409" s="1">
        <f t="shared" si="158"/>
        <v>0</v>
      </c>
      <c r="AE409" s="1">
        <f t="shared" si="159"/>
        <v>0</v>
      </c>
      <c r="AF409" s="1">
        <f t="shared" si="160"/>
        <v>0</v>
      </c>
      <c r="AG409" s="1">
        <f t="shared" si="161"/>
        <v>0</v>
      </c>
      <c r="AH409" s="1">
        <f t="shared" si="162"/>
        <v>1</v>
      </c>
    </row>
    <row r="410" spans="1:34" ht="14.25" customHeight="1" x14ac:dyDescent="0.25">
      <c r="A410" s="47">
        <v>1</v>
      </c>
      <c r="B410" s="47">
        <v>2</v>
      </c>
      <c r="C410" s="47">
        <v>7</v>
      </c>
      <c r="D410" s="48" t="s">
        <v>73</v>
      </c>
      <c r="E410" s="48" t="s">
        <v>28</v>
      </c>
      <c r="F410" s="48" t="s">
        <v>264</v>
      </c>
      <c r="G410" s="48" t="s">
        <v>222</v>
      </c>
      <c r="H410" s="48" t="s">
        <v>358</v>
      </c>
      <c r="I410" s="47" t="s">
        <v>425</v>
      </c>
      <c r="J410" s="47">
        <v>8</v>
      </c>
      <c r="K410" s="49" t="s">
        <v>721</v>
      </c>
      <c r="L410" s="49" t="s">
        <v>721</v>
      </c>
      <c r="M410" s="50" t="s">
        <v>739</v>
      </c>
      <c r="N410" s="50" t="s">
        <v>1751</v>
      </c>
      <c r="O410" s="51"/>
      <c r="P410" s="51"/>
      <c r="R410" s="1">
        <f t="shared" si="147"/>
        <v>0</v>
      </c>
      <c r="S410" s="1">
        <f t="shared" si="148"/>
        <v>0</v>
      </c>
      <c r="T410" s="1">
        <f t="shared" si="149"/>
        <v>0</v>
      </c>
      <c r="U410" s="1">
        <f t="shared" si="150"/>
        <v>0</v>
      </c>
      <c r="V410" s="1">
        <f t="shared" si="151"/>
        <v>0</v>
      </c>
      <c r="W410" s="1">
        <f t="shared" si="152"/>
        <v>0</v>
      </c>
      <c r="X410" s="1">
        <f t="shared" si="153"/>
        <v>0</v>
      </c>
      <c r="Y410" s="1">
        <f t="shared" si="154"/>
        <v>1</v>
      </c>
      <c r="Z410" s="1">
        <f t="shared" si="155"/>
        <v>0</v>
      </c>
      <c r="AA410" s="1">
        <f t="shared" si="156"/>
        <v>0</v>
      </c>
      <c r="AC410" s="1">
        <f t="shared" si="157"/>
        <v>0</v>
      </c>
      <c r="AD410" s="1">
        <f t="shared" si="158"/>
        <v>0</v>
      </c>
      <c r="AE410" s="1">
        <f t="shared" si="159"/>
        <v>0</v>
      </c>
      <c r="AF410" s="1">
        <f t="shared" si="160"/>
        <v>0</v>
      </c>
      <c r="AG410" s="1">
        <f t="shared" si="161"/>
        <v>0</v>
      </c>
      <c r="AH410" s="1">
        <f t="shared" si="162"/>
        <v>0</v>
      </c>
    </row>
    <row r="411" spans="1:34" ht="14.25" customHeight="1" x14ac:dyDescent="0.25">
      <c r="A411" s="47">
        <v>1</v>
      </c>
      <c r="B411" s="47">
        <v>2</v>
      </c>
      <c r="C411" s="47">
        <v>7</v>
      </c>
      <c r="D411" s="48" t="s">
        <v>73</v>
      </c>
      <c r="E411" s="48" t="s">
        <v>28</v>
      </c>
      <c r="F411" s="48" t="s">
        <v>263</v>
      </c>
      <c r="G411" s="48" t="s">
        <v>180</v>
      </c>
      <c r="H411" s="48" t="s">
        <v>358</v>
      </c>
      <c r="I411" s="47" t="s">
        <v>424</v>
      </c>
      <c r="J411" s="47">
        <v>1</v>
      </c>
      <c r="K411" s="49" t="s">
        <v>721</v>
      </c>
      <c r="L411" s="49" t="s">
        <v>721</v>
      </c>
      <c r="M411" s="50" t="s">
        <v>739</v>
      </c>
      <c r="N411" s="50" t="s">
        <v>1751</v>
      </c>
      <c r="O411" s="51"/>
      <c r="P411" s="51"/>
      <c r="R411" s="1">
        <f t="shared" si="147"/>
        <v>1</v>
      </c>
      <c r="S411" s="1">
        <f t="shared" si="148"/>
        <v>0</v>
      </c>
      <c r="T411" s="1">
        <f t="shared" si="149"/>
        <v>0</v>
      </c>
      <c r="U411" s="1">
        <f t="shared" si="150"/>
        <v>0</v>
      </c>
      <c r="V411" s="1">
        <f t="shared" si="151"/>
        <v>0</v>
      </c>
      <c r="W411" s="1">
        <f t="shared" si="152"/>
        <v>0</v>
      </c>
      <c r="X411" s="1">
        <f t="shared" si="153"/>
        <v>0</v>
      </c>
      <c r="Y411" s="1">
        <f t="shared" si="154"/>
        <v>0</v>
      </c>
      <c r="Z411" s="1">
        <f t="shared" si="155"/>
        <v>0</v>
      </c>
      <c r="AA411" s="1">
        <f t="shared" si="156"/>
        <v>0</v>
      </c>
      <c r="AC411" s="1">
        <f t="shared" si="157"/>
        <v>0</v>
      </c>
      <c r="AD411" s="1">
        <f t="shared" si="158"/>
        <v>0</v>
      </c>
      <c r="AE411" s="1">
        <f t="shared" si="159"/>
        <v>0</v>
      </c>
      <c r="AF411" s="1">
        <f t="shared" si="160"/>
        <v>0</v>
      </c>
      <c r="AG411" s="1">
        <f t="shared" si="161"/>
        <v>0</v>
      </c>
      <c r="AH411" s="1">
        <f t="shared" si="162"/>
        <v>0</v>
      </c>
    </row>
    <row r="412" spans="1:34" ht="14.25" customHeight="1" x14ac:dyDescent="0.25">
      <c r="A412" s="15">
        <v>0</v>
      </c>
      <c r="B412" s="15">
        <v>2</v>
      </c>
      <c r="C412" s="15">
        <v>7</v>
      </c>
      <c r="D412" s="16" t="s">
        <v>786</v>
      </c>
      <c r="E412" s="16" t="s">
        <v>28</v>
      </c>
      <c r="F412" s="16" t="s">
        <v>787</v>
      </c>
      <c r="G412" s="16" t="s">
        <v>282</v>
      </c>
      <c r="H412" s="16" t="s">
        <v>358</v>
      </c>
      <c r="I412" s="15" t="s">
        <v>788</v>
      </c>
      <c r="J412" s="15">
        <v>99</v>
      </c>
      <c r="K412" s="10" t="s">
        <v>721</v>
      </c>
      <c r="L412" s="10" t="s">
        <v>721</v>
      </c>
      <c r="M412" s="19" t="s">
        <v>739</v>
      </c>
      <c r="N412" s="17"/>
      <c r="R412" s="1">
        <f t="shared" si="147"/>
        <v>0</v>
      </c>
      <c r="S412" s="1">
        <f t="shared" si="148"/>
        <v>0</v>
      </c>
      <c r="T412" s="1">
        <f t="shared" si="149"/>
        <v>0</v>
      </c>
      <c r="U412" s="1">
        <f t="shared" si="150"/>
        <v>0</v>
      </c>
      <c r="V412" s="1">
        <f t="shared" si="151"/>
        <v>0</v>
      </c>
      <c r="W412" s="1">
        <f t="shared" si="152"/>
        <v>0</v>
      </c>
      <c r="X412" s="1">
        <f t="shared" si="153"/>
        <v>0</v>
      </c>
      <c r="Y412" s="1">
        <f t="shared" si="154"/>
        <v>0</v>
      </c>
      <c r="Z412" s="1">
        <f t="shared" si="155"/>
        <v>0</v>
      </c>
      <c r="AA412" s="1">
        <f t="shared" si="156"/>
        <v>0</v>
      </c>
      <c r="AC412" s="1">
        <f t="shared" si="157"/>
        <v>0</v>
      </c>
      <c r="AD412" s="1">
        <f t="shared" si="158"/>
        <v>0</v>
      </c>
      <c r="AE412" s="1">
        <f t="shared" si="159"/>
        <v>0</v>
      </c>
      <c r="AF412" s="1">
        <f t="shared" si="160"/>
        <v>0</v>
      </c>
      <c r="AG412" s="1">
        <f t="shared" si="161"/>
        <v>0</v>
      </c>
      <c r="AH412" s="1">
        <f t="shared" si="162"/>
        <v>1</v>
      </c>
    </row>
    <row r="413" spans="1:34" ht="14.25" customHeight="1" x14ac:dyDescent="0.25">
      <c r="A413" s="15">
        <v>0</v>
      </c>
      <c r="B413" s="15">
        <v>2</v>
      </c>
      <c r="C413" s="15">
        <v>7</v>
      </c>
      <c r="D413" s="16" t="s">
        <v>86</v>
      </c>
      <c r="E413" s="16" t="s">
        <v>28</v>
      </c>
      <c r="F413" s="16" t="s">
        <v>281</v>
      </c>
      <c r="G413" s="16" t="s">
        <v>282</v>
      </c>
      <c r="H413" s="16" t="s">
        <v>358</v>
      </c>
      <c r="I413" s="15" t="s">
        <v>439</v>
      </c>
      <c r="J413" s="15">
        <v>99</v>
      </c>
      <c r="K413" s="10" t="s">
        <v>721</v>
      </c>
      <c r="L413" s="10" t="s">
        <v>721</v>
      </c>
      <c r="M413" s="19" t="s">
        <v>739</v>
      </c>
      <c r="N413" s="17"/>
      <c r="R413" s="1">
        <f t="shared" si="147"/>
        <v>0</v>
      </c>
      <c r="S413" s="1">
        <f t="shared" si="148"/>
        <v>0</v>
      </c>
      <c r="T413" s="1">
        <f t="shared" si="149"/>
        <v>0</v>
      </c>
      <c r="U413" s="1">
        <f t="shared" si="150"/>
        <v>0</v>
      </c>
      <c r="V413" s="1">
        <f t="shared" si="151"/>
        <v>0</v>
      </c>
      <c r="W413" s="1">
        <f t="shared" si="152"/>
        <v>0</v>
      </c>
      <c r="X413" s="1">
        <f t="shared" si="153"/>
        <v>0</v>
      </c>
      <c r="Y413" s="1">
        <f t="shared" si="154"/>
        <v>0</v>
      </c>
      <c r="Z413" s="1">
        <f t="shared" si="155"/>
        <v>0</v>
      </c>
      <c r="AA413" s="1">
        <f t="shared" si="156"/>
        <v>0</v>
      </c>
      <c r="AC413" s="1">
        <f t="shared" si="157"/>
        <v>0</v>
      </c>
      <c r="AD413" s="1">
        <f t="shared" si="158"/>
        <v>0</v>
      </c>
      <c r="AE413" s="1">
        <f t="shared" si="159"/>
        <v>0</v>
      </c>
      <c r="AF413" s="1">
        <f t="shared" si="160"/>
        <v>0</v>
      </c>
      <c r="AG413" s="1">
        <f t="shared" si="161"/>
        <v>0</v>
      </c>
      <c r="AH413" s="1">
        <f t="shared" si="162"/>
        <v>1</v>
      </c>
    </row>
    <row r="414" spans="1:34" ht="14.25" customHeight="1" x14ac:dyDescent="0.25">
      <c r="A414" s="47">
        <v>0</v>
      </c>
      <c r="B414" s="47">
        <v>2</v>
      </c>
      <c r="C414" s="47">
        <v>7</v>
      </c>
      <c r="D414" s="48" t="s">
        <v>559</v>
      </c>
      <c r="E414" s="48" t="s">
        <v>28</v>
      </c>
      <c r="F414" s="68" t="s">
        <v>1894</v>
      </c>
      <c r="G414" s="48" t="s">
        <v>562</v>
      </c>
      <c r="H414" s="48" t="s">
        <v>358</v>
      </c>
      <c r="I414" s="47" t="s">
        <v>563</v>
      </c>
      <c r="J414" s="47">
        <v>99</v>
      </c>
      <c r="K414" s="49" t="s">
        <v>721</v>
      </c>
      <c r="L414" s="49" t="s">
        <v>721</v>
      </c>
      <c r="M414" s="50" t="s">
        <v>739</v>
      </c>
      <c r="N414" s="50" t="s">
        <v>1818</v>
      </c>
      <c r="O414" s="51"/>
      <c r="P414" s="51"/>
      <c r="R414" s="1">
        <f t="shared" si="147"/>
        <v>0</v>
      </c>
      <c r="S414" s="1">
        <f t="shared" si="148"/>
        <v>0</v>
      </c>
      <c r="T414" s="1">
        <f t="shared" si="149"/>
        <v>0</v>
      </c>
      <c r="U414" s="1">
        <f t="shared" si="150"/>
        <v>0</v>
      </c>
      <c r="V414" s="1">
        <f t="shared" si="151"/>
        <v>0</v>
      </c>
      <c r="W414" s="1">
        <f t="shared" si="152"/>
        <v>0</v>
      </c>
      <c r="X414" s="1">
        <f t="shared" si="153"/>
        <v>0</v>
      </c>
      <c r="Y414" s="1">
        <f t="shared" si="154"/>
        <v>0</v>
      </c>
      <c r="Z414" s="1">
        <f t="shared" si="155"/>
        <v>0</v>
      </c>
      <c r="AA414" s="1">
        <f t="shared" si="156"/>
        <v>0</v>
      </c>
      <c r="AC414" s="1">
        <f t="shared" si="157"/>
        <v>0</v>
      </c>
      <c r="AD414" s="1">
        <f t="shared" si="158"/>
        <v>0</v>
      </c>
      <c r="AE414" s="1">
        <f t="shared" si="159"/>
        <v>0</v>
      </c>
      <c r="AF414" s="1">
        <f t="shared" si="160"/>
        <v>0</v>
      </c>
      <c r="AG414" s="1">
        <f t="shared" si="161"/>
        <v>0</v>
      </c>
      <c r="AH414" s="1">
        <f t="shared" si="162"/>
        <v>1</v>
      </c>
    </row>
    <row r="415" spans="1:34" ht="14.25" customHeight="1" x14ac:dyDescent="0.25">
      <c r="A415" s="47">
        <v>1</v>
      </c>
      <c r="B415" s="47">
        <v>2</v>
      </c>
      <c r="C415" s="47">
        <v>7</v>
      </c>
      <c r="D415" s="48" t="s">
        <v>559</v>
      </c>
      <c r="E415" s="48" t="s">
        <v>28</v>
      </c>
      <c r="F415" s="68" t="s">
        <v>1895</v>
      </c>
      <c r="G415" s="48" t="s">
        <v>560</v>
      </c>
      <c r="H415" s="48" t="s">
        <v>358</v>
      </c>
      <c r="I415" s="47" t="s">
        <v>561</v>
      </c>
      <c r="J415" s="47">
        <v>99</v>
      </c>
      <c r="K415" s="49" t="s">
        <v>721</v>
      </c>
      <c r="L415" s="49" t="s">
        <v>721</v>
      </c>
      <c r="M415" s="50" t="s">
        <v>739</v>
      </c>
      <c r="N415" s="50" t="s">
        <v>1818</v>
      </c>
      <c r="O415" s="51"/>
      <c r="P415" s="51"/>
      <c r="R415" s="1">
        <f t="shared" si="147"/>
        <v>0</v>
      </c>
      <c r="S415" s="1">
        <f t="shared" si="148"/>
        <v>0</v>
      </c>
      <c r="T415" s="1">
        <f t="shared" si="149"/>
        <v>0</v>
      </c>
      <c r="U415" s="1">
        <f t="shared" si="150"/>
        <v>0</v>
      </c>
      <c r="V415" s="1">
        <f t="shared" si="151"/>
        <v>0</v>
      </c>
      <c r="W415" s="1">
        <f t="shared" si="152"/>
        <v>0</v>
      </c>
      <c r="X415" s="1">
        <f t="shared" si="153"/>
        <v>0</v>
      </c>
      <c r="Y415" s="1">
        <f t="shared" si="154"/>
        <v>0</v>
      </c>
      <c r="Z415" s="1">
        <f t="shared" si="155"/>
        <v>0</v>
      </c>
      <c r="AA415" s="1">
        <f t="shared" si="156"/>
        <v>0</v>
      </c>
      <c r="AC415" s="1">
        <f t="shared" si="157"/>
        <v>0</v>
      </c>
      <c r="AD415" s="1">
        <f t="shared" si="158"/>
        <v>0</v>
      </c>
      <c r="AE415" s="1">
        <f t="shared" si="159"/>
        <v>0</v>
      </c>
      <c r="AF415" s="1">
        <f t="shared" si="160"/>
        <v>0</v>
      </c>
      <c r="AG415" s="1">
        <f t="shared" si="161"/>
        <v>0</v>
      </c>
      <c r="AH415" s="1">
        <f t="shared" si="162"/>
        <v>0</v>
      </c>
    </row>
    <row r="416" spans="1:34" ht="14.25" customHeight="1" x14ac:dyDescent="0.25">
      <c r="A416" s="47">
        <v>0</v>
      </c>
      <c r="B416" s="47">
        <v>2</v>
      </c>
      <c r="C416" s="47">
        <v>7</v>
      </c>
      <c r="D416" s="48" t="s">
        <v>1200</v>
      </c>
      <c r="E416" s="48" t="s">
        <v>28</v>
      </c>
      <c r="F416" s="48" t="s">
        <v>1694</v>
      </c>
      <c r="G416" s="48" t="s">
        <v>237</v>
      </c>
      <c r="H416" s="48" t="s">
        <v>358</v>
      </c>
      <c r="I416" s="47" t="s">
        <v>1381</v>
      </c>
      <c r="J416" s="47">
        <v>99</v>
      </c>
      <c r="K416" s="49" t="s">
        <v>720</v>
      </c>
      <c r="L416" s="49" t="s">
        <v>721</v>
      </c>
      <c r="M416" s="50" t="s">
        <v>739</v>
      </c>
      <c r="N416" s="50" t="s">
        <v>1751</v>
      </c>
      <c r="O416" s="51"/>
      <c r="P416" s="51"/>
      <c r="R416" s="1">
        <f t="shared" si="147"/>
        <v>0</v>
      </c>
      <c r="S416" s="1">
        <f t="shared" si="148"/>
        <v>0</v>
      </c>
      <c r="T416" s="1">
        <f t="shared" si="149"/>
        <v>0</v>
      </c>
      <c r="U416" s="1">
        <f t="shared" si="150"/>
        <v>0</v>
      </c>
      <c r="V416" s="1">
        <f t="shared" si="151"/>
        <v>0</v>
      </c>
      <c r="W416" s="1">
        <f t="shared" si="152"/>
        <v>0</v>
      </c>
      <c r="X416" s="1">
        <f t="shared" si="153"/>
        <v>0</v>
      </c>
      <c r="Y416" s="1">
        <f t="shared" si="154"/>
        <v>0</v>
      </c>
      <c r="Z416" s="1">
        <f t="shared" si="155"/>
        <v>0</v>
      </c>
      <c r="AA416" s="1">
        <f t="shared" si="156"/>
        <v>0</v>
      </c>
      <c r="AC416" s="1">
        <f t="shared" si="157"/>
        <v>0</v>
      </c>
      <c r="AD416" s="1">
        <f t="shared" si="158"/>
        <v>0</v>
      </c>
      <c r="AE416" s="1">
        <f t="shared" si="159"/>
        <v>0</v>
      </c>
      <c r="AF416" s="1">
        <f t="shared" si="160"/>
        <v>0</v>
      </c>
      <c r="AG416" s="1">
        <f t="shared" si="161"/>
        <v>0</v>
      </c>
      <c r="AH416" s="1">
        <f t="shared" si="162"/>
        <v>1</v>
      </c>
    </row>
    <row r="417" spans="1:34" ht="14.25" customHeight="1" x14ac:dyDescent="0.25">
      <c r="A417" s="47">
        <v>1</v>
      </c>
      <c r="B417" s="47">
        <v>2</v>
      </c>
      <c r="C417" s="47">
        <v>7</v>
      </c>
      <c r="D417" s="48" t="s">
        <v>1200</v>
      </c>
      <c r="E417" s="48" t="s">
        <v>28</v>
      </c>
      <c r="F417" s="48" t="s">
        <v>1695</v>
      </c>
      <c r="G417" s="48" t="s">
        <v>1367</v>
      </c>
      <c r="H417" s="48" t="s">
        <v>358</v>
      </c>
      <c r="I417" s="47" t="s">
        <v>1382</v>
      </c>
      <c r="J417" s="47">
        <v>99</v>
      </c>
      <c r="K417" s="49" t="s">
        <v>720</v>
      </c>
      <c r="L417" s="49" t="s">
        <v>721</v>
      </c>
      <c r="M417" s="50" t="s">
        <v>739</v>
      </c>
      <c r="N417" s="50" t="s">
        <v>1751</v>
      </c>
      <c r="O417" s="51"/>
      <c r="P417" s="51"/>
      <c r="R417" s="1">
        <f t="shared" si="147"/>
        <v>0</v>
      </c>
      <c r="S417" s="1">
        <f t="shared" si="148"/>
        <v>0</v>
      </c>
      <c r="T417" s="1">
        <f t="shared" si="149"/>
        <v>0</v>
      </c>
      <c r="U417" s="1">
        <f t="shared" si="150"/>
        <v>0</v>
      </c>
      <c r="V417" s="1">
        <f t="shared" si="151"/>
        <v>0</v>
      </c>
      <c r="W417" s="1">
        <f t="shared" si="152"/>
        <v>0</v>
      </c>
      <c r="X417" s="1">
        <f t="shared" si="153"/>
        <v>0</v>
      </c>
      <c r="Y417" s="1">
        <f t="shared" si="154"/>
        <v>0</v>
      </c>
      <c r="Z417" s="1">
        <f t="shared" si="155"/>
        <v>0</v>
      </c>
      <c r="AA417" s="1">
        <f t="shared" si="156"/>
        <v>0</v>
      </c>
      <c r="AC417" s="1">
        <f t="shared" si="157"/>
        <v>0</v>
      </c>
      <c r="AD417" s="1">
        <f t="shared" si="158"/>
        <v>0</v>
      </c>
      <c r="AE417" s="1">
        <f t="shared" si="159"/>
        <v>0</v>
      </c>
      <c r="AF417" s="1">
        <f t="shared" si="160"/>
        <v>0</v>
      </c>
      <c r="AG417" s="1">
        <f t="shared" si="161"/>
        <v>0</v>
      </c>
      <c r="AH417" s="1">
        <f t="shared" si="162"/>
        <v>0</v>
      </c>
    </row>
    <row r="418" spans="1:34" ht="14.25" customHeight="1" x14ac:dyDescent="0.25">
      <c r="A418" s="34">
        <v>0</v>
      </c>
      <c r="B418" s="34">
        <v>2</v>
      </c>
      <c r="C418" s="34">
        <v>7</v>
      </c>
      <c r="D418" s="35" t="s">
        <v>1268</v>
      </c>
      <c r="E418" s="35" t="s">
        <v>28</v>
      </c>
      <c r="F418" s="35" t="s">
        <v>1267</v>
      </c>
      <c r="G418" s="35" t="s">
        <v>1252</v>
      </c>
      <c r="H418" s="35" t="s">
        <v>358</v>
      </c>
      <c r="I418" s="34" t="s">
        <v>1269</v>
      </c>
      <c r="J418" s="34">
        <v>99</v>
      </c>
      <c r="K418" s="36" t="s">
        <v>711</v>
      </c>
      <c r="L418" s="36" t="s">
        <v>721</v>
      </c>
      <c r="M418" s="37" t="s">
        <v>739</v>
      </c>
      <c r="N418" s="37" t="s">
        <v>1759</v>
      </c>
      <c r="O418" s="38">
        <v>1</v>
      </c>
      <c r="P418" s="38"/>
      <c r="R418" s="1">
        <f t="shared" si="147"/>
        <v>0</v>
      </c>
      <c r="S418" s="1">
        <f t="shared" si="148"/>
        <v>0</v>
      </c>
      <c r="T418" s="1">
        <f t="shared" si="149"/>
        <v>0</v>
      </c>
      <c r="U418" s="1">
        <f t="shared" si="150"/>
        <v>0</v>
      </c>
      <c r="V418" s="1">
        <f t="shared" si="151"/>
        <v>0</v>
      </c>
      <c r="W418" s="1">
        <f t="shared" si="152"/>
        <v>0</v>
      </c>
      <c r="X418" s="1">
        <f t="shared" si="153"/>
        <v>0</v>
      </c>
      <c r="Y418" s="1">
        <f t="shared" si="154"/>
        <v>0</v>
      </c>
      <c r="Z418" s="1">
        <f t="shared" si="155"/>
        <v>0</v>
      </c>
      <c r="AA418" s="1">
        <f t="shared" si="156"/>
        <v>0</v>
      </c>
      <c r="AC418" s="1">
        <f t="shared" si="157"/>
        <v>0</v>
      </c>
      <c r="AD418" s="1">
        <f t="shared" si="158"/>
        <v>1</v>
      </c>
      <c r="AE418" s="1">
        <f t="shared" si="159"/>
        <v>0</v>
      </c>
      <c r="AF418" s="1">
        <f t="shared" si="160"/>
        <v>1</v>
      </c>
      <c r="AG418" s="1">
        <f t="shared" si="161"/>
        <v>0</v>
      </c>
      <c r="AH418" s="1">
        <f t="shared" si="162"/>
        <v>1</v>
      </c>
    </row>
    <row r="419" spans="1:34" ht="14.25" customHeight="1" x14ac:dyDescent="0.25">
      <c r="A419" s="34">
        <v>1</v>
      </c>
      <c r="B419" s="34">
        <v>2</v>
      </c>
      <c r="C419" s="34">
        <v>7</v>
      </c>
      <c r="D419" s="35" t="s">
        <v>1268</v>
      </c>
      <c r="E419" s="35" t="s">
        <v>28</v>
      </c>
      <c r="F419" s="35" t="s">
        <v>1266</v>
      </c>
      <c r="G419" s="35" t="s">
        <v>39</v>
      </c>
      <c r="H419" s="35" t="s">
        <v>358</v>
      </c>
      <c r="I419" s="34" t="s">
        <v>1270</v>
      </c>
      <c r="J419" s="34">
        <v>9</v>
      </c>
      <c r="K419" s="36" t="s">
        <v>711</v>
      </c>
      <c r="L419" s="36" t="s">
        <v>721</v>
      </c>
      <c r="M419" s="37" t="s">
        <v>739</v>
      </c>
      <c r="N419" s="37" t="s">
        <v>1759</v>
      </c>
      <c r="O419" s="38">
        <v>1</v>
      </c>
      <c r="P419" s="38"/>
      <c r="R419" s="1">
        <f t="shared" si="147"/>
        <v>0</v>
      </c>
      <c r="S419" s="1">
        <f t="shared" si="148"/>
        <v>0</v>
      </c>
      <c r="T419" s="1">
        <f t="shared" si="149"/>
        <v>0</v>
      </c>
      <c r="U419" s="1">
        <f t="shared" si="150"/>
        <v>0</v>
      </c>
      <c r="V419" s="1">
        <f t="shared" si="151"/>
        <v>0</v>
      </c>
      <c r="W419" s="1">
        <f t="shared" si="152"/>
        <v>0</v>
      </c>
      <c r="X419" s="1">
        <f t="shared" si="153"/>
        <v>0</v>
      </c>
      <c r="Y419" s="1">
        <f t="shared" si="154"/>
        <v>0</v>
      </c>
      <c r="Z419" s="1">
        <f t="shared" si="155"/>
        <v>1</v>
      </c>
      <c r="AA419" s="1">
        <f t="shared" si="156"/>
        <v>0</v>
      </c>
      <c r="AC419" s="1">
        <f t="shared" si="157"/>
        <v>0</v>
      </c>
      <c r="AD419" s="1">
        <f t="shared" si="158"/>
        <v>1</v>
      </c>
      <c r="AE419" s="1">
        <f t="shared" si="159"/>
        <v>0</v>
      </c>
      <c r="AF419" s="1">
        <f t="shared" si="160"/>
        <v>0</v>
      </c>
      <c r="AG419" s="1">
        <f t="shared" si="161"/>
        <v>0</v>
      </c>
      <c r="AH419" s="1">
        <f t="shared" si="162"/>
        <v>0</v>
      </c>
    </row>
    <row r="420" spans="1:34" ht="14.25" customHeight="1" x14ac:dyDescent="0.25">
      <c r="A420" s="34">
        <v>1</v>
      </c>
      <c r="B420" s="34">
        <v>2</v>
      </c>
      <c r="C420" s="34">
        <v>7</v>
      </c>
      <c r="D420" s="35" t="s">
        <v>1268</v>
      </c>
      <c r="E420" s="35" t="s">
        <v>28</v>
      </c>
      <c r="F420" s="39" t="s">
        <v>1840</v>
      </c>
      <c r="G420" s="39" t="s">
        <v>260</v>
      </c>
      <c r="H420" s="35" t="s">
        <v>358</v>
      </c>
      <c r="I420" s="40" t="s">
        <v>30</v>
      </c>
      <c r="J420" s="34">
        <v>8</v>
      </c>
      <c r="K420" s="36" t="s">
        <v>711</v>
      </c>
      <c r="L420" s="36" t="s">
        <v>721</v>
      </c>
      <c r="M420" s="37" t="s">
        <v>739</v>
      </c>
      <c r="N420" s="37" t="s">
        <v>1759</v>
      </c>
      <c r="O420" s="38">
        <v>1</v>
      </c>
      <c r="P420" s="38"/>
      <c r="R420" s="1">
        <f t="shared" si="147"/>
        <v>0</v>
      </c>
      <c r="S420" s="1">
        <f t="shared" si="148"/>
        <v>0</v>
      </c>
      <c r="T420" s="1">
        <f t="shared" si="149"/>
        <v>0</v>
      </c>
      <c r="U420" s="1">
        <f t="shared" si="150"/>
        <v>0</v>
      </c>
      <c r="V420" s="1">
        <f t="shared" si="151"/>
        <v>0</v>
      </c>
      <c r="W420" s="1">
        <f t="shared" si="152"/>
        <v>0</v>
      </c>
      <c r="X420" s="1">
        <f t="shared" si="153"/>
        <v>0</v>
      </c>
      <c r="Y420" s="1">
        <f t="shared" si="154"/>
        <v>1</v>
      </c>
      <c r="Z420" s="1">
        <f t="shared" si="155"/>
        <v>0</v>
      </c>
      <c r="AA420" s="1">
        <f t="shared" si="156"/>
        <v>0</v>
      </c>
      <c r="AC420" s="1">
        <f t="shared" si="157"/>
        <v>0</v>
      </c>
      <c r="AD420" s="1">
        <f t="shared" si="158"/>
        <v>1</v>
      </c>
      <c r="AE420" s="1">
        <f t="shared" si="159"/>
        <v>0</v>
      </c>
      <c r="AF420" s="1">
        <f t="shared" si="160"/>
        <v>0</v>
      </c>
      <c r="AG420" s="1">
        <f t="shared" si="161"/>
        <v>0</v>
      </c>
      <c r="AH420" s="1">
        <f t="shared" si="162"/>
        <v>0</v>
      </c>
    </row>
    <row r="421" spans="1:34" ht="14.25" customHeight="1" x14ac:dyDescent="0.25">
      <c r="A421" s="34">
        <v>0</v>
      </c>
      <c r="B421" s="34">
        <v>2</v>
      </c>
      <c r="C421" s="34">
        <v>7</v>
      </c>
      <c r="D421" s="35" t="s">
        <v>51</v>
      </c>
      <c r="E421" s="35" t="s">
        <v>28</v>
      </c>
      <c r="F421" s="35" t="s">
        <v>681</v>
      </c>
      <c r="G421" s="35" t="s">
        <v>187</v>
      </c>
      <c r="H421" s="35" t="s">
        <v>358</v>
      </c>
      <c r="I421" s="34" t="s">
        <v>394</v>
      </c>
      <c r="J421" s="34">
        <v>99</v>
      </c>
      <c r="K421" s="36" t="s">
        <v>720</v>
      </c>
      <c r="L421" s="36" t="s">
        <v>721</v>
      </c>
      <c r="M421" s="37" t="s">
        <v>739</v>
      </c>
      <c r="N421" s="37" t="s">
        <v>1765</v>
      </c>
      <c r="O421" s="38">
        <v>1</v>
      </c>
      <c r="P421" s="38"/>
      <c r="R421" s="1">
        <f t="shared" si="147"/>
        <v>0</v>
      </c>
      <c r="S421" s="1">
        <f t="shared" si="148"/>
        <v>0</v>
      </c>
      <c r="T421" s="1">
        <f t="shared" si="149"/>
        <v>0</v>
      </c>
      <c r="U421" s="1">
        <f t="shared" si="150"/>
        <v>0</v>
      </c>
      <c r="V421" s="1">
        <f t="shared" si="151"/>
        <v>0</v>
      </c>
      <c r="W421" s="1">
        <f t="shared" si="152"/>
        <v>0</v>
      </c>
      <c r="X421" s="1">
        <f t="shared" si="153"/>
        <v>0</v>
      </c>
      <c r="Y421" s="1">
        <f t="shared" si="154"/>
        <v>0</v>
      </c>
      <c r="Z421" s="1">
        <f t="shared" si="155"/>
        <v>0</v>
      </c>
      <c r="AA421" s="1">
        <f t="shared" si="156"/>
        <v>0</v>
      </c>
      <c r="AC421" s="1">
        <f t="shared" si="157"/>
        <v>0</v>
      </c>
      <c r="AD421" s="1">
        <f t="shared" si="158"/>
        <v>1</v>
      </c>
      <c r="AE421" s="1">
        <f t="shared" si="159"/>
        <v>0</v>
      </c>
      <c r="AF421" s="1">
        <f t="shared" si="160"/>
        <v>1</v>
      </c>
      <c r="AG421" s="1">
        <f t="shared" si="161"/>
        <v>0</v>
      </c>
      <c r="AH421" s="1">
        <f t="shared" si="162"/>
        <v>1</v>
      </c>
    </row>
    <row r="422" spans="1:34" ht="14.25" customHeight="1" x14ac:dyDescent="0.25">
      <c r="A422" s="47">
        <v>0</v>
      </c>
      <c r="B422" s="47">
        <v>2</v>
      </c>
      <c r="C422" s="47">
        <v>7</v>
      </c>
      <c r="D422" s="48" t="s">
        <v>1092</v>
      </c>
      <c r="E422" s="48" t="s">
        <v>28</v>
      </c>
      <c r="F422" s="48" t="s">
        <v>1006</v>
      </c>
      <c r="G422" s="48" t="s">
        <v>242</v>
      </c>
      <c r="H422" s="48" t="s">
        <v>358</v>
      </c>
      <c r="I422" s="47" t="s">
        <v>1117</v>
      </c>
      <c r="J422" s="47">
        <v>1</v>
      </c>
      <c r="K422" s="49" t="s">
        <v>720</v>
      </c>
      <c r="L422" s="49" t="s">
        <v>721</v>
      </c>
      <c r="M422" s="50" t="s">
        <v>739</v>
      </c>
      <c r="N422" s="50" t="s">
        <v>1751</v>
      </c>
      <c r="O422" s="51"/>
      <c r="P422" s="51"/>
      <c r="R422" s="1">
        <f t="shared" si="147"/>
        <v>1</v>
      </c>
      <c r="S422" s="1">
        <f t="shared" si="148"/>
        <v>0</v>
      </c>
      <c r="T422" s="1">
        <f t="shared" si="149"/>
        <v>0</v>
      </c>
      <c r="U422" s="1">
        <f t="shared" si="150"/>
        <v>0</v>
      </c>
      <c r="V422" s="1">
        <f t="shared" si="151"/>
        <v>0</v>
      </c>
      <c r="W422" s="1">
        <f t="shared" si="152"/>
        <v>0</v>
      </c>
      <c r="X422" s="1">
        <f t="shared" si="153"/>
        <v>0</v>
      </c>
      <c r="Y422" s="1">
        <f t="shared" si="154"/>
        <v>0</v>
      </c>
      <c r="Z422" s="1">
        <f t="shared" si="155"/>
        <v>0</v>
      </c>
      <c r="AA422" s="1">
        <f t="shared" si="156"/>
        <v>0</v>
      </c>
      <c r="AC422" s="1">
        <f t="shared" si="157"/>
        <v>0</v>
      </c>
      <c r="AD422" s="1">
        <f t="shared" si="158"/>
        <v>0</v>
      </c>
      <c r="AE422" s="1">
        <f t="shared" si="159"/>
        <v>0</v>
      </c>
      <c r="AF422" s="1">
        <f t="shared" si="160"/>
        <v>0</v>
      </c>
      <c r="AG422" s="1">
        <f t="shared" si="161"/>
        <v>0</v>
      </c>
      <c r="AH422" s="1">
        <f t="shared" si="162"/>
        <v>1</v>
      </c>
    </row>
    <row r="423" spans="1:34" ht="14.25" customHeight="1" x14ac:dyDescent="0.25">
      <c r="A423" s="47">
        <v>1</v>
      </c>
      <c r="B423" s="47">
        <v>2</v>
      </c>
      <c r="C423" s="47">
        <v>7</v>
      </c>
      <c r="D423" s="48" t="s">
        <v>1092</v>
      </c>
      <c r="E423" s="48" t="s">
        <v>28</v>
      </c>
      <c r="F423" s="48" t="s">
        <v>1007</v>
      </c>
      <c r="G423" s="48" t="s">
        <v>1110</v>
      </c>
      <c r="H423" s="48" t="s">
        <v>358</v>
      </c>
      <c r="I423" s="47" t="s">
        <v>1118</v>
      </c>
      <c r="J423" s="47">
        <v>1</v>
      </c>
      <c r="K423" s="49" t="s">
        <v>720</v>
      </c>
      <c r="L423" s="49" t="s">
        <v>721</v>
      </c>
      <c r="M423" s="50" t="s">
        <v>739</v>
      </c>
      <c r="N423" s="50" t="s">
        <v>1751</v>
      </c>
      <c r="O423" s="51"/>
      <c r="P423" s="51"/>
      <c r="R423" s="1">
        <f t="shared" si="147"/>
        <v>1</v>
      </c>
      <c r="S423" s="1">
        <f t="shared" si="148"/>
        <v>0</v>
      </c>
      <c r="T423" s="1">
        <f t="shared" si="149"/>
        <v>0</v>
      </c>
      <c r="U423" s="1">
        <f t="shared" si="150"/>
        <v>0</v>
      </c>
      <c r="V423" s="1">
        <f t="shared" si="151"/>
        <v>0</v>
      </c>
      <c r="W423" s="1">
        <f t="shared" si="152"/>
        <v>0</v>
      </c>
      <c r="X423" s="1">
        <f t="shared" si="153"/>
        <v>0</v>
      </c>
      <c r="Y423" s="1">
        <f t="shared" si="154"/>
        <v>0</v>
      </c>
      <c r="Z423" s="1">
        <f t="shared" si="155"/>
        <v>0</v>
      </c>
      <c r="AA423" s="1">
        <f t="shared" si="156"/>
        <v>0</v>
      </c>
      <c r="AC423" s="1">
        <f t="shared" si="157"/>
        <v>0</v>
      </c>
      <c r="AD423" s="1">
        <f t="shared" si="158"/>
        <v>0</v>
      </c>
      <c r="AE423" s="1">
        <f t="shared" si="159"/>
        <v>0</v>
      </c>
      <c r="AF423" s="1">
        <f t="shared" si="160"/>
        <v>0</v>
      </c>
      <c r="AG423" s="1">
        <f t="shared" si="161"/>
        <v>0</v>
      </c>
      <c r="AH423" s="1">
        <f t="shared" si="162"/>
        <v>0</v>
      </c>
    </row>
    <row r="424" spans="1:34" ht="14.25" customHeight="1" x14ac:dyDescent="0.25">
      <c r="A424" s="34">
        <v>0</v>
      </c>
      <c r="B424" s="34">
        <v>2</v>
      </c>
      <c r="C424" s="34">
        <v>7</v>
      </c>
      <c r="D424" s="35" t="s">
        <v>1654</v>
      </c>
      <c r="E424" s="35" t="s">
        <v>158</v>
      </c>
      <c r="F424" s="35" t="s">
        <v>1507</v>
      </c>
      <c r="G424" s="35" t="s">
        <v>1508</v>
      </c>
      <c r="H424" s="35" t="s">
        <v>358</v>
      </c>
      <c r="I424" s="34" t="s">
        <v>1509</v>
      </c>
      <c r="J424" s="34">
        <v>99</v>
      </c>
      <c r="K424" s="36" t="s">
        <v>963</v>
      </c>
      <c r="L424" s="36" t="s">
        <v>730</v>
      </c>
      <c r="M424" s="37" t="s">
        <v>740</v>
      </c>
      <c r="N424" s="37" t="s">
        <v>1764</v>
      </c>
      <c r="O424" s="38">
        <v>1</v>
      </c>
      <c r="P424" s="38"/>
      <c r="R424" s="1">
        <f t="shared" si="147"/>
        <v>0</v>
      </c>
      <c r="S424" s="1">
        <f t="shared" si="148"/>
        <v>0</v>
      </c>
      <c r="T424" s="1">
        <f t="shared" si="149"/>
        <v>0</v>
      </c>
      <c r="U424" s="1">
        <f t="shared" si="150"/>
        <v>0</v>
      </c>
      <c r="V424" s="1">
        <f t="shared" si="151"/>
        <v>0</v>
      </c>
      <c r="W424" s="1">
        <f t="shared" si="152"/>
        <v>0</v>
      </c>
      <c r="X424" s="1">
        <f t="shared" si="153"/>
        <v>0</v>
      </c>
      <c r="Y424" s="1">
        <f t="shared" si="154"/>
        <v>0</v>
      </c>
      <c r="Z424" s="1">
        <f t="shared" si="155"/>
        <v>0</v>
      </c>
      <c r="AA424" s="1">
        <f t="shared" si="156"/>
        <v>0</v>
      </c>
      <c r="AC424" s="1">
        <f t="shared" si="157"/>
        <v>0</v>
      </c>
      <c r="AD424" s="1">
        <f t="shared" si="158"/>
        <v>1</v>
      </c>
      <c r="AE424" s="1">
        <f t="shared" si="159"/>
        <v>0</v>
      </c>
      <c r="AF424" s="1">
        <f t="shared" si="160"/>
        <v>1</v>
      </c>
      <c r="AG424" s="1">
        <f t="shared" si="161"/>
        <v>0</v>
      </c>
      <c r="AH424" s="1">
        <f t="shared" si="162"/>
        <v>1</v>
      </c>
    </row>
    <row r="425" spans="1:34" ht="14.25" customHeight="1" x14ac:dyDescent="0.25">
      <c r="A425" s="47">
        <v>0</v>
      </c>
      <c r="B425" s="47">
        <v>2</v>
      </c>
      <c r="C425" s="47">
        <v>7</v>
      </c>
      <c r="D425" s="48" t="s">
        <v>83</v>
      </c>
      <c r="E425" s="48" t="s">
        <v>28</v>
      </c>
      <c r="F425" s="48" t="s">
        <v>277</v>
      </c>
      <c r="G425" s="48" t="s">
        <v>278</v>
      </c>
      <c r="H425" s="48" t="s">
        <v>358</v>
      </c>
      <c r="I425" s="47" t="s">
        <v>434</v>
      </c>
      <c r="J425" s="47">
        <v>7</v>
      </c>
      <c r="K425" s="49" t="s">
        <v>963</v>
      </c>
      <c r="L425" s="49" t="s">
        <v>962</v>
      </c>
      <c r="M425" s="50" t="s">
        <v>976</v>
      </c>
      <c r="N425" s="50" t="s">
        <v>1825</v>
      </c>
      <c r="O425" s="51"/>
      <c r="P425" s="51"/>
      <c r="R425" s="1">
        <f t="shared" si="147"/>
        <v>0</v>
      </c>
      <c r="S425" s="1">
        <f t="shared" si="148"/>
        <v>0</v>
      </c>
      <c r="T425" s="1">
        <f t="shared" si="149"/>
        <v>0</v>
      </c>
      <c r="U425" s="1">
        <f t="shared" si="150"/>
        <v>0</v>
      </c>
      <c r="V425" s="1">
        <f t="shared" si="151"/>
        <v>0</v>
      </c>
      <c r="W425" s="1">
        <f t="shared" si="152"/>
        <v>0</v>
      </c>
      <c r="X425" s="1">
        <f t="shared" si="153"/>
        <v>1</v>
      </c>
      <c r="Y425" s="1">
        <f t="shared" si="154"/>
        <v>0</v>
      </c>
      <c r="Z425" s="1">
        <f t="shared" si="155"/>
        <v>0</v>
      </c>
      <c r="AA425" s="1">
        <f t="shared" si="156"/>
        <v>0</v>
      </c>
      <c r="AC425" s="1">
        <f t="shared" si="157"/>
        <v>0</v>
      </c>
      <c r="AD425" s="1">
        <f t="shared" si="158"/>
        <v>0</v>
      </c>
      <c r="AE425" s="1">
        <f t="shared" si="159"/>
        <v>0</v>
      </c>
      <c r="AF425" s="1">
        <f t="shared" si="160"/>
        <v>0</v>
      </c>
      <c r="AG425" s="1">
        <f t="shared" si="161"/>
        <v>0</v>
      </c>
      <c r="AH425" s="1">
        <f t="shared" si="162"/>
        <v>1</v>
      </c>
    </row>
    <row r="426" spans="1:34" ht="14.25" customHeight="1" x14ac:dyDescent="0.25">
      <c r="A426" s="47">
        <v>0</v>
      </c>
      <c r="B426" s="47">
        <v>2</v>
      </c>
      <c r="C426" s="47">
        <v>7</v>
      </c>
      <c r="D426" s="48" t="s">
        <v>77</v>
      </c>
      <c r="E426" s="48" t="s">
        <v>28</v>
      </c>
      <c r="F426" s="48" t="s">
        <v>1697</v>
      </c>
      <c r="G426" s="48" t="s">
        <v>192</v>
      </c>
      <c r="H426" s="48" t="s">
        <v>358</v>
      </c>
      <c r="I426" s="47" t="s">
        <v>428</v>
      </c>
      <c r="J426" s="47">
        <v>99</v>
      </c>
      <c r="K426" s="49" t="s">
        <v>962</v>
      </c>
      <c r="L426" s="49" t="s">
        <v>721</v>
      </c>
      <c r="M426" s="50" t="s">
        <v>739</v>
      </c>
      <c r="N426" s="50" t="s">
        <v>1751</v>
      </c>
      <c r="O426" s="51"/>
      <c r="P426" s="51"/>
      <c r="R426" s="1">
        <f t="shared" si="147"/>
        <v>0</v>
      </c>
      <c r="S426" s="1">
        <f t="shared" si="148"/>
        <v>0</v>
      </c>
      <c r="T426" s="1">
        <f t="shared" si="149"/>
        <v>0</v>
      </c>
      <c r="U426" s="1">
        <f t="shared" si="150"/>
        <v>0</v>
      </c>
      <c r="V426" s="1">
        <f t="shared" si="151"/>
        <v>0</v>
      </c>
      <c r="W426" s="1">
        <f t="shared" si="152"/>
        <v>0</v>
      </c>
      <c r="X426" s="1">
        <f t="shared" si="153"/>
        <v>0</v>
      </c>
      <c r="Y426" s="1">
        <f t="shared" si="154"/>
        <v>0</v>
      </c>
      <c r="Z426" s="1">
        <f t="shared" si="155"/>
        <v>0</v>
      </c>
      <c r="AA426" s="1">
        <f t="shared" si="156"/>
        <v>0</v>
      </c>
      <c r="AC426" s="1">
        <f t="shared" si="157"/>
        <v>0</v>
      </c>
      <c r="AD426" s="1">
        <f t="shared" si="158"/>
        <v>0</v>
      </c>
      <c r="AE426" s="1">
        <f t="shared" si="159"/>
        <v>0</v>
      </c>
      <c r="AF426" s="1">
        <f t="shared" si="160"/>
        <v>0</v>
      </c>
      <c r="AG426" s="1">
        <f t="shared" si="161"/>
        <v>0</v>
      </c>
      <c r="AH426" s="1">
        <f t="shared" si="162"/>
        <v>1</v>
      </c>
    </row>
    <row r="427" spans="1:34" ht="14.25" customHeight="1" x14ac:dyDescent="0.25">
      <c r="A427" s="34">
        <v>0</v>
      </c>
      <c r="B427" s="34">
        <v>2</v>
      </c>
      <c r="C427" s="34">
        <v>7</v>
      </c>
      <c r="D427" s="35" t="s">
        <v>1656</v>
      </c>
      <c r="E427" s="35" t="s">
        <v>165</v>
      </c>
      <c r="F427" s="35" t="s">
        <v>246</v>
      </c>
      <c r="G427" s="35" t="s">
        <v>220</v>
      </c>
      <c r="H427" s="35" t="s">
        <v>358</v>
      </c>
      <c r="I427" s="34" t="s">
        <v>412</v>
      </c>
      <c r="J427" s="34">
        <v>99</v>
      </c>
      <c r="K427" s="36" t="s">
        <v>721</v>
      </c>
      <c r="L427" s="36" t="s">
        <v>730</v>
      </c>
      <c r="M427" s="37" t="s">
        <v>740</v>
      </c>
      <c r="N427" s="37" t="s">
        <v>1743</v>
      </c>
      <c r="O427" s="38">
        <v>1</v>
      </c>
      <c r="P427" s="38">
        <v>1</v>
      </c>
      <c r="R427" s="1">
        <f t="shared" si="147"/>
        <v>0</v>
      </c>
      <c r="S427" s="1">
        <f t="shared" si="148"/>
        <v>0</v>
      </c>
      <c r="T427" s="1">
        <f t="shared" si="149"/>
        <v>0</v>
      </c>
      <c r="U427" s="1">
        <f t="shared" si="150"/>
        <v>0</v>
      </c>
      <c r="V427" s="1">
        <f t="shared" si="151"/>
        <v>0</v>
      </c>
      <c r="W427" s="1">
        <f t="shared" si="152"/>
        <v>0</v>
      </c>
      <c r="X427" s="1">
        <f t="shared" si="153"/>
        <v>0</v>
      </c>
      <c r="Y427" s="1">
        <f t="shared" si="154"/>
        <v>0</v>
      </c>
      <c r="Z427" s="1">
        <f t="shared" si="155"/>
        <v>0</v>
      </c>
      <c r="AA427" s="1">
        <f t="shared" si="156"/>
        <v>0</v>
      </c>
      <c r="AC427" s="1">
        <f t="shared" si="157"/>
        <v>1</v>
      </c>
      <c r="AD427" s="1">
        <f t="shared" si="158"/>
        <v>0</v>
      </c>
      <c r="AE427" s="1">
        <f t="shared" si="159"/>
        <v>1</v>
      </c>
      <c r="AF427" s="1">
        <f t="shared" si="160"/>
        <v>0</v>
      </c>
      <c r="AG427" s="1">
        <f t="shared" si="161"/>
        <v>1</v>
      </c>
      <c r="AH427" s="1">
        <f t="shared" si="162"/>
        <v>0</v>
      </c>
    </row>
    <row r="428" spans="1:34" ht="14.25" customHeight="1" x14ac:dyDescent="0.25">
      <c r="A428" s="34">
        <v>0</v>
      </c>
      <c r="B428" s="34">
        <v>2</v>
      </c>
      <c r="C428" s="34">
        <v>7</v>
      </c>
      <c r="D428" s="35" t="s">
        <v>1554</v>
      </c>
      <c r="E428" s="35" t="s">
        <v>158</v>
      </c>
      <c r="F428" s="35" t="s">
        <v>1555</v>
      </c>
      <c r="G428" s="35" t="s">
        <v>39</v>
      </c>
      <c r="H428" s="35" t="s">
        <v>358</v>
      </c>
      <c r="I428" s="34" t="s">
        <v>1556</v>
      </c>
      <c r="J428" s="34">
        <v>99</v>
      </c>
      <c r="K428" s="36" t="s">
        <v>721</v>
      </c>
      <c r="L428" s="36" t="s">
        <v>730</v>
      </c>
      <c r="M428" s="37" t="s">
        <v>740</v>
      </c>
      <c r="N428" s="37" t="s">
        <v>1764</v>
      </c>
      <c r="O428" s="38">
        <v>1</v>
      </c>
      <c r="P428" s="38"/>
      <c r="R428" s="1">
        <f t="shared" si="147"/>
        <v>0</v>
      </c>
      <c r="S428" s="1">
        <f t="shared" si="148"/>
        <v>0</v>
      </c>
      <c r="T428" s="1">
        <f t="shared" si="149"/>
        <v>0</v>
      </c>
      <c r="U428" s="1">
        <f t="shared" si="150"/>
        <v>0</v>
      </c>
      <c r="V428" s="1">
        <f t="shared" si="151"/>
        <v>0</v>
      </c>
      <c r="W428" s="1">
        <f t="shared" si="152"/>
        <v>0</v>
      </c>
      <c r="X428" s="1">
        <f t="shared" si="153"/>
        <v>0</v>
      </c>
      <c r="Y428" s="1">
        <f t="shared" si="154"/>
        <v>0</v>
      </c>
      <c r="Z428" s="1">
        <f t="shared" si="155"/>
        <v>0</v>
      </c>
      <c r="AA428" s="1">
        <f t="shared" si="156"/>
        <v>0</v>
      </c>
      <c r="AC428" s="1">
        <f t="shared" si="157"/>
        <v>0</v>
      </c>
      <c r="AD428" s="1">
        <f t="shared" si="158"/>
        <v>1</v>
      </c>
      <c r="AE428" s="1">
        <f t="shared" si="159"/>
        <v>0</v>
      </c>
      <c r="AF428" s="1">
        <f t="shared" si="160"/>
        <v>1</v>
      </c>
      <c r="AG428" s="1">
        <f t="shared" si="161"/>
        <v>0</v>
      </c>
      <c r="AH428" s="1">
        <f t="shared" si="162"/>
        <v>1</v>
      </c>
    </row>
    <row r="429" spans="1:34" ht="14.25" customHeight="1" x14ac:dyDescent="0.25">
      <c r="A429" s="47">
        <v>0</v>
      </c>
      <c r="B429" s="47">
        <v>2</v>
      </c>
      <c r="C429" s="47">
        <v>7</v>
      </c>
      <c r="D429" s="48" t="s">
        <v>1277</v>
      </c>
      <c r="E429" s="48" t="s">
        <v>1540</v>
      </c>
      <c r="F429" s="48" t="s">
        <v>1370</v>
      </c>
      <c r="G429" s="48" t="s">
        <v>188</v>
      </c>
      <c r="H429" s="48" t="s">
        <v>358</v>
      </c>
      <c r="I429" s="47" t="s">
        <v>1383</v>
      </c>
      <c r="J429" s="47">
        <v>1</v>
      </c>
      <c r="K429" s="49" t="s">
        <v>721</v>
      </c>
      <c r="L429" s="49" t="s">
        <v>724</v>
      </c>
      <c r="M429" s="50" t="s">
        <v>1454</v>
      </c>
      <c r="N429" s="50" t="s">
        <v>1751</v>
      </c>
      <c r="O429" s="51"/>
      <c r="P429" s="51"/>
      <c r="R429" s="1">
        <f t="shared" si="147"/>
        <v>1</v>
      </c>
      <c r="S429" s="1">
        <f t="shared" si="148"/>
        <v>0</v>
      </c>
      <c r="T429" s="1">
        <f t="shared" si="149"/>
        <v>0</v>
      </c>
      <c r="U429" s="1">
        <f t="shared" si="150"/>
        <v>0</v>
      </c>
      <c r="V429" s="1">
        <f t="shared" si="151"/>
        <v>0</v>
      </c>
      <c r="W429" s="1">
        <f t="shared" si="152"/>
        <v>0</v>
      </c>
      <c r="X429" s="1">
        <f t="shared" si="153"/>
        <v>0</v>
      </c>
      <c r="Y429" s="1">
        <f t="shared" si="154"/>
        <v>0</v>
      </c>
      <c r="Z429" s="1">
        <f t="shared" si="155"/>
        <v>0</v>
      </c>
      <c r="AA429" s="1">
        <f t="shared" si="156"/>
        <v>0</v>
      </c>
      <c r="AC429" s="1">
        <f t="shared" si="157"/>
        <v>0</v>
      </c>
      <c r="AD429" s="1">
        <f t="shared" si="158"/>
        <v>0</v>
      </c>
      <c r="AE429" s="1">
        <f t="shared" si="159"/>
        <v>0</v>
      </c>
      <c r="AF429" s="1">
        <f t="shared" si="160"/>
        <v>0</v>
      </c>
      <c r="AG429" s="1">
        <f t="shared" si="161"/>
        <v>0</v>
      </c>
      <c r="AH429" s="1">
        <f t="shared" si="162"/>
        <v>1</v>
      </c>
    </row>
    <row r="430" spans="1:34" ht="14.25" customHeight="1" x14ac:dyDescent="0.25">
      <c r="A430" s="34">
        <v>0</v>
      </c>
      <c r="B430" s="34">
        <v>2</v>
      </c>
      <c r="C430" s="34">
        <v>7</v>
      </c>
      <c r="D430" s="35" t="s">
        <v>66</v>
      </c>
      <c r="E430" s="35" t="s">
        <v>28</v>
      </c>
      <c r="F430" s="35" t="s">
        <v>982</v>
      </c>
      <c r="G430" s="35" t="s">
        <v>1112</v>
      </c>
      <c r="H430" s="35" t="s">
        <v>358</v>
      </c>
      <c r="I430" s="34" t="s">
        <v>1119</v>
      </c>
      <c r="J430" s="34">
        <v>99</v>
      </c>
      <c r="K430" s="36" t="s">
        <v>721</v>
      </c>
      <c r="L430" s="36" t="s">
        <v>721</v>
      </c>
      <c r="M430" s="37" t="s">
        <v>739</v>
      </c>
      <c r="N430" s="37" t="s">
        <v>1759</v>
      </c>
      <c r="O430" s="38">
        <v>1</v>
      </c>
      <c r="P430" s="38"/>
      <c r="R430" s="1">
        <f t="shared" si="147"/>
        <v>0</v>
      </c>
      <c r="S430" s="1">
        <f t="shared" si="148"/>
        <v>0</v>
      </c>
      <c r="T430" s="1">
        <f t="shared" si="149"/>
        <v>0</v>
      </c>
      <c r="U430" s="1">
        <f t="shared" si="150"/>
        <v>0</v>
      </c>
      <c r="V430" s="1">
        <f t="shared" si="151"/>
        <v>0</v>
      </c>
      <c r="W430" s="1">
        <f t="shared" si="152"/>
        <v>0</v>
      </c>
      <c r="X430" s="1">
        <f t="shared" si="153"/>
        <v>0</v>
      </c>
      <c r="Y430" s="1">
        <f t="shared" si="154"/>
        <v>0</v>
      </c>
      <c r="Z430" s="1">
        <f t="shared" si="155"/>
        <v>0</v>
      </c>
      <c r="AA430" s="1">
        <f t="shared" si="156"/>
        <v>0</v>
      </c>
      <c r="AC430" s="1">
        <f t="shared" si="157"/>
        <v>0</v>
      </c>
      <c r="AD430" s="1">
        <f t="shared" si="158"/>
        <v>1</v>
      </c>
      <c r="AE430" s="1">
        <f t="shared" si="159"/>
        <v>0</v>
      </c>
      <c r="AF430" s="1">
        <f t="shared" si="160"/>
        <v>1</v>
      </c>
      <c r="AG430" s="1">
        <f t="shared" si="161"/>
        <v>0</v>
      </c>
      <c r="AH430" s="1">
        <f t="shared" si="162"/>
        <v>1</v>
      </c>
    </row>
    <row r="431" spans="1:34" ht="14.25" customHeight="1" x14ac:dyDescent="0.25">
      <c r="A431" s="34">
        <v>1</v>
      </c>
      <c r="B431" s="34">
        <v>2</v>
      </c>
      <c r="C431" s="34">
        <v>7</v>
      </c>
      <c r="D431" s="35" t="s">
        <v>66</v>
      </c>
      <c r="E431" s="35" t="s">
        <v>28</v>
      </c>
      <c r="F431" s="35" t="s">
        <v>247</v>
      </c>
      <c r="G431" s="35" t="s">
        <v>226</v>
      </c>
      <c r="H431" s="35" t="s">
        <v>358</v>
      </c>
      <c r="I431" s="34" t="s">
        <v>413</v>
      </c>
      <c r="J431" s="34">
        <v>99</v>
      </c>
      <c r="K431" s="36" t="s">
        <v>721</v>
      </c>
      <c r="L431" s="36" t="s">
        <v>721</v>
      </c>
      <c r="M431" s="37" t="s">
        <v>739</v>
      </c>
      <c r="N431" s="37" t="s">
        <v>1759</v>
      </c>
      <c r="O431" s="38">
        <v>1</v>
      </c>
      <c r="P431" s="38"/>
      <c r="R431" s="1">
        <f t="shared" si="147"/>
        <v>0</v>
      </c>
      <c r="S431" s="1">
        <f t="shared" si="148"/>
        <v>0</v>
      </c>
      <c r="T431" s="1">
        <f t="shared" si="149"/>
        <v>0</v>
      </c>
      <c r="U431" s="1">
        <f t="shared" si="150"/>
        <v>0</v>
      </c>
      <c r="V431" s="1">
        <f t="shared" si="151"/>
        <v>0</v>
      </c>
      <c r="W431" s="1">
        <f t="shared" si="152"/>
        <v>0</v>
      </c>
      <c r="X431" s="1">
        <f t="shared" si="153"/>
        <v>0</v>
      </c>
      <c r="Y431" s="1">
        <f t="shared" si="154"/>
        <v>0</v>
      </c>
      <c r="Z431" s="1">
        <f t="shared" si="155"/>
        <v>0</v>
      </c>
      <c r="AA431" s="1">
        <f t="shared" si="156"/>
        <v>0</v>
      </c>
      <c r="AC431" s="1">
        <f t="shared" si="157"/>
        <v>0</v>
      </c>
      <c r="AD431" s="1">
        <f t="shared" si="158"/>
        <v>1</v>
      </c>
      <c r="AE431" s="1">
        <f t="shared" si="159"/>
        <v>0</v>
      </c>
      <c r="AF431" s="1">
        <f t="shared" si="160"/>
        <v>0</v>
      </c>
      <c r="AG431" s="1">
        <f t="shared" si="161"/>
        <v>0</v>
      </c>
      <c r="AH431" s="1">
        <f t="shared" si="162"/>
        <v>0</v>
      </c>
    </row>
    <row r="432" spans="1:34" ht="14.25" customHeight="1" x14ac:dyDescent="0.25">
      <c r="A432" s="34">
        <v>1</v>
      </c>
      <c r="B432" s="34">
        <v>2</v>
      </c>
      <c r="C432" s="34">
        <v>7</v>
      </c>
      <c r="D432" s="35" t="s">
        <v>66</v>
      </c>
      <c r="E432" s="35" t="s">
        <v>28</v>
      </c>
      <c r="F432" s="35" t="s">
        <v>248</v>
      </c>
      <c r="G432" s="35" t="s">
        <v>222</v>
      </c>
      <c r="H432" s="35" t="s">
        <v>358</v>
      </c>
      <c r="I432" s="34" t="s">
        <v>414</v>
      </c>
      <c r="J432" s="34">
        <v>8</v>
      </c>
      <c r="K432" s="36" t="s">
        <v>721</v>
      </c>
      <c r="L432" s="36" t="s">
        <v>721</v>
      </c>
      <c r="M432" s="37" t="s">
        <v>739</v>
      </c>
      <c r="N432" s="37" t="s">
        <v>1759</v>
      </c>
      <c r="O432" s="38">
        <v>1</v>
      </c>
      <c r="P432" s="38"/>
      <c r="R432" s="1">
        <f t="shared" si="147"/>
        <v>0</v>
      </c>
      <c r="S432" s="1">
        <f t="shared" si="148"/>
        <v>0</v>
      </c>
      <c r="T432" s="1">
        <f t="shared" si="149"/>
        <v>0</v>
      </c>
      <c r="U432" s="1">
        <f t="shared" si="150"/>
        <v>0</v>
      </c>
      <c r="V432" s="1">
        <f t="shared" si="151"/>
        <v>0</v>
      </c>
      <c r="W432" s="1">
        <f t="shared" si="152"/>
        <v>0</v>
      </c>
      <c r="X432" s="1">
        <f t="shared" si="153"/>
        <v>0</v>
      </c>
      <c r="Y432" s="1">
        <f t="shared" si="154"/>
        <v>1</v>
      </c>
      <c r="Z432" s="1">
        <f t="shared" si="155"/>
        <v>0</v>
      </c>
      <c r="AA432" s="1">
        <f t="shared" si="156"/>
        <v>0</v>
      </c>
      <c r="AC432" s="1">
        <f t="shared" si="157"/>
        <v>0</v>
      </c>
      <c r="AD432" s="1">
        <f t="shared" si="158"/>
        <v>1</v>
      </c>
      <c r="AE432" s="1">
        <f t="shared" si="159"/>
        <v>0</v>
      </c>
      <c r="AF432" s="1">
        <f t="shared" si="160"/>
        <v>0</v>
      </c>
      <c r="AG432" s="1">
        <f t="shared" si="161"/>
        <v>0</v>
      </c>
      <c r="AH432" s="1">
        <f t="shared" si="162"/>
        <v>0</v>
      </c>
    </row>
    <row r="433" spans="1:34" ht="14.25" customHeight="1" x14ac:dyDescent="0.25">
      <c r="A433" s="34">
        <v>1</v>
      </c>
      <c r="B433" s="34">
        <v>2</v>
      </c>
      <c r="C433" s="34">
        <v>7</v>
      </c>
      <c r="D433" s="35" t="s">
        <v>66</v>
      </c>
      <c r="E433" s="35" t="s">
        <v>28</v>
      </c>
      <c r="F433" s="35" t="s">
        <v>1042</v>
      </c>
      <c r="G433" s="35" t="s">
        <v>39</v>
      </c>
      <c r="H433" s="35" t="s">
        <v>358</v>
      </c>
      <c r="I433" s="34" t="s">
        <v>1043</v>
      </c>
      <c r="J433" s="34">
        <v>1</v>
      </c>
      <c r="K433" s="36" t="s">
        <v>721</v>
      </c>
      <c r="L433" s="36" t="s">
        <v>721</v>
      </c>
      <c r="M433" s="37" t="s">
        <v>739</v>
      </c>
      <c r="N433" s="37" t="s">
        <v>1759</v>
      </c>
      <c r="O433" s="38">
        <v>1</v>
      </c>
      <c r="P433" s="38"/>
      <c r="R433" s="1">
        <f t="shared" si="147"/>
        <v>1</v>
      </c>
      <c r="S433" s="1">
        <f t="shared" si="148"/>
        <v>0</v>
      </c>
      <c r="T433" s="1">
        <f t="shared" si="149"/>
        <v>0</v>
      </c>
      <c r="U433" s="1">
        <f t="shared" si="150"/>
        <v>0</v>
      </c>
      <c r="V433" s="1">
        <f t="shared" si="151"/>
        <v>0</v>
      </c>
      <c r="W433" s="1">
        <f t="shared" si="152"/>
        <v>0</v>
      </c>
      <c r="X433" s="1">
        <f t="shared" si="153"/>
        <v>0</v>
      </c>
      <c r="Y433" s="1">
        <f t="shared" si="154"/>
        <v>0</v>
      </c>
      <c r="Z433" s="1">
        <f t="shared" si="155"/>
        <v>0</v>
      </c>
      <c r="AA433" s="1">
        <f t="shared" si="156"/>
        <v>0</v>
      </c>
      <c r="AC433" s="1">
        <f t="shared" si="157"/>
        <v>0</v>
      </c>
      <c r="AD433" s="1">
        <f t="shared" si="158"/>
        <v>1</v>
      </c>
      <c r="AE433" s="1">
        <f t="shared" si="159"/>
        <v>0</v>
      </c>
      <c r="AF433" s="1">
        <f t="shared" si="160"/>
        <v>0</v>
      </c>
      <c r="AG433" s="1">
        <f t="shared" si="161"/>
        <v>0</v>
      </c>
      <c r="AH433" s="1">
        <f t="shared" si="162"/>
        <v>0</v>
      </c>
    </row>
    <row r="434" spans="1:34" ht="14.25" customHeight="1" x14ac:dyDescent="0.25">
      <c r="A434" s="34">
        <v>1</v>
      </c>
      <c r="B434" s="34">
        <v>2</v>
      </c>
      <c r="C434" s="34">
        <v>7</v>
      </c>
      <c r="D434" s="35" t="s">
        <v>66</v>
      </c>
      <c r="E434" s="35" t="s">
        <v>28</v>
      </c>
      <c r="F434" s="35" t="s">
        <v>1044</v>
      </c>
      <c r="G434" s="35" t="s">
        <v>305</v>
      </c>
      <c r="H434" s="35" t="s">
        <v>358</v>
      </c>
      <c r="I434" s="34" t="s">
        <v>1045</v>
      </c>
      <c r="J434" s="34">
        <v>1</v>
      </c>
      <c r="K434" s="36" t="s">
        <v>721</v>
      </c>
      <c r="L434" s="36" t="s">
        <v>721</v>
      </c>
      <c r="M434" s="37" t="s">
        <v>739</v>
      </c>
      <c r="N434" s="37" t="s">
        <v>1759</v>
      </c>
      <c r="O434" s="38">
        <v>1</v>
      </c>
      <c r="P434" s="38"/>
      <c r="R434" s="1">
        <f t="shared" si="147"/>
        <v>1</v>
      </c>
      <c r="S434" s="1">
        <f t="shared" si="148"/>
        <v>0</v>
      </c>
      <c r="T434" s="1">
        <f t="shared" si="149"/>
        <v>0</v>
      </c>
      <c r="U434" s="1">
        <f t="shared" si="150"/>
        <v>0</v>
      </c>
      <c r="V434" s="1">
        <f t="shared" si="151"/>
        <v>0</v>
      </c>
      <c r="W434" s="1">
        <f t="shared" si="152"/>
        <v>0</v>
      </c>
      <c r="X434" s="1">
        <f t="shared" si="153"/>
        <v>0</v>
      </c>
      <c r="Y434" s="1">
        <f t="shared" si="154"/>
        <v>0</v>
      </c>
      <c r="Z434" s="1">
        <f t="shared" si="155"/>
        <v>0</v>
      </c>
      <c r="AA434" s="1">
        <f t="shared" si="156"/>
        <v>0</v>
      </c>
      <c r="AC434" s="1">
        <f t="shared" si="157"/>
        <v>0</v>
      </c>
      <c r="AD434" s="1">
        <f t="shared" si="158"/>
        <v>1</v>
      </c>
      <c r="AE434" s="1">
        <f t="shared" si="159"/>
        <v>0</v>
      </c>
      <c r="AF434" s="1">
        <f t="shared" si="160"/>
        <v>0</v>
      </c>
      <c r="AG434" s="1">
        <f t="shared" si="161"/>
        <v>0</v>
      </c>
      <c r="AH434" s="1">
        <f t="shared" si="162"/>
        <v>0</v>
      </c>
    </row>
    <row r="435" spans="1:34" ht="14.25" customHeight="1" x14ac:dyDescent="0.25">
      <c r="A435" s="47">
        <v>0</v>
      </c>
      <c r="B435" s="47">
        <v>2</v>
      </c>
      <c r="C435" s="47">
        <v>7</v>
      </c>
      <c r="D435" s="48" t="s">
        <v>1589</v>
      </c>
      <c r="E435" s="48" t="s">
        <v>158</v>
      </c>
      <c r="F435" s="48" t="s">
        <v>1590</v>
      </c>
      <c r="G435" s="48" t="s">
        <v>209</v>
      </c>
      <c r="H435" s="48" t="s">
        <v>358</v>
      </c>
      <c r="I435" s="47" t="s">
        <v>1591</v>
      </c>
      <c r="J435" s="47">
        <v>99</v>
      </c>
      <c r="K435" s="49" t="s">
        <v>720</v>
      </c>
      <c r="L435" s="49" t="s">
        <v>730</v>
      </c>
      <c r="M435" s="50" t="s">
        <v>740</v>
      </c>
      <c r="N435" s="50" t="s">
        <v>1763</v>
      </c>
      <c r="O435" s="51"/>
      <c r="P435" s="51"/>
      <c r="R435" s="1">
        <f t="shared" si="147"/>
        <v>0</v>
      </c>
      <c r="S435" s="1">
        <f t="shared" si="148"/>
        <v>0</v>
      </c>
      <c r="T435" s="1">
        <f t="shared" si="149"/>
        <v>0</v>
      </c>
      <c r="U435" s="1">
        <f t="shared" si="150"/>
        <v>0</v>
      </c>
      <c r="V435" s="1">
        <f t="shared" si="151"/>
        <v>0</v>
      </c>
      <c r="W435" s="1">
        <f t="shared" si="152"/>
        <v>0</v>
      </c>
      <c r="X435" s="1">
        <f t="shared" si="153"/>
        <v>0</v>
      </c>
      <c r="Y435" s="1">
        <f t="shared" si="154"/>
        <v>0</v>
      </c>
      <c r="Z435" s="1">
        <f t="shared" si="155"/>
        <v>0</v>
      </c>
      <c r="AA435" s="1">
        <f t="shared" si="156"/>
        <v>0</v>
      </c>
      <c r="AC435" s="1">
        <f t="shared" si="157"/>
        <v>0</v>
      </c>
      <c r="AD435" s="1">
        <f t="shared" si="158"/>
        <v>0</v>
      </c>
      <c r="AE435" s="1">
        <f t="shared" si="159"/>
        <v>0</v>
      </c>
      <c r="AF435" s="1">
        <f t="shared" si="160"/>
        <v>0</v>
      </c>
      <c r="AG435" s="1">
        <f t="shared" si="161"/>
        <v>0</v>
      </c>
      <c r="AH435" s="1">
        <f t="shared" si="162"/>
        <v>1</v>
      </c>
    </row>
    <row r="436" spans="1:34" ht="14.25" customHeight="1" x14ac:dyDescent="0.25">
      <c r="A436" s="47">
        <v>0</v>
      </c>
      <c r="B436" s="47">
        <v>2</v>
      </c>
      <c r="C436" s="47">
        <v>7</v>
      </c>
      <c r="D436" s="48" t="s">
        <v>1143</v>
      </c>
      <c r="E436" s="48" t="s">
        <v>28</v>
      </c>
      <c r="F436" s="48" t="s">
        <v>1144</v>
      </c>
      <c r="G436" s="48" t="s">
        <v>222</v>
      </c>
      <c r="H436" s="48" t="s">
        <v>358</v>
      </c>
      <c r="I436" s="47" t="s">
        <v>1145</v>
      </c>
      <c r="J436" s="47">
        <v>8</v>
      </c>
      <c r="K436" s="49" t="s">
        <v>963</v>
      </c>
      <c r="L436" s="49" t="s">
        <v>721</v>
      </c>
      <c r="M436" s="50" t="s">
        <v>739</v>
      </c>
      <c r="N436" s="50" t="s">
        <v>1818</v>
      </c>
      <c r="O436" s="51"/>
      <c r="P436" s="51"/>
      <c r="R436" s="1">
        <f t="shared" si="147"/>
        <v>0</v>
      </c>
      <c r="S436" s="1">
        <f t="shared" si="148"/>
        <v>0</v>
      </c>
      <c r="T436" s="1">
        <f t="shared" si="149"/>
        <v>0</v>
      </c>
      <c r="U436" s="1">
        <f t="shared" si="150"/>
        <v>0</v>
      </c>
      <c r="V436" s="1">
        <f t="shared" si="151"/>
        <v>0</v>
      </c>
      <c r="W436" s="1">
        <f t="shared" si="152"/>
        <v>0</v>
      </c>
      <c r="X436" s="1">
        <f t="shared" si="153"/>
        <v>0</v>
      </c>
      <c r="Y436" s="1">
        <f t="shared" si="154"/>
        <v>1</v>
      </c>
      <c r="Z436" s="1">
        <f t="shared" si="155"/>
        <v>0</v>
      </c>
      <c r="AA436" s="1">
        <f t="shared" si="156"/>
        <v>0</v>
      </c>
      <c r="AC436" s="1">
        <f t="shared" si="157"/>
        <v>0</v>
      </c>
      <c r="AD436" s="1">
        <f t="shared" si="158"/>
        <v>0</v>
      </c>
      <c r="AE436" s="1">
        <f t="shared" si="159"/>
        <v>0</v>
      </c>
      <c r="AF436" s="1">
        <f t="shared" si="160"/>
        <v>0</v>
      </c>
      <c r="AG436" s="1">
        <f t="shared" si="161"/>
        <v>0</v>
      </c>
      <c r="AH436" s="1">
        <f t="shared" si="162"/>
        <v>1</v>
      </c>
    </row>
    <row r="437" spans="1:34" ht="14.25" customHeight="1" x14ac:dyDescent="0.25">
      <c r="A437" s="47">
        <v>0</v>
      </c>
      <c r="B437" s="47">
        <v>2</v>
      </c>
      <c r="C437" s="47">
        <v>7</v>
      </c>
      <c r="D437" s="48" t="s">
        <v>74</v>
      </c>
      <c r="E437" s="48" t="s">
        <v>28</v>
      </c>
      <c r="F437" s="48" t="s">
        <v>267</v>
      </c>
      <c r="G437" s="48" t="s">
        <v>196</v>
      </c>
      <c r="H437" s="48" t="s">
        <v>358</v>
      </c>
      <c r="I437" s="47" t="s">
        <v>426</v>
      </c>
      <c r="J437" s="47">
        <v>9</v>
      </c>
      <c r="K437" s="49" t="s">
        <v>720</v>
      </c>
      <c r="L437" s="49" t="s">
        <v>721</v>
      </c>
      <c r="M437" s="50" t="s">
        <v>739</v>
      </c>
      <c r="N437" s="50" t="s">
        <v>1751</v>
      </c>
      <c r="O437" s="51"/>
      <c r="P437" s="51"/>
      <c r="R437" s="1">
        <f t="shared" si="147"/>
        <v>0</v>
      </c>
      <c r="S437" s="1">
        <f t="shared" si="148"/>
        <v>0</v>
      </c>
      <c r="T437" s="1">
        <f t="shared" si="149"/>
        <v>0</v>
      </c>
      <c r="U437" s="1">
        <f t="shared" si="150"/>
        <v>0</v>
      </c>
      <c r="V437" s="1">
        <f t="shared" si="151"/>
        <v>0</v>
      </c>
      <c r="W437" s="1">
        <f t="shared" si="152"/>
        <v>0</v>
      </c>
      <c r="X437" s="1">
        <f t="shared" si="153"/>
        <v>0</v>
      </c>
      <c r="Y437" s="1">
        <f t="shared" si="154"/>
        <v>0</v>
      </c>
      <c r="Z437" s="1">
        <f t="shared" si="155"/>
        <v>1</v>
      </c>
      <c r="AA437" s="1">
        <f t="shared" si="156"/>
        <v>0</v>
      </c>
      <c r="AC437" s="1">
        <f t="shared" si="157"/>
        <v>0</v>
      </c>
      <c r="AD437" s="1">
        <f t="shared" si="158"/>
        <v>0</v>
      </c>
      <c r="AE437" s="1">
        <f t="shared" si="159"/>
        <v>0</v>
      </c>
      <c r="AF437" s="1">
        <f t="shared" si="160"/>
        <v>0</v>
      </c>
      <c r="AG437" s="1">
        <f t="shared" si="161"/>
        <v>0</v>
      </c>
      <c r="AH437" s="1">
        <f t="shared" si="162"/>
        <v>1</v>
      </c>
    </row>
    <row r="438" spans="1:34" ht="14.25" customHeight="1" x14ac:dyDescent="0.25">
      <c r="A438" s="34">
        <v>0</v>
      </c>
      <c r="B438" s="34">
        <v>2</v>
      </c>
      <c r="C438" s="34">
        <v>7</v>
      </c>
      <c r="D438" s="35" t="s">
        <v>59</v>
      </c>
      <c r="E438" s="35" t="s">
        <v>165</v>
      </c>
      <c r="F438" s="35" t="s">
        <v>227</v>
      </c>
      <c r="G438" s="35" t="s">
        <v>228</v>
      </c>
      <c r="H438" s="35" t="s">
        <v>358</v>
      </c>
      <c r="I438" s="34" t="s">
        <v>402</v>
      </c>
      <c r="J438" s="34">
        <v>99</v>
      </c>
      <c r="K438" s="36" t="s">
        <v>721</v>
      </c>
      <c r="L438" s="36" t="s">
        <v>730</v>
      </c>
      <c r="M438" s="37" t="s">
        <v>740</v>
      </c>
      <c r="N438" s="37" t="s">
        <v>1766</v>
      </c>
      <c r="O438" s="38">
        <v>1</v>
      </c>
      <c r="P438" s="38"/>
      <c r="R438" s="1">
        <f t="shared" si="147"/>
        <v>0</v>
      </c>
      <c r="S438" s="1">
        <f t="shared" si="148"/>
        <v>0</v>
      </c>
      <c r="T438" s="1">
        <f t="shared" si="149"/>
        <v>0</v>
      </c>
      <c r="U438" s="1">
        <f t="shared" si="150"/>
        <v>0</v>
      </c>
      <c r="V438" s="1">
        <f t="shared" si="151"/>
        <v>0</v>
      </c>
      <c r="W438" s="1">
        <f t="shared" si="152"/>
        <v>0</v>
      </c>
      <c r="X438" s="1">
        <f t="shared" si="153"/>
        <v>0</v>
      </c>
      <c r="Y438" s="1">
        <f t="shared" si="154"/>
        <v>0</v>
      </c>
      <c r="Z438" s="1">
        <f t="shared" si="155"/>
        <v>0</v>
      </c>
      <c r="AA438" s="1">
        <f t="shared" si="156"/>
        <v>0</v>
      </c>
      <c r="AC438" s="1">
        <f t="shared" si="157"/>
        <v>0</v>
      </c>
      <c r="AD438" s="1">
        <f t="shared" si="158"/>
        <v>1</v>
      </c>
      <c r="AE438" s="1">
        <f t="shared" si="159"/>
        <v>0</v>
      </c>
      <c r="AF438" s="1">
        <f t="shared" si="160"/>
        <v>1</v>
      </c>
      <c r="AG438" s="1">
        <f t="shared" si="161"/>
        <v>0</v>
      </c>
      <c r="AH438" s="1">
        <f t="shared" si="162"/>
        <v>1</v>
      </c>
    </row>
    <row r="439" spans="1:34" ht="14.25" customHeight="1" x14ac:dyDescent="0.25">
      <c r="A439" s="34">
        <v>0</v>
      </c>
      <c r="B439" s="34">
        <v>2</v>
      </c>
      <c r="C439" s="34">
        <v>7</v>
      </c>
      <c r="D439" s="35" t="s">
        <v>1086</v>
      </c>
      <c r="E439" s="35" t="s">
        <v>158</v>
      </c>
      <c r="F439" s="35" t="s">
        <v>1087</v>
      </c>
      <c r="G439" s="35" t="s">
        <v>222</v>
      </c>
      <c r="H439" s="35" t="s">
        <v>358</v>
      </c>
      <c r="I439" s="34" t="s">
        <v>1088</v>
      </c>
      <c r="J439" s="34">
        <v>8</v>
      </c>
      <c r="K439" s="36" t="s">
        <v>720</v>
      </c>
      <c r="L439" s="36" t="s">
        <v>730</v>
      </c>
      <c r="M439" s="37" t="s">
        <v>740</v>
      </c>
      <c r="N439" s="37" t="s">
        <v>1764</v>
      </c>
      <c r="O439" s="38">
        <v>1</v>
      </c>
      <c r="P439" s="38"/>
      <c r="R439" s="1">
        <f t="shared" si="147"/>
        <v>0</v>
      </c>
      <c r="S439" s="1">
        <f t="shared" si="148"/>
        <v>0</v>
      </c>
      <c r="T439" s="1">
        <f t="shared" si="149"/>
        <v>0</v>
      </c>
      <c r="U439" s="1">
        <f t="shared" si="150"/>
        <v>0</v>
      </c>
      <c r="V439" s="1">
        <f t="shared" si="151"/>
        <v>0</v>
      </c>
      <c r="W439" s="1">
        <f t="shared" si="152"/>
        <v>0</v>
      </c>
      <c r="X439" s="1">
        <f t="shared" si="153"/>
        <v>0</v>
      </c>
      <c r="Y439" s="1">
        <f t="shared" si="154"/>
        <v>1</v>
      </c>
      <c r="Z439" s="1">
        <f t="shared" si="155"/>
        <v>0</v>
      </c>
      <c r="AA439" s="1">
        <f t="shared" si="156"/>
        <v>0</v>
      </c>
      <c r="AC439" s="1">
        <f t="shared" si="157"/>
        <v>0</v>
      </c>
      <c r="AD439" s="1">
        <f t="shared" si="158"/>
        <v>1</v>
      </c>
      <c r="AE439" s="1">
        <f t="shared" si="159"/>
        <v>0</v>
      </c>
      <c r="AF439" s="1">
        <f t="shared" si="160"/>
        <v>1</v>
      </c>
      <c r="AG439" s="1">
        <f t="shared" si="161"/>
        <v>0</v>
      </c>
      <c r="AH439" s="1">
        <f t="shared" si="162"/>
        <v>1</v>
      </c>
    </row>
    <row r="440" spans="1:34" ht="14.25" customHeight="1" x14ac:dyDescent="0.25">
      <c r="A440" s="34">
        <v>0</v>
      </c>
      <c r="B440" s="34">
        <v>2</v>
      </c>
      <c r="C440" s="34">
        <v>7</v>
      </c>
      <c r="D440" s="35" t="s">
        <v>82</v>
      </c>
      <c r="E440" s="35" t="s">
        <v>158</v>
      </c>
      <c r="F440" s="35" t="s">
        <v>276</v>
      </c>
      <c r="G440" s="35" t="s">
        <v>256</v>
      </c>
      <c r="H440" s="35" t="s">
        <v>358</v>
      </c>
      <c r="I440" s="34" t="s">
        <v>433</v>
      </c>
      <c r="J440" s="34">
        <v>99</v>
      </c>
      <c r="K440" s="36" t="s">
        <v>721</v>
      </c>
      <c r="L440" s="36" t="s">
        <v>741</v>
      </c>
      <c r="M440" s="37" t="s">
        <v>742</v>
      </c>
      <c r="N440" s="37" t="s">
        <v>1772</v>
      </c>
      <c r="O440" s="38">
        <v>1</v>
      </c>
      <c r="P440" s="38"/>
      <c r="R440" s="1">
        <f t="shared" si="147"/>
        <v>0</v>
      </c>
      <c r="S440" s="1">
        <f t="shared" si="148"/>
        <v>0</v>
      </c>
      <c r="T440" s="1">
        <f t="shared" si="149"/>
        <v>0</v>
      </c>
      <c r="U440" s="1">
        <f t="shared" si="150"/>
        <v>0</v>
      </c>
      <c r="V440" s="1">
        <f t="shared" si="151"/>
        <v>0</v>
      </c>
      <c r="W440" s="1">
        <f t="shared" si="152"/>
        <v>0</v>
      </c>
      <c r="X440" s="1">
        <f t="shared" si="153"/>
        <v>0</v>
      </c>
      <c r="Y440" s="1">
        <f t="shared" si="154"/>
        <v>0</v>
      </c>
      <c r="Z440" s="1">
        <f t="shared" si="155"/>
        <v>0</v>
      </c>
      <c r="AA440" s="1">
        <f t="shared" si="156"/>
        <v>0</v>
      </c>
      <c r="AC440" s="1">
        <f t="shared" si="157"/>
        <v>0</v>
      </c>
      <c r="AD440" s="1">
        <f t="shared" si="158"/>
        <v>1</v>
      </c>
      <c r="AE440" s="1">
        <f t="shared" si="159"/>
        <v>0</v>
      </c>
      <c r="AF440" s="1">
        <f t="shared" si="160"/>
        <v>1</v>
      </c>
      <c r="AG440" s="1">
        <f t="shared" si="161"/>
        <v>0</v>
      </c>
      <c r="AH440" s="1">
        <f t="shared" si="162"/>
        <v>1</v>
      </c>
    </row>
    <row r="441" spans="1:34" ht="14.25" customHeight="1" x14ac:dyDescent="0.25">
      <c r="A441" s="40">
        <v>0</v>
      </c>
      <c r="B441" s="40">
        <v>2</v>
      </c>
      <c r="C441" s="40">
        <v>7</v>
      </c>
      <c r="D441" s="39" t="s">
        <v>1791</v>
      </c>
      <c r="E441" s="39" t="s">
        <v>1792</v>
      </c>
      <c r="F441" s="39" t="s">
        <v>1793</v>
      </c>
      <c r="G441" s="39" t="s">
        <v>192</v>
      </c>
      <c r="H441" s="39" t="s">
        <v>358</v>
      </c>
      <c r="I441" s="40"/>
      <c r="J441" s="40"/>
      <c r="K441" s="36" t="s">
        <v>711</v>
      </c>
      <c r="L441" s="36"/>
      <c r="M441" s="37"/>
      <c r="N441" s="37" t="s">
        <v>1743</v>
      </c>
      <c r="O441" s="38">
        <v>1</v>
      </c>
      <c r="P441" s="38">
        <v>1</v>
      </c>
      <c r="R441" s="1">
        <f t="shared" si="147"/>
        <v>0</v>
      </c>
      <c r="S441" s="1">
        <f t="shared" si="148"/>
        <v>0</v>
      </c>
      <c r="T441" s="1">
        <f t="shared" si="149"/>
        <v>0</v>
      </c>
      <c r="U441" s="1">
        <f t="shared" si="150"/>
        <v>0</v>
      </c>
      <c r="V441" s="1">
        <f t="shared" si="151"/>
        <v>0</v>
      </c>
      <c r="W441" s="1">
        <f t="shared" si="152"/>
        <v>0</v>
      </c>
      <c r="X441" s="1">
        <f t="shared" si="153"/>
        <v>0</v>
      </c>
      <c r="Y441" s="1">
        <f t="shared" si="154"/>
        <v>0</v>
      </c>
      <c r="Z441" s="1">
        <f t="shared" si="155"/>
        <v>0</v>
      </c>
      <c r="AA441" s="1">
        <f t="shared" si="156"/>
        <v>0</v>
      </c>
      <c r="AC441" s="1">
        <f t="shared" si="157"/>
        <v>1</v>
      </c>
      <c r="AD441" s="1">
        <f t="shared" si="158"/>
        <v>0</v>
      </c>
      <c r="AE441" s="1">
        <f t="shared" si="159"/>
        <v>1</v>
      </c>
      <c r="AF441" s="1">
        <f t="shared" si="160"/>
        <v>0</v>
      </c>
      <c r="AG441" s="1">
        <f t="shared" si="161"/>
        <v>1</v>
      </c>
      <c r="AH441" s="1">
        <f t="shared" si="162"/>
        <v>0</v>
      </c>
    </row>
    <row r="442" spans="1:34" ht="14.25" customHeight="1" x14ac:dyDescent="0.25">
      <c r="A442" s="47">
        <v>0</v>
      </c>
      <c r="B442" s="47">
        <v>2</v>
      </c>
      <c r="C442" s="47">
        <v>7</v>
      </c>
      <c r="D442" s="48" t="s">
        <v>520</v>
      </c>
      <c r="E442" s="48" t="s">
        <v>158</v>
      </c>
      <c r="F442" s="48" t="s">
        <v>580</v>
      </c>
      <c r="G442" s="48" t="s">
        <v>324</v>
      </c>
      <c r="H442" s="48" t="s">
        <v>358</v>
      </c>
      <c r="I442" s="47" t="s">
        <v>587</v>
      </c>
      <c r="J442" s="47">
        <v>99</v>
      </c>
      <c r="K442" s="49" t="s">
        <v>962</v>
      </c>
      <c r="L442" s="49" t="s">
        <v>730</v>
      </c>
      <c r="M442" s="50" t="s">
        <v>740</v>
      </c>
      <c r="N442" s="50" t="s">
        <v>1754</v>
      </c>
      <c r="O442" s="51"/>
      <c r="P442" s="51"/>
      <c r="R442" s="1">
        <f t="shared" si="147"/>
        <v>0</v>
      </c>
      <c r="S442" s="1">
        <f t="shared" si="148"/>
        <v>0</v>
      </c>
      <c r="T442" s="1">
        <f t="shared" si="149"/>
        <v>0</v>
      </c>
      <c r="U442" s="1">
        <f t="shared" si="150"/>
        <v>0</v>
      </c>
      <c r="V442" s="1">
        <f t="shared" si="151"/>
        <v>0</v>
      </c>
      <c r="W442" s="1">
        <f t="shared" si="152"/>
        <v>0</v>
      </c>
      <c r="X442" s="1">
        <f t="shared" si="153"/>
        <v>0</v>
      </c>
      <c r="Y442" s="1">
        <f t="shared" si="154"/>
        <v>0</v>
      </c>
      <c r="Z442" s="1">
        <f t="shared" si="155"/>
        <v>0</v>
      </c>
      <c r="AA442" s="1">
        <f t="shared" si="156"/>
        <v>0</v>
      </c>
      <c r="AC442" s="1">
        <f t="shared" si="157"/>
        <v>0</v>
      </c>
      <c r="AD442" s="1">
        <f t="shared" si="158"/>
        <v>0</v>
      </c>
      <c r="AE442" s="1">
        <f t="shared" si="159"/>
        <v>0</v>
      </c>
      <c r="AF442" s="1">
        <f t="shared" si="160"/>
        <v>0</v>
      </c>
      <c r="AG442" s="1">
        <f t="shared" si="161"/>
        <v>0</v>
      </c>
      <c r="AH442" s="1">
        <f t="shared" si="162"/>
        <v>1</v>
      </c>
    </row>
    <row r="443" spans="1:34" ht="14.25" customHeight="1" x14ac:dyDescent="0.25">
      <c r="A443" s="47">
        <v>0</v>
      </c>
      <c r="B443" s="47">
        <v>2</v>
      </c>
      <c r="C443" s="47">
        <v>7</v>
      </c>
      <c r="D443" s="48" t="s">
        <v>75</v>
      </c>
      <c r="E443" s="48" t="s">
        <v>158</v>
      </c>
      <c r="F443" s="48" t="s">
        <v>682</v>
      </c>
      <c r="G443" s="48" t="s">
        <v>268</v>
      </c>
      <c r="H443" s="48" t="s">
        <v>358</v>
      </c>
      <c r="I443" s="47" t="s">
        <v>427</v>
      </c>
      <c r="J443" s="47">
        <v>99</v>
      </c>
      <c r="K443" s="49" t="s">
        <v>720</v>
      </c>
      <c r="L443" s="49" t="s">
        <v>737</v>
      </c>
      <c r="M443" s="50" t="s">
        <v>740</v>
      </c>
      <c r="N443" s="50" t="s">
        <v>1751</v>
      </c>
      <c r="O443" s="51"/>
      <c r="P443" s="51"/>
      <c r="R443" s="1">
        <f t="shared" si="147"/>
        <v>0</v>
      </c>
      <c r="S443" s="1">
        <f t="shared" si="148"/>
        <v>0</v>
      </c>
      <c r="T443" s="1">
        <f t="shared" si="149"/>
        <v>0</v>
      </c>
      <c r="U443" s="1">
        <f t="shared" si="150"/>
        <v>0</v>
      </c>
      <c r="V443" s="1">
        <f t="shared" si="151"/>
        <v>0</v>
      </c>
      <c r="W443" s="1">
        <f t="shared" si="152"/>
        <v>0</v>
      </c>
      <c r="X443" s="1">
        <f t="shared" si="153"/>
        <v>0</v>
      </c>
      <c r="Y443" s="1">
        <f t="shared" si="154"/>
        <v>0</v>
      </c>
      <c r="Z443" s="1">
        <f t="shared" si="155"/>
        <v>0</v>
      </c>
      <c r="AA443" s="1">
        <f t="shared" si="156"/>
        <v>0</v>
      </c>
      <c r="AC443" s="1">
        <f t="shared" si="157"/>
        <v>0</v>
      </c>
      <c r="AD443" s="1">
        <f t="shared" si="158"/>
        <v>0</v>
      </c>
      <c r="AE443" s="1">
        <f t="shared" si="159"/>
        <v>0</v>
      </c>
      <c r="AF443" s="1">
        <f t="shared" si="160"/>
        <v>0</v>
      </c>
      <c r="AG443" s="1">
        <f t="shared" si="161"/>
        <v>0</v>
      </c>
      <c r="AH443" s="1">
        <f t="shared" si="162"/>
        <v>1</v>
      </c>
    </row>
    <row r="444" spans="1:34" ht="14.25" customHeight="1" x14ac:dyDescent="0.25">
      <c r="A444" s="15">
        <v>0</v>
      </c>
      <c r="B444" s="15">
        <v>2</v>
      </c>
      <c r="C444" s="15">
        <v>7</v>
      </c>
      <c r="D444" s="20" t="s">
        <v>1874</v>
      </c>
      <c r="E444" s="16" t="s">
        <v>158</v>
      </c>
      <c r="F444" s="20" t="s">
        <v>1875</v>
      </c>
      <c r="G444" s="20" t="s">
        <v>286</v>
      </c>
      <c r="H444" s="20" t="s">
        <v>358</v>
      </c>
      <c r="I444" s="21" t="s">
        <v>1876</v>
      </c>
      <c r="J444" s="15">
        <v>99</v>
      </c>
      <c r="K444" s="10" t="s">
        <v>711</v>
      </c>
      <c r="L444" s="10" t="s">
        <v>730</v>
      </c>
      <c r="M444" s="19" t="s">
        <v>740</v>
      </c>
      <c r="N444" s="19"/>
      <c r="R444" s="1">
        <f t="shared" si="147"/>
        <v>0</v>
      </c>
      <c r="S444" s="1">
        <f t="shared" si="148"/>
        <v>0</v>
      </c>
      <c r="T444" s="1">
        <f t="shared" si="149"/>
        <v>0</v>
      </c>
      <c r="U444" s="1">
        <f t="shared" si="150"/>
        <v>0</v>
      </c>
      <c r="V444" s="1">
        <f t="shared" si="151"/>
        <v>0</v>
      </c>
      <c r="W444" s="1">
        <f t="shared" si="152"/>
        <v>0</v>
      </c>
      <c r="X444" s="1">
        <f t="shared" si="153"/>
        <v>0</v>
      </c>
      <c r="Y444" s="1">
        <f t="shared" si="154"/>
        <v>0</v>
      </c>
      <c r="Z444" s="1">
        <f t="shared" si="155"/>
        <v>0</v>
      </c>
      <c r="AA444" s="1">
        <f t="shared" si="156"/>
        <v>0</v>
      </c>
      <c r="AC444" s="1">
        <f t="shared" ref="AC444:AC445" si="163">+O444*P444</f>
        <v>0</v>
      </c>
      <c r="AD444" s="1">
        <f t="shared" ref="AD444:AD445" si="164">O444*(1-P444)</f>
        <v>0</v>
      </c>
      <c r="AE444" s="1">
        <f t="shared" si="159"/>
        <v>0</v>
      </c>
      <c r="AF444" s="1">
        <f t="shared" si="160"/>
        <v>0</v>
      </c>
      <c r="AG444" s="1">
        <f t="shared" si="161"/>
        <v>0</v>
      </c>
      <c r="AH444" s="1">
        <f t="shared" si="162"/>
        <v>1</v>
      </c>
    </row>
    <row r="445" spans="1:34" ht="14.25" customHeight="1" x14ac:dyDescent="0.25">
      <c r="A445" s="34">
        <v>0</v>
      </c>
      <c r="B445" s="34">
        <v>2</v>
      </c>
      <c r="C445" s="34">
        <v>7</v>
      </c>
      <c r="D445" s="35" t="s">
        <v>60</v>
      </c>
      <c r="E445" s="35" t="s">
        <v>165</v>
      </c>
      <c r="F445" s="35" t="s">
        <v>229</v>
      </c>
      <c r="G445" s="35" t="s">
        <v>192</v>
      </c>
      <c r="H445" s="35" t="s">
        <v>358</v>
      </c>
      <c r="I445" s="34" t="s">
        <v>403</v>
      </c>
      <c r="J445" s="34">
        <v>99</v>
      </c>
      <c r="K445" s="36" t="s">
        <v>721</v>
      </c>
      <c r="L445" s="36" t="s">
        <v>730</v>
      </c>
      <c r="M445" s="37" t="s">
        <v>740</v>
      </c>
      <c r="N445" s="37" t="s">
        <v>1764</v>
      </c>
      <c r="O445" s="38">
        <v>1</v>
      </c>
      <c r="P445" s="38"/>
      <c r="R445" s="1">
        <f t="shared" si="147"/>
        <v>0</v>
      </c>
      <c r="S445" s="1">
        <f t="shared" si="148"/>
        <v>0</v>
      </c>
      <c r="T445" s="1">
        <f t="shared" si="149"/>
        <v>0</v>
      </c>
      <c r="U445" s="1">
        <f t="shared" si="150"/>
        <v>0</v>
      </c>
      <c r="V445" s="1">
        <f t="shared" si="151"/>
        <v>0</v>
      </c>
      <c r="W445" s="1">
        <f t="shared" si="152"/>
        <v>0</v>
      </c>
      <c r="X445" s="1">
        <f t="shared" si="153"/>
        <v>0</v>
      </c>
      <c r="Y445" s="1">
        <f t="shared" si="154"/>
        <v>0</v>
      </c>
      <c r="Z445" s="1">
        <f t="shared" si="155"/>
        <v>0</v>
      </c>
      <c r="AA445" s="1">
        <f t="shared" si="156"/>
        <v>0</v>
      </c>
      <c r="AC445" s="1">
        <f t="shared" si="163"/>
        <v>0</v>
      </c>
      <c r="AD445" s="1">
        <f t="shared" si="164"/>
        <v>1</v>
      </c>
      <c r="AE445" s="1">
        <f t="shared" si="159"/>
        <v>0</v>
      </c>
      <c r="AF445" s="1">
        <f t="shared" si="160"/>
        <v>1</v>
      </c>
      <c r="AG445" s="1">
        <f t="shared" si="161"/>
        <v>0</v>
      </c>
      <c r="AH445" s="1">
        <f t="shared" si="162"/>
        <v>1</v>
      </c>
    </row>
    <row r="446" spans="1:34" ht="14.25" customHeight="1" x14ac:dyDescent="0.25">
      <c r="A446" s="47">
        <v>0</v>
      </c>
      <c r="B446" s="47">
        <v>2</v>
      </c>
      <c r="C446" s="47">
        <v>7</v>
      </c>
      <c r="D446" s="48" t="s">
        <v>72</v>
      </c>
      <c r="E446" s="48" t="s">
        <v>28</v>
      </c>
      <c r="F446" s="48" t="s">
        <v>261</v>
      </c>
      <c r="G446" s="48" t="s">
        <v>262</v>
      </c>
      <c r="H446" s="48" t="s">
        <v>358</v>
      </c>
      <c r="I446" s="47" t="s">
        <v>423</v>
      </c>
      <c r="J446" s="47">
        <v>99</v>
      </c>
      <c r="K446" s="49" t="s">
        <v>711</v>
      </c>
      <c r="L446" s="49" t="s">
        <v>721</v>
      </c>
      <c r="M446" s="50" t="s">
        <v>739</v>
      </c>
      <c r="N446" s="50" t="s">
        <v>1818</v>
      </c>
      <c r="O446" s="51"/>
      <c r="P446" s="51"/>
      <c r="R446" s="1">
        <f t="shared" si="147"/>
        <v>0</v>
      </c>
      <c r="S446" s="1">
        <f t="shared" si="148"/>
        <v>0</v>
      </c>
      <c r="T446" s="1">
        <f t="shared" si="149"/>
        <v>0</v>
      </c>
      <c r="U446" s="1">
        <f t="shared" si="150"/>
        <v>0</v>
      </c>
      <c r="V446" s="1">
        <f t="shared" si="151"/>
        <v>0</v>
      </c>
      <c r="W446" s="1">
        <f t="shared" si="152"/>
        <v>0</v>
      </c>
      <c r="X446" s="1">
        <f t="shared" si="153"/>
        <v>0</v>
      </c>
      <c r="Y446" s="1">
        <f t="shared" si="154"/>
        <v>0</v>
      </c>
      <c r="Z446" s="1">
        <f t="shared" si="155"/>
        <v>0</v>
      </c>
      <c r="AA446" s="1">
        <f t="shared" si="156"/>
        <v>0</v>
      </c>
      <c r="AC446" s="1">
        <f t="shared" si="157"/>
        <v>0</v>
      </c>
      <c r="AD446" s="1">
        <f t="shared" si="158"/>
        <v>0</v>
      </c>
      <c r="AE446" s="1">
        <f t="shared" si="159"/>
        <v>0</v>
      </c>
      <c r="AF446" s="1">
        <f t="shared" si="160"/>
        <v>0</v>
      </c>
      <c r="AG446" s="1">
        <f t="shared" si="161"/>
        <v>0</v>
      </c>
      <c r="AH446" s="1">
        <f t="shared" si="162"/>
        <v>1</v>
      </c>
    </row>
    <row r="447" spans="1:34" ht="14.25" customHeight="1" x14ac:dyDescent="0.25">
      <c r="A447" s="34">
        <v>0</v>
      </c>
      <c r="B447" s="34">
        <v>2</v>
      </c>
      <c r="C447" s="34">
        <v>7</v>
      </c>
      <c r="D447" s="35" t="s">
        <v>1344</v>
      </c>
      <c r="E447" s="35" t="s">
        <v>158</v>
      </c>
      <c r="F447" s="35" t="s">
        <v>1156</v>
      </c>
      <c r="G447" s="35" t="s">
        <v>194</v>
      </c>
      <c r="H447" s="35" t="s">
        <v>358</v>
      </c>
      <c r="I447" s="34" t="s">
        <v>1384</v>
      </c>
      <c r="J447" s="34">
        <v>99</v>
      </c>
      <c r="K447" s="36" t="s">
        <v>720</v>
      </c>
      <c r="L447" s="36" t="s">
        <v>39</v>
      </c>
      <c r="M447" s="37" t="s">
        <v>39</v>
      </c>
      <c r="N447" s="37" t="s">
        <v>1743</v>
      </c>
      <c r="O447" s="38">
        <v>1</v>
      </c>
      <c r="P447" s="38">
        <v>1</v>
      </c>
      <c r="R447" s="1">
        <f t="shared" si="147"/>
        <v>0</v>
      </c>
      <c r="S447" s="1">
        <f t="shared" si="148"/>
        <v>0</v>
      </c>
      <c r="T447" s="1">
        <f t="shared" si="149"/>
        <v>0</v>
      </c>
      <c r="U447" s="1">
        <f t="shared" si="150"/>
        <v>0</v>
      </c>
      <c r="V447" s="1">
        <f t="shared" si="151"/>
        <v>0</v>
      </c>
      <c r="W447" s="1">
        <f t="shared" si="152"/>
        <v>0</v>
      </c>
      <c r="X447" s="1">
        <f t="shared" si="153"/>
        <v>0</v>
      </c>
      <c r="Y447" s="1">
        <f t="shared" si="154"/>
        <v>0</v>
      </c>
      <c r="Z447" s="1">
        <f t="shared" si="155"/>
        <v>0</v>
      </c>
      <c r="AA447" s="1">
        <f t="shared" si="156"/>
        <v>0</v>
      </c>
      <c r="AC447" s="1">
        <f t="shared" si="157"/>
        <v>1</v>
      </c>
      <c r="AD447" s="1">
        <f t="shared" si="158"/>
        <v>0</v>
      </c>
      <c r="AE447" s="1">
        <f t="shared" si="159"/>
        <v>1</v>
      </c>
      <c r="AF447" s="1">
        <f t="shared" si="160"/>
        <v>0</v>
      </c>
      <c r="AG447" s="1">
        <f t="shared" si="161"/>
        <v>1</v>
      </c>
      <c r="AH447" s="1">
        <f t="shared" si="162"/>
        <v>0</v>
      </c>
    </row>
    <row r="448" spans="1:34" ht="14.25" customHeight="1" x14ac:dyDescent="0.25">
      <c r="A448" s="34">
        <v>0</v>
      </c>
      <c r="B448" s="34">
        <v>2</v>
      </c>
      <c r="C448" s="34">
        <v>7</v>
      </c>
      <c r="D448" s="35" t="s">
        <v>595</v>
      </c>
      <c r="E448" s="35" t="s">
        <v>1352</v>
      </c>
      <c r="F448" s="35" t="s">
        <v>683</v>
      </c>
      <c r="G448" s="35" t="s">
        <v>242</v>
      </c>
      <c r="H448" s="35" t="s">
        <v>358</v>
      </c>
      <c r="I448" s="34" t="s">
        <v>409</v>
      </c>
      <c r="J448" s="34">
        <v>1</v>
      </c>
      <c r="K448" s="36" t="s">
        <v>721</v>
      </c>
      <c r="L448" s="36" t="s">
        <v>1727</v>
      </c>
      <c r="M448" s="37" t="s">
        <v>1455</v>
      </c>
      <c r="N448" s="37" t="s">
        <v>1764</v>
      </c>
      <c r="O448" s="38">
        <v>1</v>
      </c>
      <c r="P448" s="38"/>
      <c r="R448" s="1">
        <f t="shared" si="147"/>
        <v>1</v>
      </c>
      <c r="S448" s="1">
        <f t="shared" si="148"/>
        <v>0</v>
      </c>
      <c r="T448" s="1">
        <f t="shared" si="149"/>
        <v>0</v>
      </c>
      <c r="U448" s="1">
        <f t="shared" si="150"/>
        <v>0</v>
      </c>
      <c r="V448" s="1">
        <f t="shared" si="151"/>
        <v>0</v>
      </c>
      <c r="W448" s="1">
        <f t="shared" si="152"/>
        <v>0</v>
      </c>
      <c r="X448" s="1">
        <f t="shared" si="153"/>
        <v>0</v>
      </c>
      <c r="Y448" s="1">
        <f t="shared" si="154"/>
        <v>0</v>
      </c>
      <c r="Z448" s="1">
        <f t="shared" si="155"/>
        <v>0</v>
      </c>
      <c r="AA448" s="1">
        <f t="shared" si="156"/>
        <v>0</v>
      </c>
      <c r="AC448" s="1">
        <f t="shared" si="157"/>
        <v>0</v>
      </c>
      <c r="AD448" s="1">
        <f t="shared" si="158"/>
        <v>1</v>
      </c>
      <c r="AE448" s="1">
        <f t="shared" si="159"/>
        <v>0</v>
      </c>
      <c r="AF448" s="1">
        <f t="shared" si="160"/>
        <v>1</v>
      </c>
      <c r="AG448" s="1">
        <f t="shared" si="161"/>
        <v>0</v>
      </c>
      <c r="AH448" s="1">
        <f t="shared" si="162"/>
        <v>1</v>
      </c>
    </row>
    <row r="449" spans="1:34" ht="14.25" customHeight="1" x14ac:dyDescent="0.25">
      <c r="A449" s="34">
        <v>1</v>
      </c>
      <c r="B449" s="34">
        <v>2</v>
      </c>
      <c r="C449" s="34">
        <v>7</v>
      </c>
      <c r="D449" s="35" t="s">
        <v>595</v>
      </c>
      <c r="E449" s="35" t="s">
        <v>1352</v>
      </c>
      <c r="F449" s="35" t="s">
        <v>241</v>
      </c>
      <c r="G449" s="35" t="s">
        <v>180</v>
      </c>
      <c r="H449" s="35" t="s">
        <v>358</v>
      </c>
      <c r="I449" s="34" t="s">
        <v>408</v>
      </c>
      <c r="J449" s="34">
        <v>1</v>
      </c>
      <c r="K449" s="36" t="s">
        <v>721</v>
      </c>
      <c r="L449" s="36" t="s">
        <v>1727</v>
      </c>
      <c r="M449" s="37" t="s">
        <v>1455</v>
      </c>
      <c r="N449" s="37" t="s">
        <v>1764</v>
      </c>
      <c r="O449" s="38">
        <v>1</v>
      </c>
      <c r="P449" s="38"/>
      <c r="R449" s="1">
        <f t="shared" si="147"/>
        <v>1</v>
      </c>
      <c r="S449" s="1">
        <f t="shared" si="148"/>
        <v>0</v>
      </c>
      <c r="T449" s="1">
        <f t="shared" si="149"/>
        <v>0</v>
      </c>
      <c r="U449" s="1">
        <f t="shared" si="150"/>
        <v>0</v>
      </c>
      <c r="V449" s="1">
        <f t="shared" si="151"/>
        <v>0</v>
      </c>
      <c r="W449" s="1">
        <f t="shared" si="152"/>
        <v>0</v>
      </c>
      <c r="X449" s="1">
        <f t="shared" si="153"/>
        <v>0</v>
      </c>
      <c r="Y449" s="1">
        <f t="shared" si="154"/>
        <v>0</v>
      </c>
      <c r="Z449" s="1">
        <f t="shared" si="155"/>
        <v>0</v>
      </c>
      <c r="AA449" s="1">
        <f t="shared" si="156"/>
        <v>0</v>
      </c>
      <c r="AC449" s="1">
        <f t="shared" si="157"/>
        <v>0</v>
      </c>
      <c r="AD449" s="1">
        <f t="shared" si="158"/>
        <v>1</v>
      </c>
      <c r="AE449" s="1">
        <f t="shared" si="159"/>
        <v>0</v>
      </c>
      <c r="AF449" s="1">
        <f t="shared" si="160"/>
        <v>0</v>
      </c>
      <c r="AG449" s="1">
        <f t="shared" si="161"/>
        <v>0</v>
      </c>
      <c r="AH449" s="1">
        <f t="shared" si="162"/>
        <v>0</v>
      </c>
    </row>
    <row r="450" spans="1:34" ht="14.25" customHeight="1" x14ac:dyDescent="0.25">
      <c r="A450" s="34">
        <v>0</v>
      </c>
      <c r="B450" s="34">
        <v>2</v>
      </c>
      <c r="C450" s="34">
        <v>7</v>
      </c>
      <c r="D450" s="35" t="s">
        <v>1345</v>
      </c>
      <c r="E450" s="35" t="s">
        <v>158</v>
      </c>
      <c r="F450" s="35" t="s">
        <v>1371</v>
      </c>
      <c r="G450" s="35" t="s">
        <v>260</v>
      </c>
      <c r="H450" s="35" t="s">
        <v>358</v>
      </c>
      <c r="I450" s="34" t="s">
        <v>1254</v>
      </c>
      <c r="J450" s="34">
        <v>8</v>
      </c>
      <c r="K450" s="36" t="s">
        <v>963</v>
      </c>
      <c r="L450" s="36" t="s">
        <v>730</v>
      </c>
      <c r="M450" s="37" t="s">
        <v>740</v>
      </c>
      <c r="N450" s="37" t="s">
        <v>1764</v>
      </c>
      <c r="O450" s="38">
        <v>1</v>
      </c>
      <c r="P450" s="38"/>
      <c r="R450" s="1">
        <f t="shared" si="147"/>
        <v>0</v>
      </c>
      <c r="S450" s="1">
        <f t="shared" si="148"/>
        <v>0</v>
      </c>
      <c r="T450" s="1">
        <f t="shared" si="149"/>
        <v>0</v>
      </c>
      <c r="U450" s="1">
        <f t="shared" si="150"/>
        <v>0</v>
      </c>
      <c r="V450" s="1">
        <f t="shared" si="151"/>
        <v>0</v>
      </c>
      <c r="W450" s="1">
        <f t="shared" si="152"/>
        <v>0</v>
      </c>
      <c r="X450" s="1">
        <f t="shared" si="153"/>
        <v>0</v>
      </c>
      <c r="Y450" s="1">
        <f t="shared" si="154"/>
        <v>1</v>
      </c>
      <c r="Z450" s="1">
        <f t="shared" si="155"/>
        <v>0</v>
      </c>
      <c r="AA450" s="1">
        <f t="shared" si="156"/>
        <v>0</v>
      </c>
      <c r="AC450" s="1">
        <f t="shared" si="157"/>
        <v>0</v>
      </c>
      <c r="AD450" s="1">
        <f t="shared" si="158"/>
        <v>1</v>
      </c>
      <c r="AE450" s="1">
        <f t="shared" si="159"/>
        <v>0</v>
      </c>
      <c r="AF450" s="1">
        <f t="shared" si="160"/>
        <v>1</v>
      </c>
      <c r="AG450" s="1">
        <f t="shared" si="161"/>
        <v>0</v>
      </c>
      <c r="AH450" s="1">
        <f t="shared" si="162"/>
        <v>1</v>
      </c>
    </row>
    <row r="451" spans="1:34" ht="14.25" customHeight="1" x14ac:dyDescent="0.25">
      <c r="A451" s="34">
        <v>1</v>
      </c>
      <c r="B451" s="34">
        <v>2</v>
      </c>
      <c r="C451" s="34">
        <v>7</v>
      </c>
      <c r="D451" s="35" t="s">
        <v>1345</v>
      </c>
      <c r="E451" s="35" t="s">
        <v>158</v>
      </c>
      <c r="F451" s="35" t="s">
        <v>1233</v>
      </c>
      <c r="G451" s="35" t="s">
        <v>220</v>
      </c>
      <c r="H451" s="35" t="s">
        <v>358</v>
      </c>
      <c r="I451" s="34" t="s">
        <v>1254</v>
      </c>
      <c r="J451" s="34">
        <v>99</v>
      </c>
      <c r="K451" s="36" t="s">
        <v>963</v>
      </c>
      <c r="L451" s="36" t="s">
        <v>730</v>
      </c>
      <c r="M451" s="37" t="s">
        <v>740</v>
      </c>
      <c r="N451" s="37" t="s">
        <v>1764</v>
      </c>
      <c r="O451" s="38">
        <v>1</v>
      </c>
      <c r="P451" s="38"/>
      <c r="R451" s="1">
        <f t="shared" si="147"/>
        <v>0</v>
      </c>
      <c r="S451" s="1">
        <f t="shared" si="148"/>
        <v>0</v>
      </c>
      <c r="T451" s="1">
        <f t="shared" si="149"/>
        <v>0</v>
      </c>
      <c r="U451" s="1">
        <f t="shared" si="150"/>
        <v>0</v>
      </c>
      <c r="V451" s="1">
        <f t="shared" si="151"/>
        <v>0</v>
      </c>
      <c r="W451" s="1">
        <f t="shared" si="152"/>
        <v>0</v>
      </c>
      <c r="X451" s="1">
        <f t="shared" si="153"/>
        <v>0</v>
      </c>
      <c r="Y451" s="1">
        <f t="shared" si="154"/>
        <v>0</v>
      </c>
      <c r="Z451" s="1">
        <f t="shared" si="155"/>
        <v>0</v>
      </c>
      <c r="AA451" s="1">
        <f t="shared" si="156"/>
        <v>0</v>
      </c>
      <c r="AC451" s="1">
        <f t="shared" si="157"/>
        <v>0</v>
      </c>
      <c r="AD451" s="1">
        <f t="shared" si="158"/>
        <v>1</v>
      </c>
      <c r="AE451" s="1">
        <f t="shared" si="159"/>
        <v>0</v>
      </c>
      <c r="AF451" s="1">
        <f t="shared" si="160"/>
        <v>0</v>
      </c>
      <c r="AG451" s="1">
        <f t="shared" si="161"/>
        <v>0</v>
      </c>
      <c r="AH451" s="1">
        <f t="shared" si="162"/>
        <v>0</v>
      </c>
    </row>
    <row r="452" spans="1:34" ht="14.25" customHeight="1" x14ac:dyDescent="0.25">
      <c r="A452" s="47">
        <v>0</v>
      </c>
      <c r="B452" s="47">
        <v>2</v>
      </c>
      <c r="C452" s="47">
        <v>7</v>
      </c>
      <c r="D452" s="48" t="s">
        <v>1263</v>
      </c>
      <c r="E452" s="48" t="s">
        <v>158</v>
      </c>
      <c r="F452" s="48" t="s">
        <v>1265</v>
      </c>
      <c r="G452" s="48" t="s">
        <v>222</v>
      </c>
      <c r="H452" s="48" t="s">
        <v>358</v>
      </c>
      <c r="I452" s="47" t="s">
        <v>1385</v>
      </c>
      <c r="J452" s="47">
        <v>8</v>
      </c>
      <c r="K452" s="49" t="s">
        <v>962</v>
      </c>
      <c r="L452" s="49" t="s">
        <v>730</v>
      </c>
      <c r="M452" s="50" t="s">
        <v>740</v>
      </c>
      <c r="N452" s="50" t="s">
        <v>1751</v>
      </c>
      <c r="O452" s="51"/>
      <c r="P452" s="51"/>
      <c r="R452" s="1">
        <f t="shared" si="147"/>
        <v>0</v>
      </c>
      <c r="S452" s="1">
        <f t="shared" si="148"/>
        <v>0</v>
      </c>
      <c r="T452" s="1">
        <f t="shared" si="149"/>
        <v>0</v>
      </c>
      <c r="U452" s="1">
        <f t="shared" si="150"/>
        <v>0</v>
      </c>
      <c r="V452" s="1">
        <f t="shared" si="151"/>
        <v>0</v>
      </c>
      <c r="W452" s="1">
        <f t="shared" si="152"/>
        <v>0</v>
      </c>
      <c r="X452" s="1">
        <f t="shared" si="153"/>
        <v>0</v>
      </c>
      <c r="Y452" s="1">
        <f t="shared" si="154"/>
        <v>1</v>
      </c>
      <c r="Z452" s="1">
        <f t="shared" si="155"/>
        <v>0</v>
      </c>
      <c r="AA452" s="1">
        <f t="shared" si="156"/>
        <v>0</v>
      </c>
      <c r="AC452" s="1">
        <f t="shared" si="157"/>
        <v>0</v>
      </c>
      <c r="AD452" s="1">
        <f t="shared" si="158"/>
        <v>0</v>
      </c>
      <c r="AE452" s="1">
        <f t="shared" si="159"/>
        <v>0</v>
      </c>
      <c r="AF452" s="1">
        <f t="shared" si="160"/>
        <v>0</v>
      </c>
      <c r="AG452" s="1">
        <f t="shared" si="161"/>
        <v>0</v>
      </c>
      <c r="AH452" s="1">
        <f t="shared" si="162"/>
        <v>1</v>
      </c>
    </row>
    <row r="453" spans="1:34" ht="14.25" customHeight="1" x14ac:dyDescent="0.25">
      <c r="A453" s="47">
        <v>1</v>
      </c>
      <c r="B453" s="47">
        <v>2</v>
      </c>
      <c r="C453" s="47">
        <v>7</v>
      </c>
      <c r="D453" s="48" t="s">
        <v>1263</v>
      </c>
      <c r="E453" s="48" t="s">
        <v>158</v>
      </c>
      <c r="F453" s="48" t="s">
        <v>1372</v>
      </c>
      <c r="G453" s="48" t="s">
        <v>39</v>
      </c>
      <c r="H453" s="48" t="s">
        <v>359</v>
      </c>
      <c r="I453" s="47" t="s">
        <v>1264</v>
      </c>
      <c r="J453" s="47">
        <v>99</v>
      </c>
      <c r="K453" s="49" t="s">
        <v>962</v>
      </c>
      <c r="L453" s="49" t="s">
        <v>730</v>
      </c>
      <c r="M453" s="50" t="s">
        <v>740</v>
      </c>
      <c r="N453" s="50" t="s">
        <v>1751</v>
      </c>
      <c r="O453" s="51"/>
      <c r="P453" s="51"/>
      <c r="R453" s="1">
        <f t="shared" si="147"/>
        <v>0</v>
      </c>
      <c r="S453" s="1">
        <f t="shared" si="148"/>
        <v>0</v>
      </c>
      <c r="T453" s="1">
        <f t="shared" si="149"/>
        <v>0</v>
      </c>
      <c r="U453" s="1">
        <f t="shared" si="150"/>
        <v>0</v>
      </c>
      <c r="V453" s="1">
        <f t="shared" si="151"/>
        <v>0</v>
      </c>
      <c r="W453" s="1">
        <f t="shared" si="152"/>
        <v>0</v>
      </c>
      <c r="X453" s="1">
        <f t="shared" si="153"/>
        <v>0</v>
      </c>
      <c r="Y453" s="1">
        <f t="shared" si="154"/>
        <v>0</v>
      </c>
      <c r="Z453" s="1">
        <f t="shared" si="155"/>
        <v>0</v>
      </c>
      <c r="AA453" s="1">
        <f t="shared" si="156"/>
        <v>0</v>
      </c>
      <c r="AC453" s="1">
        <f t="shared" si="157"/>
        <v>0</v>
      </c>
      <c r="AD453" s="1">
        <f t="shared" si="158"/>
        <v>0</v>
      </c>
      <c r="AE453" s="1">
        <f t="shared" si="159"/>
        <v>0</v>
      </c>
      <c r="AF453" s="1">
        <f t="shared" si="160"/>
        <v>0</v>
      </c>
      <c r="AG453" s="1">
        <f t="shared" si="161"/>
        <v>0</v>
      </c>
      <c r="AH453" s="1">
        <f t="shared" si="162"/>
        <v>0</v>
      </c>
    </row>
    <row r="454" spans="1:34" ht="14.25" customHeight="1" x14ac:dyDescent="0.25">
      <c r="A454" s="47">
        <v>1</v>
      </c>
      <c r="B454" s="47">
        <v>2</v>
      </c>
      <c r="C454" s="47">
        <v>7</v>
      </c>
      <c r="D454" s="48" t="s">
        <v>1263</v>
      </c>
      <c r="E454" s="48" t="s">
        <v>158</v>
      </c>
      <c r="F454" s="48" t="s">
        <v>1539</v>
      </c>
      <c r="G454" s="48" t="s">
        <v>237</v>
      </c>
      <c r="H454" s="48" t="s">
        <v>358</v>
      </c>
      <c r="I454" s="47" t="s">
        <v>1707</v>
      </c>
      <c r="J454" s="47">
        <v>99</v>
      </c>
      <c r="K454" s="49" t="s">
        <v>962</v>
      </c>
      <c r="L454" s="49" t="s">
        <v>730</v>
      </c>
      <c r="M454" s="50" t="s">
        <v>740</v>
      </c>
      <c r="N454" s="50" t="s">
        <v>1751</v>
      </c>
      <c r="O454" s="51"/>
      <c r="P454" s="51"/>
      <c r="R454" s="1">
        <f t="shared" si="147"/>
        <v>0</v>
      </c>
      <c r="S454" s="1">
        <f t="shared" si="148"/>
        <v>0</v>
      </c>
      <c r="T454" s="1">
        <f t="shared" si="149"/>
        <v>0</v>
      </c>
      <c r="U454" s="1">
        <f t="shared" si="150"/>
        <v>0</v>
      </c>
      <c r="V454" s="1">
        <f t="shared" si="151"/>
        <v>0</v>
      </c>
      <c r="W454" s="1">
        <f t="shared" si="152"/>
        <v>0</v>
      </c>
      <c r="X454" s="1">
        <f t="shared" si="153"/>
        <v>0</v>
      </c>
      <c r="Y454" s="1">
        <f t="shared" si="154"/>
        <v>0</v>
      </c>
      <c r="Z454" s="1">
        <f t="shared" si="155"/>
        <v>0</v>
      </c>
      <c r="AA454" s="1">
        <f t="shared" si="156"/>
        <v>0</v>
      </c>
      <c r="AC454" s="1">
        <f t="shared" ref="AC454:AC457" si="165">+O454*P454</f>
        <v>0</v>
      </c>
      <c r="AD454" s="1">
        <f t="shared" ref="AD454:AD457" si="166">O454*(1-P454)</f>
        <v>0</v>
      </c>
      <c r="AE454" s="1">
        <f t="shared" si="159"/>
        <v>0</v>
      </c>
      <c r="AF454" s="1">
        <f t="shared" si="160"/>
        <v>0</v>
      </c>
      <c r="AG454" s="1">
        <f t="shared" si="161"/>
        <v>0</v>
      </c>
      <c r="AH454" s="1">
        <f t="shared" si="162"/>
        <v>0</v>
      </c>
    </row>
    <row r="455" spans="1:34" ht="14.25" customHeight="1" x14ac:dyDescent="0.25">
      <c r="A455" s="34">
        <v>0</v>
      </c>
      <c r="B455" s="34">
        <v>2</v>
      </c>
      <c r="C455" s="34">
        <v>7</v>
      </c>
      <c r="D455" s="35" t="s">
        <v>1866</v>
      </c>
      <c r="E455" s="35" t="s">
        <v>1867</v>
      </c>
      <c r="F455" s="35" t="s">
        <v>1868</v>
      </c>
      <c r="G455" s="35" t="s">
        <v>268</v>
      </c>
      <c r="H455" s="35" t="s">
        <v>358</v>
      </c>
      <c r="I455" s="34" t="s">
        <v>1869</v>
      </c>
      <c r="J455" s="34">
        <v>99</v>
      </c>
      <c r="K455" s="36" t="s">
        <v>711</v>
      </c>
      <c r="L455" s="36"/>
      <c r="M455" s="37"/>
      <c r="N455" s="37" t="s">
        <v>1743</v>
      </c>
      <c r="O455" s="38">
        <v>1</v>
      </c>
      <c r="P455" s="38">
        <v>1</v>
      </c>
      <c r="R455" s="1">
        <f t="shared" si="147"/>
        <v>0</v>
      </c>
      <c r="S455" s="1">
        <f t="shared" si="148"/>
        <v>0</v>
      </c>
      <c r="T455" s="1">
        <f t="shared" si="149"/>
        <v>0</v>
      </c>
      <c r="U455" s="1">
        <f t="shared" si="150"/>
        <v>0</v>
      </c>
      <c r="V455" s="1">
        <f t="shared" si="151"/>
        <v>0</v>
      </c>
      <c r="W455" s="1">
        <f t="shared" si="152"/>
        <v>0</v>
      </c>
      <c r="X455" s="1">
        <f t="shared" si="153"/>
        <v>0</v>
      </c>
      <c r="Y455" s="1">
        <f t="shared" si="154"/>
        <v>0</v>
      </c>
      <c r="Z455" s="1">
        <f t="shared" si="155"/>
        <v>0</v>
      </c>
      <c r="AA455" s="1">
        <f t="shared" si="156"/>
        <v>0</v>
      </c>
      <c r="AC455" s="1">
        <f t="shared" si="165"/>
        <v>1</v>
      </c>
      <c r="AD455" s="1">
        <f t="shared" si="166"/>
        <v>0</v>
      </c>
      <c r="AE455" s="1">
        <f t="shared" si="159"/>
        <v>1</v>
      </c>
      <c r="AF455" s="1">
        <f t="shared" si="160"/>
        <v>0</v>
      </c>
      <c r="AG455" s="1">
        <f t="shared" si="161"/>
        <v>1</v>
      </c>
      <c r="AH455" s="1">
        <f t="shared" si="162"/>
        <v>0</v>
      </c>
    </row>
    <row r="456" spans="1:34" ht="14.25" customHeight="1" x14ac:dyDescent="0.25">
      <c r="A456" s="47">
        <v>0</v>
      </c>
      <c r="B456" s="47">
        <v>2</v>
      </c>
      <c r="C456" s="47">
        <v>7</v>
      </c>
      <c r="D456" s="48" t="s">
        <v>1258</v>
      </c>
      <c r="E456" s="48" t="s">
        <v>28</v>
      </c>
      <c r="F456" s="48" t="s">
        <v>1251</v>
      </c>
      <c r="G456" s="48" t="s">
        <v>1252</v>
      </c>
      <c r="H456" s="48" t="s">
        <v>358</v>
      </c>
      <c r="I456" s="47" t="s">
        <v>1253</v>
      </c>
      <c r="J456" s="47">
        <v>99</v>
      </c>
      <c r="K456" s="49" t="s">
        <v>720</v>
      </c>
      <c r="L456" s="49" t="s">
        <v>721</v>
      </c>
      <c r="M456" s="50" t="s">
        <v>739</v>
      </c>
      <c r="N456" s="50" t="s">
        <v>1751</v>
      </c>
      <c r="O456" s="51"/>
      <c r="P456" s="51"/>
      <c r="R456" s="1">
        <f t="shared" si="147"/>
        <v>0</v>
      </c>
      <c r="S456" s="1">
        <f t="shared" si="148"/>
        <v>0</v>
      </c>
      <c r="T456" s="1">
        <f t="shared" si="149"/>
        <v>0</v>
      </c>
      <c r="U456" s="1">
        <f t="shared" si="150"/>
        <v>0</v>
      </c>
      <c r="V456" s="1">
        <f t="shared" si="151"/>
        <v>0</v>
      </c>
      <c r="W456" s="1">
        <f t="shared" si="152"/>
        <v>0</v>
      </c>
      <c r="X456" s="1">
        <f t="shared" si="153"/>
        <v>0</v>
      </c>
      <c r="Y456" s="1">
        <f t="shared" si="154"/>
        <v>0</v>
      </c>
      <c r="Z456" s="1">
        <f t="shared" si="155"/>
        <v>0</v>
      </c>
      <c r="AA456" s="1">
        <f t="shared" si="156"/>
        <v>0</v>
      </c>
      <c r="AC456" s="1">
        <f t="shared" si="165"/>
        <v>0</v>
      </c>
      <c r="AD456" s="1">
        <f t="shared" si="166"/>
        <v>0</v>
      </c>
      <c r="AE456" s="1">
        <f t="shared" si="159"/>
        <v>0</v>
      </c>
      <c r="AF456" s="1">
        <f t="shared" si="160"/>
        <v>0</v>
      </c>
      <c r="AG456" s="1">
        <f t="shared" si="161"/>
        <v>0</v>
      </c>
      <c r="AH456" s="1">
        <f t="shared" si="162"/>
        <v>1</v>
      </c>
    </row>
    <row r="457" spans="1:34" ht="14.25" customHeight="1" x14ac:dyDescent="0.25">
      <c r="A457" s="47">
        <v>1</v>
      </c>
      <c r="B457" s="47">
        <v>2</v>
      </c>
      <c r="C457" s="47">
        <v>7</v>
      </c>
      <c r="D457" s="48" t="s">
        <v>1255</v>
      </c>
      <c r="E457" s="48" t="s">
        <v>28</v>
      </c>
      <c r="F457" s="48" t="s">
        <v>1256</v>
      </c>
      <c r="G457" s="48" t="s">
        <v>529</v>
      </c>
      <c r="H457" s="48" t="s">
        <v>358</v>
      </c>
      <c r="I457" s="47" t="s">
        <v>1257</v>
      </c>
      <c r="J457" s="47">
        <v>99</v>
      </c>
      <c r="K457" s="49" t="s">
        <v>720</v>
      </c>
      <c r="L457" s="49" t="s">
        <v>721</v>
      </c>
      <c r="M457" s="50" t="s">
        <v>739</v>
      </c>
      <c r="N457" s="50" t="s">
        <v>1751</v>
      </c>
      <c r="O457" s="51"/>
      <c r="P457" s="51"/>
      <c r="R457" s="1">
        <f t="shared" si="147"/>
        <v>0</v>
      </c>
      <c r="S457" s="1">
        <f t="shared" si="148"/>
        <v>0</v>
      </c>
      <c r="T457" s="1">
        <f t="shared" si="149"/>
        <v>0</v>
      </c>
      <c r="U457" s="1">
        <f t="shared" si="150"/>
        <v>0</v>
      </c>
      <c r="V457" s="1">
        <f t="shared" si="151"/>
        <v>0</v>
      </c>
      <c r="W457" s="1">
        <f t="shared" si="152"/>
        <v>0</v>
      </c>
      <c r="X457" s="1">
        <f t="shared" si="153"/>
        <v>0</v>
      </c>
      <c r="Y457" s="1">
        <f t="shared" si="154"/>
        <v>0</v>
      </c>
      <c r="Z457" s="1">
        <f t="shared" si="155"/>
        <v>0</v>
      </c>
      <c r="AA457" s="1">
        <f t="shared" si="156"/>
        <v>0</v>
      </c>
      <c r="AC457" s="1">
        <f t="shared" si="165"/>
        <v>0</v>
      </c>
      <c r="AD457" s="1">
        <f t="shared" si="166"/>
        <v>0</v>
      </c>
      <c r="AE457" s="1">
        <f t="shared" si="159"/>
        <v>0</v>
      </c>
      <c r="AF457" s="1">
        <f t="shared" si="160"/>
        <v>0</v>
      </c>
      <c r="AG457" s="1">
        <f t="shared" si="161"/>
        <v>0</v>
      </c>
      <c r="AH457" s="1">
        <f t="shared" si="162"/>
        <v>0</v>
      </c>
    </row>
    <row r="458" spans="1:34" ht="14.25" customHeight="1" x14ac:dyDescent="0.25">
      <c r="A458" s="34">
        <v>0</v>
      </c>
      <c r="B458" s="34">
        <v>2</v>
      </c>
      <c r="C458" s="34">
        <v>7</v>
      </c>
      <c r="D458" s="35" t="s">
        <v>1862</v>
      </c>
      <c r="E458" s="35" t="s">
        <v>1183</v>
      </c>
      <c r="F458" s="35" t="s">
        <v>1863</v>
      </c>
      <c r="G458" s="35"/>
      <c r="H458" s="35" t="s">
        <v>358</v>
      </c>
      <c r="I458" s="34" t="s">
        <v>1864</v>
      </c>
      <c r="J458" s="34">
        <v>6</v>
      </c>
      <c r="K458" s="36" t="s">
        <v>711</v>
      </c>
      <c r="L458" s="36"/>
      <c r="M458" s="37"/>
      <c r="N458" s="37" t="s">
        <v>1764</v>
      </c>
      <c r="O458" s="38">
        <v>1</v>
      </c>
      <c r="P458" s="38"/>
      <c r="R458" s="1">
        <f t="shared" si="147"/>
        <v>0</v>
      </c>
      <c r="S458" s="1">
        <f t="shared" si="148"/>
        <v>0</v>
      </c>
      <c r="T458" s="1">
        <f t="shared" si="149"/>
        <v>0</v>
      </c>
      <c r="U458" s="1">
        <f t="shared" si="150"/>
        <v>0</v>
      </c>
      <c r="V458" s="1">
        <f t="shared" si="151"/>
        <v>0</v>
      </c>
      <c r="W458" s="1">
        <f t="shared" si="152"/>
        <v>1</v>
      </c>
      <c r="X458" s="1">
        <f t="shared" si="153"/>
        <v>0</v>
      </c>
      <c r="Y458" s="1">
        <f t="shared" si="154"/>
        <v>0</v>
      </c>
      <c r="Z458" s="1">
        <f t="shared" si="155"/>
        <v>0</v>
      </c>
      <c r="AA458" s="1">
        <f t="shared" si="156"/>
        <v>0</v>
      </c>
      <c r="AC458" s="1">
        <f t="shared" ref="AC458" si="167">+O458*P458</f>
        <v>0</v>
      </c>
      <c r="AD458" s="1">
        <f t="shared" ref="AD458" si="168">O458*(1-P458)</f>
        <v>1</v>
      </c>
      <c r="AE458" s="1">
        <f t="shared" si="159"/>
        <v>0</v>
      </c>
      <c r="AF458" s="1">
        <f t="shared" si="160"/>
        <v>1</v>
      </c>
      <c r="AG458" s="1">
        <f t="shared" si="161"/>
        <v>0</v>
      </c>
      <c r="AH458" s="1">
        <f t="shared" si="162"/>
        <v>1</v>
      </c>
    </row>
    <row r="459" spans="1:34" ht="14.25" customHeight="1" x14ac:dyDescent="0.25">
      <c r="A459" s="47">
        <v>0</v>
      </c>
      <c r="B459" s="47">
        <v>2</v>
      </c>
      <c r="C459" s="47">
        <v>7</v>
      </c>
      <c r="D459" s="48" t="s">
        <v>1474</v>
      </c>
      <c r="E459" s="48" t="s">
        <v>28</v>
      </c>
      <c r="F459" s="48" t="s">
        <v>1475</v>
      </c>
      <c r="G459" s="48" t="s">
        <v>1476</v>
      </c>
      <c r="H459" s="48" t="s">
        <v>358</v>
      </c>
      <c r="I459" s="47" t="s">
        <v>1477</v>
      </c>
      <c r="J459" s="47">
        <v>99</v>
      </c>
      <c r="K459" s="49" t="s">
        <v>720</v>
      </c>
      <c r="L459" s="49" t="s">
        <v>721</v>
      </c>
      <c r="M459" s="50" t="s">
        <v>739</v>
      </c>
      <c r="N459" s="50" t="s">
        <v>1751</v>
      </c>
      <c r="O459" s="51"/>
      <c r="P459" s="51"/>
      <c r="R459" s="1">
        <f t="shared" si="147"/>
        <v>0</v>
      </c>
      <c r="S459" s="1">
        <f t="shared" si="148"/>
        <v>0</v>
      </c>
      <c r="T459" s="1">
        <f t="shared" si="149"/>
        <v>0</v>
      </c>
      <c r="U459" s="1">
        <f t="shared" si="150"/>
        <v>0</v>
      </c>
      <c r="V459" s="1">
        <f t="shared" si="151"/>
        <v>0</v>
      </c>
      <c r="W459" s="1">
        <f t="shared" si="152"/>
        <v>0</v>
      </c>
      <c r="X459" s="1">
        <f t="shared" si="153"/>
        <v>0</v>
      </c>
      <c r="Y459" s="1">
        <f t="shared" si="154"/>
        <v>0</v>
      </c>
      <c r="Z459" s="1">
        <f t="shared" si="155"/>
        <v>0</v>
      </c>
      <c r="AA459" s="1">
        <f t="shared" si="156"/>
        <v>0</v>
      </c>
      <c r="AC459" s="1">
        <f t="shared" si="157"/>
        <v>0</v>
      </c>
      <c r="AD459" s="1">
        <f t="shared" si="158"/>
        <v>0</v>
      </c>
      <c r="AE459" s="1">
        <f t="shared" si="159"/>
        <v>0</v>
      </c>
      <c r="AF459" s="1">
        <f t="shared" si="160"/>
        <v>0</v>
      </c>
      <c r="AG459" s="1">
        <f t="shared" si="161"/>
        <v>0</v>
      </c>
      <c r="AH459" s="1">
        <f t="shared" si="162"/>
        <v>1</v>
      </c>
    </row>
    <row r="460" spans="1:34" ht="14.25" customHeight="1" x14ac:dyDescent="0.25">
      <c r="A460" s="34">
        <v>0</v>
      </c>
      <c r="B460" s="34">
        <v>2</v>
      </c>
      <c r="C460" s="34">
        <v>7</v>
      </c>
      <c r="D460" s="35" t="s">
        <v>43</v>
      </c>
      <c r="E460" s="35" t="s">
        <v>547</v>
      </c>
      <c r="F460" s="35" t="s">
        <v>581</v>
      </c>
      <c r="G460" s="35" t="s">
        <v>237</v>
      </c>
      <c r="H460" s="35" t="s">
        <v>358</v>
      </c>
      <c r="I460" s="34" t="s">
        <v>588</v>
      </c>
      <c r="J460" s="34">
        <v>99</v>
      </c>
      <c r="K460" s="36" t="s">
        <v>720</v>
      </c>
      <c r="L460" s="36" t="s">
        <v>737</v>
      </c>
      <c r="M460" s="37" t="s">
        <v>1456</v>
      </c>
      <c r="N460" s="37" t="s">
        <v>1764</v>
      </c>
      <c r="O460" s="38">
        <v>1</v>
      </c>
      <c r="P460" s="38"/>
      <c r="R460" s="1">
        <f t="shared" si="147"/>
        <v>0</v>
      </c>
      <c r="S460" s="1">
        <f t="shared" si="148"/>
        <v>0</v>
      </c>
      <c r="T460" s="1">
        <f t="shared" si="149"/>
        <v>0</v>
      </c>
      <c r="U460" s="1">
        <f t="shared" si="150"/>
        <v>0</v>
      </c>
      <c r="V460" s="1">
        <f t="shared" si="151"/>
        <v>0</v>
      </c>
      <c r="W460" s="1">
        <f t="shared" si="152"/>
        <v>0</v>
      </c>
      <c r="X460" s="1">
        <f t="shared" si="153"/>
        <v>0</v>
      </c>
      <c r="Y460" s="1">
        <f t="shared" si="154"/>
        <v>0</v>
      </c>
      <c r="Z460" s="1">
        <f t="shared" si="155"/>
        <v>0</v>
      </c>
      <c r="AA460" s="1">
        <f t="shared" si="156"/>
        <v>0</v>
      </c>
      <c r="AC460" s="1">
        <f t="shared" si="157"/>
        <v>0</v>
      </c>
      <c r="AD460" s="1">
        <f t="shared" si="158"/>
        <v>1</v>
      </c>
      <c r="AE460" s="1">
        <f t="shared" si="159"/>
        <v>0</v>
      </c>
      <c r="AF460" s="1">
        <f t="shared" si="160"/>
        <v>1</v>
      </c>
      <c r="AG460" s="1">
        <f t="shared" si="161"/>
        <v>0</v>
      </c>
      <c r="AH460" s="1">
        <f t="shared" si="162"/>
        <v>1</v>
      </c>
    </row>
    <row r="461" spans="1:34" ht="14.25" customHeight="1" x14ac:dyDescent="0.25">
      <c r="A461" s="34">
        <v>1</v>
      </c>
      <c r="B461" s="34">
        <v>2</v>
      </c>
      <c r="C461" s="34">
        <v>7</v>
      </c>
      <c r="D461" s="35" t="s">
        <v>43</v>
      </c>
      <c r="E461" s="35" t="s">
        <v>547</v>
      </c>
      <c r="F461" s="35" t="s">
        <v>274</v>
      </c>
      <c r="G461" s="35" t="s">
        <v>182</v>
      </c>
      <c r="H461" s="35" t="s">
        <v>358</v>
      </c>
      <c r="I461" s="34" t="s">
        <v>431</v>
      </c>
      <c r="J461" s="34">
        <v>10</v>
      </c>
      <c r="K461" s="36" t="s">
        <v>720</v>
      </c>
      <c r="L461" s="36" t="s">
        <v>737</v>
      </c>
      <c r="M461" s="37" t="s">
        <v>1456</v>
      </c>
      <c r="N461" s="37" t="s">
        <v>1764</v>
      </c>
      <c r="O461" s="38">
        <v>1</v>
      </c>
      <c r="P461" s="38"/>
      <c r="R461" s="1">
        <f t="shared" si="147"/>
        <v>0</v>
      </c>
      <c r="S461" s="1">
        <f t="shared" si="148"/>
        <v>0</v>
      </c>
      <c r="T461" s="1">
        <f t="shared" si="149"/>
        <v>0</v>
      </c>
      <c r="U461" s="1">
        <f t="shared" si="150"/>
        <v>0</v>
      </c>
      <c r="V461" s="1">
        <f t="shared" si="151"/>
        <v>0</v>
      </c>
      <c r="W461" s="1">
        <f t="shared" si="152"/>
        <v>0</v>
      </c>
      <c r="X461" s="1">
        <f t="shared" si="153"/>
        <v>0</v>
      </c>
      <c r="Y461" s="1">
        <f t="shared" si="154"/>
        <v>0</v>
      </c>
      <c r="Z461" s="1">
        <f t="shared" si="155"/>
        <v>0</v>
      </c>
      <c r="AA461" s="1">
        <f t="shared" si="156"/>
        <v>1</v>
      </c>
      <c r="AC461" s="1">
        <f t="shared" si="157"/>
        <v>0</v>
      </c>
      <c r="AD461" s="1">
        <f t="shared" si="158"/>
        <v>1</v>
      </c>
      <c r="AE461" s="1">
        <f t="shared" si="159"/>
        <v>0</v>
      </c>
      <c r="AF461" s="1">
        <f t="shared" si="160"/>
        <v>0</v>
      </c>
      <c r="AG461" s="1">
        <f t="shared" si="161"/>
        <v>0</v>
      </c>
      <c r="AH461" s="1">
        <f t="shared" si="162"/>
        <v>0</v>
      </c>
    </row>
    <row r="462" spans="1:34" ht="14.25" customHeight="1" x14ac:dyDescent="0.25">
      <c r="A462" s="34">
        <v>1</v>
      </c>
      <c r="B462" s="34">
        <v>2</v>
      </c>
      <c r="C462" s="34">
        <v>7</v>
      </c>
      <c r="D462" s="35" t="s">
        <v>43</v>
      </c>
      <c r="E462" s="35" t="s">
        <v>547</v>
      </c>
      <c r="F462" s="35" t="s">
        <v>275</v>
      </c>
      <c r="G462" s="35" t="s">
        <v>39</v>
      </c>
      <c r="H462" s="35" t="s">
        <v>358</v>
      </c>
      <c r="I462" s="34" t="s">
        <v>432</v>
      </c>
      <c r="J462" s="34">
        <v>5</v>
      </c>
      <c r="K462" s="36" t="s">
        <v>720</v>
      </c>
      <c r="L462" s="36" t="s">
        <v>737</v>
      </c>
      <c r="M462" s="37" t="s">
        <v>1456</v>
      </c>
      <c r="N462" s="37" t="s">
        <v>1764</v>
      </c>
      <c r="O462" s="38">
        <v>1</v>
      </c>
      <c r="P462" s="38"/>
      <c r="R462" s="1">
        <f t="shared" si="147"/>
        <v>0</v>
      </c>
      <c r="S462" s="1">
        <f t="shared" si="148"/>
        <v>0</v>
      </c>
      <c r="T462" s="1">
        <f t="shared" si="149"/>
        <v>0</v>
      </c>
      <c r="U462" s="1">
        <f t="shared" si="150"/>
        <v>0</v>
      </c>
      <c r="V462" s="1">
        <f t="shared" si="151"/>
        <v>1</v>
      </c>
      <c r="W462" s="1">
        <f t="shared" si="152"/>
        <v>0</v>
      </c>
      <c r="X462" s="1">
        <f t="shared" si="153"/>
        <v>0</v>
      </c>
      <c r="Y462" s="1">
        <f t="shared" si="154"/>
        <v>0</v>
      </c>
      <c r="Z462" s="1">
        <f t="shared" si="155"/>
        <v>0</v>
      </c>
      <c r="AA462" s="1">
        <f t="shared" si="156"/>
        <v>0</v>
      </c>
      <c r="AC462" s="1">
        <f t="shared" si="157"/>
        <v>0</v>
      </c>
      <c r="AD462" s="1">
        <f t="shared" si="158"/>
        <v>1</v>
      </c>
      <c r="AE462" s="1">
        <f t="shared" si="159"/>
        <v>0</v>
      </c>
      <c r="AF462" s="1">
        <f t="shared" si="160"/>
        <v>0</v>
      </c>
      <c r="AG462" s="1">
        <f t="shared" si="161"/>
        <v>0</v>
      </c>
      <c r="AH462" s="1">
        <f t="shared" si="162"/>
        <v>0</v>
      </c>
    </row>
    <row r="463" spans="1:34" ht="14.25" customHeight="1" x14ac:dyDescent="0.25">
      <c r="A463" s="34">
        <v>1</v>
      </c>
      <c r="B463" s="34">
        <v>2</v>
      </c>
      <c r="C463" s="34">
        <v>7</v>
      </c>
      <c r="D463" s="35" t="s">
        <v>43</v>
      </c>
      <c r="E463" s="35" t="s">
        <v>547</v>
      </c>
      <c r="F463" s="35" t="s">
        <v>279</v>
      </c>
      <c r="G463" s="35" t="s">
        <v>196</v>
      </c>
      <c r="H463" s="35" t="s">
        <v>358</v>
      </c>
      <c r="I463" s="34" t="s">
        <v>436</v>
      </c>
      <c r="J463" s="34">
        <v>9</v>
      </c>
      <c r="K463" s="36" t="s">
        <v>720</v>
      </c>
      <c r="L463" s="36" t="s">
        <v>737</v>
      </c>
      <c r="M463" s="37" t="s">
        <v>1456</v>
      </c>
      <c r="N463" s="37" t="s">
        <v>1764</v>
      </c>
      <c r="O463" s="38">
        <v>1</v>
      </c>
      <c r="P463" s="38"/>
      <c r="R463" s="1">
        <f>IF(J463=$R$7,1,0)</f>
        <v>0</v>
      </c>
      <c r="S463" s="1">
        <f>IF(J463=$S$7,1,0)</f>
        <v>0</v>
      </c>
      <c r="T463" s="1">
        <f>IF(J463=$T$7,1,0)</f>
        <v>0</v>
      </c>
      <c r="U463" s="1">
        <f>IF(J463=$U$7,1,0)</f>
        <v>0</v>
      </c>
      <c r="V463" s="1">
        <f>IF(J463=$V$7,1,0)</f>
        <v>0</v>
      </c>
      <c r="W463" s="1">
        <f>IF(J463=$W$7,1,0)</f>
        <v>0</v>
      </c>
      <c r="X463" s="1">
        <f>IF(J463=$X$7,1,0)</f>
        <v>0</v>
      </c>
      <c r="Y463" s="1">
        <f>IF(J463=$Y$7,1,0)</f>
        <v>0</v>
      </c>
      <c r="Z463" s="1">
        <f>IF(J463=$Z$7,1,0)</f>
        <v>1</v>
      </c>
      <c r="AA463" s="1">
        <f>IF(J463=$AA$7,1,0)</f>
        <v>0</v>
      </c>
      <c r="AC463" s="1">
        <f>+O463*P463</f>
        <v>0</v>
      </c>
      <c r="AD463" s="1">
        <f>O463*(1-P463)</f>
        <v>1</v>
      </c>
      <c r="AE463" s="1">
        <f>+O463*P463*(1-A463)</f>
        <v>0</v>
      </c>
      <c r="AF463" s="1">
        <f>O463*(1-P463)*(1-A463)</f>
        <v>0</v>
      </c>
      <c r="AG463" s="1">
        <f>+P463*(1-A463)</f>
        <v>0</v>
      </c>
      <c r="AH463" s="1">
        <f>+(1-A463)*(1-P463)</f>
        <v>0</v>
      </c>
    </row>
    <row r="464" spans="1:34" ht="14.25" customHeight="1" x14ac:dyDescent="0.25">
      <c r="A464" s="47">
        <v>0</v>
      </c>
      <c r="B464" s="47">
        <v>2</v>
      </c>
      <c r="C464" s="47">
        <v>7</v>
      </c>
      <c r="D464" s="48" t="s">
        <v>1577</v>
      </c>
      <c r="E464" s="48" t="s">
        <v>28</v>
      </c>
      <c r="F464" s="48" t="s">
        <v>1578</v>
      </c>
      <c r="G464" s="48" t="s">
        <v>240</v>
      </c>
      <c r="H464" s="48" t="s">
        <v>358</v>
      </c>
      <c r="I464" s="47" t="s">
        <v>1711</v>
      </c>
      <c r="J464" s="47">
        <v>4</v>
      </c>
      <c r="K464" s="49" t="s">
        <v>721</v>
      </c>
      <c r="L464" s="49" t="s">
        <v>721</v>
      </c>
      <c r="M464" s="50" t="s">
        <v>739</v>
      </c>
      <c r="N464" s="50" t="s">
        <v>1751</v>
      </c>
      <c r="O464" s="51"/>
      <c r="P464" s="51"/>
      <c r="R464" s="1">
        <f>IF(J464=$R$7,1,0)</f>
        <v>0</v>
      </c>
      <c r="S464" s="1">
        <f>IF(J464=$S$7,1,0)</f>
        <v>0</v>
      </c>
      <c r="T464" s="1">
        <f>IF(J464=$T$7,1,0)</f>
        <v>0</v>
      </c>
      <c r="U464" s="1">
        <f>IF(J464=$U$7,1,0)</f>
        <v>1</v>
      </c>
      <c r="V464" s="1">
        <f>IF(J464=$V$7,1,0)</f>
        <v>0</v>
      </c>
      <c r="W464" s="1">
        <f>IF(J464=$W$7,1,0)</f>
        <v>0</v>
      </c>
      <c r="X464" s="1">
        <f>IF(J464=$X$7,1,0)</f>
        <v>0</v>
      </c>
      <c r="Y464" s="1">
        <f>IF(J464=$Y$7,1,0)</f>
        <v>0</v>
      </c>
      <c r="Z464" s="1">
        <f>IF(J464=$Z$7,1,0)</f>
        <v>0</v>
      </c>
      <c r="AA464" s="1">
        <f>IF(J464=$AA$7,1,0)</f>
        <v>0</v>
      </c>
      <c r="AC464" s="1">
        <f>+O464*P464</f>
        <v>0</v>
      </c>
      <c r="AD464" s="1">
        <f>O464*(1-P464)</f>
        <v>0</v>
      </c>
      <c r="AE464" s="1">
        <f>+O464*P464*(1-A464)</f>
        <v>0</v>
      </c>
      <c r="AF464" s="1">
        <f>O464*(1-P464)*(1-A464)</f>
        <v>0</v>
      </c>
      <c r="AG464" s="1">
        <f>+P464*(1-A464)</f>
        <v>0</v>
      </c>
      <c r="AH464" s="1">
        <f>+(1-A464)*(1-P464)</f>
        <v>1</v>
      </c>
    </row>
    <row r="465" spans="1:34" ht="14.25" customHeight="1" x14ac:dyDescent="0.25">
      <c r="A465" s="47">
        <v>0</v>
      </c>
      <c r="B465" s="47">
        <v>2</v>
      </c>
      <c r="C465" s="47">
        <v>7</v>
      </c>
      <c r="D465" s="48" t="s">
        <v>63</v>
      </c>
      <c r="E465" s="48" t="s">
        <v>44</v>
      </c>
      <c r="F465" s="48" t="s">
        <v>238</v>
      </c>
      <c r="G465" s="48" t="s">
        <v>202</v>
      </c>
      <c r="H465" s="48" t="s">
        <v>358</v>
      </c>
      <c r="I465" s="47" t="s">
        <v>406</v>
      </c>
      <c r="J465" s="47">
        <v>2</v>
      </c>
      <c r="K465" s="49" t="s">
        <v>721</v>
      </c>
      <c r="L465" s="49" t="s">
        <v>730</v>
      </c>
      <c r="M465" s="50" t="s">
        <v>743</v>
      </c>
      <c r="N465" s="50" t="s">
        <v>1751</v>
      </c>
      <c r="O465" s="51"/>
      <c r="P465" s="51"/>
      <c r="R465" s="1">
        <f>IF(J465=$R$7,1,0)</f>
        <v>0</v>
      </c>
      <c r="S465" s="1">
        <f>IF(J465=$S$7,1,0)</f>
        <v>1</v>
      </c>
      <c r="T465" s="1">
        <f>IF(J465=$T$7,1,0)</f>
        <v>0</v>
      </c>
      <c r="U465" s="1">
        <f>IF(J465=$U$7,1,0)</f>
        <v>0</v>
      </c>
      <c r="V465" s="1">
        <f>IF(J465=$V$7,1,0)</f>
        <v>0</v>
      </c>
      <c r="W465" s="1">
        <f>IF(J465=$W$7,1,0)</f>
        <v>0</v>
      </c>
      <c r="X465" s="1">
        <f>IF(J465=$X$7,1,0)</f>
        <v>0</v>
      </c>
      <c r="Y465" s="1">
        <f>IF(J465=$Y$7,1,0)</f>
        <v>0</v>
      </c>
      <c r="Z465" s="1">
        <f>IF(J465=$Z$7,1,0)</f>
        <v>0</v>
      </c>
      <c r="AA465" s="1">
        <f>IF(J465=$AA$7,1,0)</f>
        <v>0</v>
      </c>
      <c r="AC465" s="1">
        <f>+O465*P465</f>
        <v>0</v>
      </c>
      <c r="AD465" s="1">
        <f>O465*(1-P465)</f>
        <v>0</v>
      </c>
      <c r="AE465" s="1">
        <f>+O465*P465*(1-A465)</f>
        <v>0</v>
      </c>
      <c r="AF465" s="1">
        <f>O465*(1-P465)*(1-A465)</f>
        <v>0</v>
      </c>
      <c r="AG465" s="1">
        <f>+P465*(1-A465)</f>
        <v>0</v>
      </c>
      <c r="AH465" s="1">
        <f>+(1-A465)*(1-P465)</f>
        <v>1</v>
      </c>
    </row>
    <row r="466" spans="1:34" ht="14.25" customHeight="1" x14ac:dyDescent="0.25">
      <c r="A466" s="15"/>
      <c r="B466" s="15"/>
      <c r="C466" s="15"/>
      <c r="D466" s="20"/>
      <c r="E466" s="20"/>
      <c r="F466" s="20"/>
      <c r="G466" s="20"/>
      <c r="H466" s="20"/>
      <c r="I466" s="21"/>
      <c r="J466" s="15"/>
      <c r="K466" s="21"/>
      <c r="M466" s="19"/>
      <c r="N466" s="17"/>
    </row>
    <row r="467" spans="1:34" ht="14.25" customHeight="1" x14ac:dyDescent="0.25">
      <c r="A467" s="15"/>
      <c r="B467" s="15"/>
      <c r="C467" s="15"/>
      <c r="D467" s="20"/>
      <c r="E467" s="20"/>
      <c r="F467" s="20"/>
      <c r="G467" s="20"/>
      <c r="H467" s="20"/>
      <c r="I467" s="21"/>
      <c r="J467" s="15"/>
      <c r="K467" s="21"/>
      <c r="M467" s="19"/>
      <c r="N467" s="17"/>
    </row>
    <row r="468" spans="1:34" ht="14.25" customHeight="1" x14ac:dyDescent="0.25">
      <c r="A468" s="15"/>
      <c r="B468" s="15"/>
      <c r="C468" s="15"/>
      <c r="D468" s="20"/>
      <c r="E468" s="20"/>
      <c r="F468" s="20"/>
      <c r="G468" s="20"/>
      <c r="H468" s="20"/>
      <c r="I468" s="21"/>
      <c r="J468" s="15"/>
      <c r="K468" s="21"/>
      <c r="M468" s="19"/>
      <c r="N468" s="17"/>
    </row>
    <row r="469" spans="1:34" ht="14.25" customHeight="1" x14ac:dyDescent="0.25">
      <c r="A469" s="15"/>
      <c r="B469" s="15"/>
      <c r="C469" s="15"/>
      <c r="D469" s="20"/>
      <c r="E469" s="20"/>
      <c r="F469" s="20"/>
      <c r="G469" s="20"/>
      <c r="H469" s="20"/>
      <c r="I469" s="21"/>
      <c r="J469" s="15"/>
      <c r="K469" s="21"/>
      <c r="M469" s="19"/>
      <c r="N469" s="17"/>
    </row>
    <row r="470" spans="1:34" ht="14.25" customHeight="1" x14ac:dyDescent="0.25">
      <c r="A470" s="15"/>
      <c r="B470" s="15"/>
      <c r="C470" s="15"/>
      <c r="D470" s="20"/>
      <c r="E470" s="20"/>
      <c r="F470" s="20"/>
      <c r="G470" s="20"/>
      <c r="H470" s="20"/>
      <c r="I470" s="21"/>
      <c r="J470" s="15"/>
      <c r="K470" s="21"/>
      <c r="M470" s="19"/>
      <c r="N470" s="17"/>
    </row>
    <row r="471" spans="1:34" ht="14.25" customHeight="1" x14ac:dyDescent="0.25">
      <c r="A471" s="15"/>
      <c r="B471" s="15"/>
      <c r="C471" s="15"/>
      <c r="D471" s="20"/>
      <c r="E471" s="20"/>
      <c r="F471" s="20"/>
      <c r="G471" s="20"/>
      <c r="H471" s="20"/>
      <c r="I471" s="21"/>
      <c r="J471" s="15"/>
      <c r="K471" s="21"/>
      <c r="M471" s="19"/>
      <c r="N471" s="17"/>
    </row>
    <row r="472" spans="1:34" ht="14.25" customHeight="1" x14ac:dyDescent="0.25">
      <c r="A472" s="15"/>
      <c r="B472" s="15"/>
      <c r="C472" s="15"/>
      <c r="D472" s="20"/>
      <c r="E472" s="20"/>
      <c r="F472" s="20"/>
      <c r="G472" s="20"/>
      <c r="H472" s="20"/>
      <c r="I472" s="21"/>
      <c r="J472" s="15"/>
      <c r="K472" s="21"/>
      <c r="M472" s="19"/>
      <c r="N472" s="17"/>
    </row>
    <row r="473" spans="1:34" ht="14.25" customHeight="1" x14ac:dyDescent="0.25">
      <c r="A473" s="15"/>
      <c r="B473" s="15"/>
      <c r="C473" s="15"/>
      <c r="D473" s="20"/>
      <c r="E473" s="20"/>
      <c r="F473" s="20"/>
      <c r="G473" s="20"/>
      <c r="H473" s="20"/>
      <c r="I473" s="21"/>
      <c r="J473" s="15"/>
      <c r="K473" s="21"/>
      <c r="M473" s="19"/>
      <c r="N473" s="17"/>
    </row>
    <row r="474" spans="1:34" ht="14.25" customHeight="1" x14ac:dyDescent="0.25">
      <c r="A474" s="15"/>
      <c r="B474" s="15"/>
      <c r="C474" s="15"/>
      <c r="D474" s="20"/>
      <c r="E474" s="20"/>
      <c r="F474" s="20"/>
      <c r="G474" s="20"/>
      <c r="H474" s="20"/>
      <c r="I474" s="21"/>
      <c r="J474" s="15"/>
      <c r="K474" s="21"/>
      <c r="M474" s="19"/>
      <c r="N474" s="17"/>
    </row>
    <row r="475" spans="1:34" ht="14.25" customHeight="1" x14ac:dyDescent="0.25">
      <c r="A475" s="15"/>
      <c r="B475" s="15"/>
      <c r="C475" s="15"/>
      <c r="D475" s="20"/>
      <c r="E475" s="20"/>
      <c r="F475" s="20"/>
      <c r="G475" s="20"/>
      <c r="H475" s="20"/>
      <c r="I475" s="21"/>
      <c r="J475" s="15"/>
      <c r="K475" s="21"/>
      <c r="M475" s="19"/>
      <c r="N475" s="17"/>
    </row>
    <row r="476" spans="1:34" ht="14.25" customHeight="1" x14ac:dyDescent="0.25">
      <c r="A476" s="15"/>
      <c r="B476" s="15"/>
      <c r="C476" s="15"/>
      <c r="D476" s="20"/>
      <c r="E476" s="20"/>
      <c r="F476" s="20"/>
      <c r="G476" s="20"/>
      <c r="H476" s="20"/>
      <c r="I476" s="21"/>
      <c r="J476" s="15"/>
      <c r="K476" s="21"/>
      <c r="M476" s="19"/>
      <c r="N476" s="17"/>
    </row>
    <row r="477" spans="1:34" ht="14.25" customHeight="1" x14ac:dyDescent="0.25">
      <c r="A477" s="15"/>
      <c r="B477" s="15"/>
      <c r="C477" s="15"/>
      <c r="D477" s="20"/>
      <c r="E477" s="20"/>
      <c r="F477" s="20"/>
      <c r="G477" s="20"/>
      <c r="H477" s="20"/>
      <c r="I477" s="21"/>
      <c r="J477" s="15"/>
      <c r="K477" s="21"/>
      <c r="M477" s="19"/>
      <c r="N477" s="17"/>
    </row>
    <row r="478" spans="1:34" ht="14.25" customHeight="1" x14ac:dyDescent="0.25">
      <c r="A478" s="15"/>
      <c r="B478" s="15"/>
      <c r="C478" s="15"/>
      <c r="D478" s="20"/>
      <c r="E478" s="20"/>
      <c r="F478" s="20"/>
      <c r="G478" s="20"/>
      <c r="H478" s="20"/>
      <c r="I478" s="21"/>
      <c r="J478" s="15"/>
      <c r="K478" s="21"/>
      <c r="M478" s="19"/>
      <c r="N478" s="17"/>
    </row>
    <row r="479" spans="1:34" ht="14.25" customHeight="1" x14ac:dyDescent="0.25">
      <c r="A479" s="15"/>
      <c r="B479" s="15"/>
      <c r="C479" s="15"/>
      <c r="D479" s="20"/>
      <c r="E479" s="20"/>
      <c r="F479" s="20"/>
      <c r="G479" s="20"/>
      <c r="H479" s="20"/>
      <c r="I479" s="21"/>
      <c r="J479" s="15"/>
      <c r="K479" s="21"/>
      <c r="M479" s="19"/>
      <c r="N479" s="17"/>
    </row>
    <row r="480" spans="1:34" ht="14.25" customHeight="1" x14ac:dyDescent="0.25">
      <c r="A480" s="15"/>
      <c r="B480" s="15"/>
      <c r="C480" s="15"/>
      <c r="D480" s="20"/>
      <c r="E480" s="20"/>
      <c r="F480" s="20"/>
      <c r="G480" s="20"/>
      <c r="H480" s="20"/>
      <c r="I480" s="21"/>
      <c r="J480" s="15"/>
      <c r="K480" s="21"/>
      <c r="M480" s="19"/>
      <c r="N480" s="17"/>
    </row>
    <row r="481" spans="1:14" ht="14.25" customHeight="1" x14ac:dyDescent="0.25">
      <c r="A481" s="15"/>
      <c r="B481" s="15"/>
      <c r="C481" s="15"/>
      <c r="D481" s="20"/>
      <c r="E481" s="20"/>
      <c r="F481" s="20"/>
      <c r="G481" s="20"/>
      <c r="H481" s="20"/>
      <c r="I481" s="21"/>
      <c r="J481" s="15"/>
      <c r="K481" s="21"/>
      <c r="M481" s="19"/>
      <c r="N481" s="17"/>
    </row>
    <row r="482" spans="1:14" ht="14.25" customHeight="1" x14ac:dyDescent="0.25">
      <c r="A482" s="15"/>
      <c r="B482" s="15"/>
      <c r="C482" s="15"/>
      <c r="D482" s="20"/>
      <c r="E482" s="20"/>
      <c r="F482" s="20"/>
      <c r="G482" s="20"/>
      <c r="H482" s="20"/>
      <c r="I482" s="21"/>
      <c r="J482" s="15"/>
      <c r="K482" s="21"/>
      <c r="M482" s="19"/>
      <c r="N482" s="17"/>
    </row>
    <row r="483" spans="1:14" ht="14.25" customHeight="1" x14ac:dyDescent="0.25">
      <c r="A483" s="15"/>
      <c r="B483" s="15"/>
      <c r="C483" s="15"/>
      <c r="D483" s="20"/>
      <c r="E483" s="20"/>
      <c r="F483" s="20"/>
      <c r="G483" s="20"/>
      <c r="H483" s="20"/>
      <c r="I483" s="21"/>
      <c r="J483" s="15"/>
      <c r="K483" s="21"/>
      <c r="M483" s="19"/>
      <c r="N483" s="17"/>
    </row>
    <row r="484" spans="1:14" ht="14.25" customHeight="1" x14ac:dyDescent="0.25">
      <c r="A484" s="15"/>
      <c r="B484" s="15"/>
      <c r="C484" s="15"/>
      <c r="D484" s="20"/>
      <c r="E484" s="20"/>
      <c r="F484" s="20"/>
      <c r="G484" s="20"/>
      <c r="H484" s="20"/>
      <c r="I484" s="21"/>
      <c r="J484" s="15"/>
      <c r="K484" s="21"/>
      <c r="M484" s="19"/>
      <c r="N484" s="17"/>
    </row>
    <row r="485" spans="1:14" ht="14.25" customHeight="1" x14ac:dyDescent="0.25">
      <c r="A485" s="15"/>
      <c r="B485" s="15"/>
      <c r="C485" s="15"/>
      <c r="D485" s="20"/>
      <c r="E485" s="20"/>
      <c r="F485" s="20"/>
      <c r="G485" s="20"/>
      <c r="H485" s="20"/>
      <c r="I485" s="21"/>
      <c r="J485" s="15"/>
      <c r="K485" s="21"/>
      <c r="M485" s="19"/>
      <c r="N485" s="17"/>
    </row>
    <row r="486" spans="1:14" ht="14.25" customHeight="1" x14ac:dyDescent="0.25">
      <c r="A486" s="15"/>
      <c r="B486" s="15"/>
      <c r="C486" s="15"/>
      <c r="D486" s="20"/>
      <c r="E486" s="20"/>
      <c r="F486" s="20"/>
      <c r="G486" s="20"/>
      <c r="H486" s="20"/>
      <c r="I486" s="21"/>
      <c r="J486" s="15"/>
      <c r="K486" s="21"/>
      <c r="M486" s="19"/>
      <c r="N486" s="17"/>
    </row>
    <row r="487" spans="1:14" ht="14.25" customHeight="1" x14ac:dyDescent="0.25">
      <c r="A487" s="15"/>
      <c r="B487" s="15"/>
      <c r="C487" s="15"/>
      <c r="D487" s="20"/>
      <c r="E487" s="20"/>
      <c r="F487" s="20"/>
      <c r="G487" s="20"/>
      <c r="H487" s="20"/>
      <c r="I487" s="21"/>
      <c r="J487" s="15"/>
      <c r="K487" s="21"/>
      <c r="M487" s="19"/>
      <c r="N487" s="17"/>
    </row>
    <row r="488" spans="1:14" ht="14.25" customHeight="1" x14ac:dyDescent="0.25">
      <c r="A488" s="15"/>
      <c r="B488" s="15"/>
      <c r="C488" s="15"/>
      <c r="D488" s="20"/>
      <c r="E488" s="20"/>
      <c r="F488" s="20"/>
      <c r="G488" s="20"/>
      <c r="H488" s="20"/>
      <c r="I488" s="21"/>
      <c r="J488" s="15"/>
      <c r="K488" s="21"/>
      <c r="M488" s="19"/>
      <c r="N488" s="17"/>
    </row>
    <row r="489" spans="1:14" ht="14.25" customHeight="1" x14ac:dyDescent="0.25">
      <c r="A489" s="15"/>
      <c r="B489" s="15"/>
      <c r="C489" s="15"/>
      <c r="D489" s="20"/>
      <c r="E489" s="20"/>
      <c r="F489" s="20"/>
      <c r="G489" s="20"/>
      <c r="H489" s="20"/>
      <c r="I489" s="21"/>
      <c r="J489" s="15"/>
      <c r="K489" s="21"/>
      <c r="M489" s="19"/>
      <c r="N489" s="17"/>
    </row>
    <row r="490" spans="1:14" ht="14.25" customHeight="1" x14ac:dyDescent="0.25">
      <c r="A490" s="15"/>
      <c r="B490" s="15"/>
      <c r="C490" s="15"/>
      <c r="D490" s="20"/>
      <c r="E490" s="20"/>
      <c r="F490" s="20"/>
      <c r="G490" s="20"/>
      <c r="H490" s="20"/>
      <c r="I490" s="21"/>
      <c r="J490" s="15"/>
      <c r="K490" s="21"/>
      <c r="M490" s="19"/>
      <c r="N490" s="17"/>
    </row>
    <row r="491" spans="1:14" ht="14.25" customHeight="1" x14ac:dyDescent="0.25">
      <c r="A491" s="15"/>
      <c r="B491" s="15"/>
      <c r="C491" s="15"/>
      <c r="D491" s="20"/>
      <c r="E491" s="20"/>
      <c r="F491" s="20"/>
      <c r="G491" s="20"/>
      <c r="H491" s="20"/>
      <c r="I491" s="21"/>
      <c r="J491" s="15"/>
      <c r="K491" s="21"/>
      <c r="M491" s="19"/>
      <c r="N491" s="17"/>
    </row>
    <row r="492" spans="1:14" ht="14.25" customHeight="1" x14ac:dyDescent="0.25">
      <c r="A492" s="15"/>
      <c r="B492" s="15"/>
      <c r="C492" s="15"/>
      <c r="D492" s="20"/>
      <c r="E492" s="20"/>
      <c r="F492" s="20"/>
      <c r="G492" s="20"/>
      <c r="H492" s="20"/>
      <c r="I492" s="21"/>
      <c r="J492" s="15"/>
      <c r="K492" s="21"/>
      <c r="M492" s="19"/>
      <c r="N492" s="17"/>
    </row>
    <row r="493" spans="1:14" ht="14.25" customHeight="1" x14ac:dyDescent="0.25">
      <c r="A493" s="15"/>
      <c r="B493" s="15"/>
      <c r="C493" s="15"/>
      <c r="D493" s="20"/>
      <c r="E493" s="20"/>
      <c r="F493" s="20"/>
      <c r="G493" s="20"/>
      <c r="H493" s="20"/>
      <c r="I493" s="21"/>
      <c r="J493" s="15"/>
      <c r="K493" s="21"/>
      <c r="M493" s="19"/>
      <c r="N493" s="17"/>
    </row>
    <row r="494" spans="1:14" ht="14.25" customHeight="1" x14ac:dyDescent="0.25">
      <c r="A494" s="15"/>
      <c r="B494" s="15"/>
      <c r="C494" s="15"/>
      <c r="D494" s="20"/>
      <c r="E494" s="20"/>
      <c r="F494" s="20"/>
      <c r="G494" s="20"/>
      <c r="H494" s="20"/>
      <c r="I494" s="21"/>
      <c r="J494" s="15"/>
      <c r="K494" s="21"/>
      <c r="M494" s="19"/>
      <c r="N494" s="17"/>
    </row>
    <row r="495" spans="1:14" ht="14.25" customHeight="1" x14ac:dyDescent="0.25">
      <c r="A495" s="15"/>
      <c r="B495" s="15"/>
      <c r="C495" s="15"/>
      <c r="D495" s="20"/>
      <c r="E495" s="20"/>
      <c r="F495" s="20"/>
      <c r="G495" s="20"/>
      <c r="H495" s="20"/>
      <c r="I495" s="21"/>
      <c r="J495" s="15"/>
      <c r="K495" s="21"/>
      <c r="M495" s="19"/>
      <c r="N495" s="17"/>
    </row>
    <row r="496" spans="1:14" ht="14.25" customHeight="1" x14ac:dyDescent="0.25">
      <c r="A496" s="15"/>
      <c r="B496" s="15"/>
      <c r="C496" s="15"/>
      <c r="D496" s="20"/>
      <c r="E496" s="20"/>
      <c r="F496" s="20"/>
      <c r="G496" s="20"/>
      <c r="H496" s="20"/>
      <c r="I496" s="21"/>
      <c r="J496" s="15"/>
      <c r="K496" s="21"/>
      <c r="M496" s="19"/>
      <c r="N496" s="17"/>
    </row>
    <row r="497" spans="1:14" ht="14.25" customHeight="1" x14ac:dyDescent="0.25">
      <c r="A497" s="15"/>
      <c r="B497" s="15"/>
      <c r="C497" s="15"/>
      <c r="D497" s="20"/>
      <c r="E497" s="20"/>
      <c r="F497" s="20"/>
      <c r="G497" s="20"/>
      <c r="H497" s="20"/>
      <c r="I497" s="21"/>
      <c r="J497" s="15"/>
      <c r="K497" s="21"/>
      <c r="M497" s="19"/>
      <c r="N497" s="17"/>
    </row>
    <row r="498" spans="1:14" ht="14.25" customHeight="1" x14ac:dyDescent="0.25">
      <c r="A498" s="15"/>
      <c r="B498" s="15"/>
      <c r="C498" s="15"/>
      <c r="D498" s="20"/>
      <c r="E498" s="20"/>
      <c r="F498" s="20"/>
      <c r="G498" s="20"/>
      <c r="H498" s="20"/>
      <c r="I498" s="21"/>
      <c r="J498" s="15"/>
      <c r="K498" s="21"/>
      <c r="M498" s="19"/>
      <c r="N498" s="17"/>
    </row>
    <row r="499" spans="1:14" ht="14.25" customHeight="1" x14ac:dyDescent="0.25">
      <c r="A499" s="15"/>
      <c r="B499" s="15"/>
      <c r="C499" s="15"/>
      <c r="D499" s="20"/>
      <c r="E499" s="20"/>
      <c r="F499" s="20"/>
      <c r="G499" s="20"/>
      <c r="H499" s="20"/>
      <c r="I499" s="21"/>
      <c r="J499" s="15"/>
      <c r="K499" s="21"/>
      <c r="M499" s="19"/>
      <c r="N499" s="17"/>
    </row>
    <row r="500" spans="1:14" ht="14.25" customHeight="1" x14ac:dyDescent="0.25">
      <c r="A500" s="15"/>
      <c r="B500" s="15"/>
      <c r="C500" s="15"/>
      <c r="D500" s="20"/>
      <c r="E500" s="20"/>
      <c r="F500" s="20"/>
      <c r="G500" s="20"/>
      <c r="H500" s="20"/>
      <c r="I500" s="21"/>
      <c r="J500" s="15"/>
      <c r="K500" s="21"/>
      <c r="M500" s="19"/>
      <c r="N500" s="17"/>
    </row>
    <row r="501" spans="1:14" ht="14.25" customHeight="1" x14ac:dyDescent="0.25">
      <c r="A501" s="15"/>
      <c r="B501" s="15"/>
      <c r="C501" s="15"/>
      <c r="D501" s="20"/>
      <c r="E501" s="20"/>
      <c r="F501" s="20"/>
      <c r="G501" s="20"/>
      <c r="H501" s="20"/>
      <c r="I501" s="21"/>
      <c r="J501" s="15"/>
      <c r="K501" s="21"/>
      <c r="M501" s="19"/>
      <c r="N501" s="17"/>
    </row>
    <row r="502" spans="1:14" ht="14.25" customHeight="1" x14ac:dyDescent="0.25">
      <c r="A502" s="15"/>
      <c r="B502" s="15"/>
      <c r="C502" s="15"/>
      <c r="D502" s="20"/>
      <c r="E502" s="20"/>
      <c r="F502" s="20"/>
      <c r="G502" s="20"/>
      <c r="H502" s="20"/>
      <c r="I502" s="21"/>
      <c r="J502" s="15"/>
      <c r="K502" s="21"/>
      <c r="M502" s="19"/>
      <c r="N502" s="17"/>
    </row>
    <row r="503" spans="1:14" ht="14.25" customHeight="1" x14ac:dyDescent="0.25">
      <c r="A503" s="15"/>
      <c r="B503" s="15"/>
      <c r="C503" s="15"/>
      <c r="D503" s="20"/>
      <c r="E503" s="20"/>
      <c r="F503" s="20"/>
      <c r="G503" s="20"/>
      <c r="H503" s="20"/>
      <c r="I503" s="21"/>
      <c r="J503" s="15"/>
      <c r="K503" s="21"/>
      <c r="M503" s="19"/>
      <c r="N503" s="17"/>
    </row>
    <row r="504" spans="1:14" ht="14.25" customHeight="1" x14ac:dyDescent="0.25">
      <c r="A504" s="15"/>
      <c r="B504" s="15"/>
      <c r="C504" s="15"/>
      <c r="D504" s="20"/>
      <c r="E504" s="20"/>
      <c r="F504" s="20"/>
      <c r="G504" s="20"/>
      <c r="H504" s="20"/>
      <c r="I504" s="21"/>
      <c r="J504" s="15"/>
      <c r="K504" s="21"/>
      <c r="M504" s="19"/>
      <c r="N504" s="17"/>
    </row>
    <row r="505" spans="1:14" ht="14.25" customHeight="1" x14ac:dyDescent="0.25">
      <c r="A505" s="15"/>
      <c r="B505" s="15"/>
      <c r="C505" s="15"/>
      <c r="D505" s="20"/>
      <c r="E505" s="20"/>
      <c r="F505" s="20"/>
      <c r="G505" s="20"/>
      <c r="H505" s="20"/>
      <c r="I505" s="21"/>
      <c r="J505" s="15"/>
      <c r="K505" s="21"/>
      <c r="M505" s="19"/>
      <c r="N505" s="17"/>
    </row>
    <row r="506" spans="1:14" ht="14.25" customHeight="1" x14ac:dyDescent="0.25">
      <c r="A506" s="15"/>
      <c r="B506" s="15"/>
      <c r="C506" s="15"/>
      <c r="D506" s="20"/>
      <c r="E506" s="20"/>
      <c r="F506" s="20"/>
      <c r="G506" s="20"/>
      <c r="H506" s="20"/>
      <c r="I506" s="21"/>
      <c r="J506" s="15"/>
      <c r="K506" s="21"/>
      <c r="M506" s="19"/>
      <c r="N506" s="17"/>
    </row>
    <row r="507" spans="1:14" ht="14.25" customHeight="1" x14ac:dyDescent="0.25">
      <c r="A507" s="15"/>
      <c r="B507" s="15"/>
      <c r="C507" s="15"/>
      <c r="D507" s="20"/>
      <c r="E507" s="20"/>
      <c r="F507" s="20"/>
      <c r="G507" s="20"/>
      <c r="H507" s="20"/>
      <c r="I507" s="21"/>
      <c r="J507" s="15"/>
      <c r="K507" s="21"/>
      <c r="M507" s="19"/>
      <c r="N507" s="17"/>
    </row>
    <row r="508" spans="1:14" ht="14.25" customHeight="1" x14ac:dyDescent="0.25">
      <c r="A508" s="15"/>
      <c r="B508" s="15"/>
      <c r="C508" s="15"/>
      <c r="D508" s="20"/>
      <c r="E508" s="20"/>
      <c r="F508" s="20"/>
      <c r="G508" s="20"/>
      <c r="H508" s="20"/>
      <c r="I508" s="21"/>
      <c r="J508" s="15"/>
      <c r="K508" s="21"/>
      <c r="M508" s="19"/>
      <c r="N508" s="17"/>
    </row>
    <row r="509" spans="1:14" ht="14.25" customHeight="1" x14ac:dyDescent="0.25">
      <c r="A509" s="15"/>
      <c r="B509" s="15"/>
      <c r="C509" s="15"/>
      <c r="D509" s="20"/>
      <c r="E509" s="20"/>
      <c r="F509" s="20"/>
      <c r="G509" s="20"/>
      <c r="H509" s="20"/>
      <c r="I509" s="21"/>
      <c r="J509" s="15"/>
      <c r="K509" s="21"/>
      <c r="M509" s="19"/>
      <c r="N509" s="17"/>
    </row>
    <row r="510" spans="1:14" ht="14.25" customHeight="1" x14ac:dyDescent="0.25">
      <c r="A510" s="15"/>
      <c r="B510" s="15"/>
      <c r="C510" s="15"/>
      <c r="D510" s="20"/>
      <c r="E510" s="20"/>
      <c r="F510" s="20"/>
      <c r="G510" s="20"/>
      <c r="H510" s="20"/>
      <c r="I510" s="21"/>
      <c r="J510" s="15"/>
      <c r="K510" s="21"/>
      <c r="M510" s="19"/>
      <c r="N510" s="17"/>
    </row>
    <row r="511" spans="1:14" ht="14.25" customHeight="1" x14ac:dyDescent="0.25">
      <c r="A511" s="15"/>
      <c r="B511" s="15"/>
      <c r="C511" s="15"/>
      <c r="D511" s="20"/>
      <c r="E511" s="20"/>
      <c r="F511" s="20"/>
      <c r="G511" s="20"/>
      <c r="H511" s="20"/>
      <c r="I511" s="21"/>
      <c r="J511" s="15"/>
      <c r="K511" s="21"/>
      <c r="M511" s="19"/>
      <c r="N511" s="17"/>
    </row>
    <row r="512" spans="1:14" ht="14.25" customHeight="1" x14ac:dyDescent="0.25">
      <c r="A512" s="15"/>
      <c r="B512" s="15"/>
      <c r="C512" s="15"/>
      <c r="D512" s="20"/>
      <c r="E512" s="20"/>
      <c r="F512" s="20"/>
      <c r="G512" s="20"/>
      <c r="H512" s="20"/>
      <c r="I512" s="21"/>
      <c r="J512" s="15"/>
      <c r="K512" s="21"/>
      <c r="M512" s="19"/>
      <c r="N512" s="17"/>
    </row>
    <row r="513" spans="1:14" ht="14.25" customHeight="1" x14ac:dyDescent="0.25">
      <c r="A513" s="15"/>
      <c r="B513" s="15"/>
      <c r="C513" s="15"/>
      <c r="D513" s="20"/>
      <c r="E513" s="20"/>
      <c r="F513" s="20"/>
      <c r="G513" s="20"/>
      <c r="H513" s="20"/>
      <c r="I513" s="21"/>
      <c r="J513" s="15"/>
      <c r="K513" s="21"/>
      <c r="M513" s="19"/>
      <c r="N513" s="17"/>
    </row>
    <row r="514" spans="1:14" ht="14.25" customHeight="1" x14ac:dyDescent="0.25">
      <c r="A514" s="15"/>
      <c r="B514" s="15"/>
      <c r="C514" s="15"/>
      <c r="D514" s="20"/>
      <c r="E514" s="20"/>
      <c r="F514" s="20"/>
      <c r="G514" s="20"/>
      <c r="H514" s="20"/>
      <c r="I514" s="21"/>
      <c r="J514" s="15"/>
      <c r="K514" s="21"/>
      <c r="M514" s="19"/>
      <c r="N514" s="17"/>
    </row>
    <row r="515" spans="1:14" ht="14.25" customHeight="1" x14ac:dyDescent="0.25">
      <c r="A515" s="15"/>
      <c r="B515" s="15"/>
      <c r="C515" s="15"/>
      <c r="D515" s="20"/>
      <c r="E515" s="20"/>
      <c r="F515" s="20"/>
      <c r="G515" s="20"/>
      <c r="H515" s="20"/>
      <c r="I515" s="21"/>
      <c r="J515" s="15"/>
      <c r="K515" s="21"/>
      <c r="M515" s="19"/>
      <c r="N515" s="17"/>
    </row>
    <row r="516" spans="1:14" ht="14.25" customHeight="1" x14ac:dyDescent="0.25">
      <c r="A516" s="15"/>
      <c r="B516" s="15"/>
      <c r="C516" s="15"/>
      <c r="D516" s="20"/>
      <c r="E516" s="20"/>
      <c r="F516" s="20"/>
      <c r="G516" s="20"/>
      <c r="H516" s="20"/>
      <c r="I516" s="21"/>
      <c r="J516" s="15"/>
      <c r="K516" s="21"/>
      <c r="M516" s="19"/>
      <c r="N516" s="17"/>
    </row>
    <row r="517" spans="1:14" ht="14.25" customHeight="1" x14ac:dyDescent="0.25">
      <c r="A517" s="15"/>
      <c r="B517" s="15"/>
      <c r="C517" s="15"/>
      <c r="D517" s="20"/>
      <c r="E517" s="20"/>
      <c r="F517" s="20"/>
      <c r="G517" s="20"/>
      <c r="H517" s="20"/>
      <c r="I517" s="21"/>
      <c r="J517" s="15"/>
      <c r="K517" s="21"/>
      <c r="M517" s="19"/>
      <c r="N517" s="17"/>
    </row>
    <row r="518" spans="1:14" ht="14.25" customHeight="1" x14ac:dyDescent="0.25">
      <c r="A518" s="15"/>
      <c r="B518" s="15"/>
      <c r="C518" s="15"/>
      <c r="D518" s="20"/>
      <c r="E518" s="20"/>
      <c r="F518" s="20"/>
      <c r="G518" s="20"/>
      <c r="H518" s="20"/>
      <c r="I518" s="21"/>
      <c r="J518" s="15"/>
      <c r="K518" s="21"/>
      <c r="M518" s="19"/>
      <c r="N518" s="17"/>
    </row>
    <row r="519" spans="1:14" ht="14.25" customHeight="1" x14ac:dyDescent="0.25">
      <c r="A519" s="15"/>
      <c r="B519" s="15"/>
      <c r="C519" s="15"/>
      <c r="D519" s="20"/>
      <c r="E519" s="20"/>
      <c r="F519" s="20"/>
      <c r="G519" s="20"/>
      <c r="H519" s="20"/>
      <c r="I519" s="21"/>
      <c r="J519" s="15"/>
      <c r="K519" s="21"/>
      <c r="M519" s="19"/>
      <c r="N519" s="17"/>
    </row>
    <row r="520" spans="1:14" ht="14.25" customHeight="1" x14ac:dyDescent="0.25">
      <c r="A520" s="15"/>
      <c r="B520" s="15"/>
      <c r="C520" s="15"/>
      <c r="D520" s="20"/>
      <c r="E520" s="20"/>
      <c r="F520" s="20"/>
      <c r="G520" s="20"/>
      <c r="H520" s="20"/>
      <c r="I520" s="21"/>
      <c r="J520" s="15"/>
      <c r="K520" s="21"/>
      <c r="M520" s="19"/>
      <c r="N520" s="17"/>
    </row>
    <row r="521" spans="1:14" ht="14.25" customHeight="1" x14ac:dyDescent="0.25">
      <c r="A521" s="15"/>
      <c r="B521" s="15"/>
      <c r="C521" s="15"/>
      <c r="D521" s="20"/>
      <c r="E521" s="20"/>
      <c r="F521" s="20"/>
      <c r="G521" s="20"/>
      <c r="H521" s="20"/>
      <c r="I521" s="21"/>
      <c r="J521" s="15"/>
      <c r="K521" s="21"/>
      <c r="M521" s="19"/>
      <c r="N521" s="17"/>
    </row>
    <row r="522" spans="1:14" ht="14.25" customHeight="1" x14ac:dyDescent="0.25">
      <c r="A522" s="15"/>
      <c r="B522" s="15"/>
      <c r="C522" s="15"/>
      <c r="D522" s="20"/>
      <c r="E522" s="20"/>
      <c r="F522" s="20"/>
      <c r="G522" s="20"/>
      <c r="H522" s="20"/>
      <c r="I522" s="21"/>
      <c r="J522" s="15"/>
      <c r="K522" s="21"/>
      <c r="M522" s="19"/>
      <c r="N522" s="17"/>
    </row>
    <row r="523" spans="1:14" ht="14.25" customHeight="1" x14ac:dyDescent="0.25">
      <c r="A523" s="15"/>
      <c r="B523" s="15"/>
      <c r="C523" s="15"/>
      <c r="D523" s="20"/>
      <c r="E523" s="20"/>
      <c r="F523" s="20"/>
      <c r="G523" s="20"/>
      <c r="H523" s="20"/>
      <c r="I523" s="21"/>
      <c r="J523" s="15"/>
      <c r="K523" s="21"/>
      <c r="M523" s="19"/>
      <c r="N523" s="17"/>
    </row>
    <row r="524" spans="1:14" ht="14.25" customHeight="1" x14ac:dyDescent="0.25">
      <c r="A524" s="15"/>
      <c r="B524" s="15"/>
      <c r="C524" s="15"/>
      <c r="D524" s="20"/>
      <c r="E524" s="20"/>
      <c r="F524" s="20"/>
      <c r="G524" s="20"/>
      <c r="H524" s="20"/>
      <c r="I524" s="21"/>
      <c r="J524" s="15"/>
      <c r="K524" s="21"/>
      <c r="M524" s="19"/>
      <c r="N524" s="17"/>
    </row>
    <row r="525" spans="1:14" ht="14.25" customHeight="1" x14ac:dyDescent="0.25">
      <c r="A525" s="15"/>
      <c r="B525" s="15"/>
      <c r="C525" s="15"/>
      <c r="D525" s="20"/>
      <c r="E525" s="20"/>
      <c r="F525" s="20"/>
      <c r="G525" s="20"/>
      <c r="H525" s="20"/>
      <c r="I525" s="21"/>
      <c r="J525" s="15"/>
      <c r="K525" s="21"/>
      <c r="M525" s="19"/>
      <c r="N525" s="17"/>
    </row>
    <row r="526" spans="1:14" ht="14.25" customHeight="1" x14ac:dyDescent="0.25">
      <c r="A526" s="15"/>
      <c r="B526" s="15"/>
      <c r="C526" s="15"/>
      <c r="D526" s="20"/>
      <c r="E526" s="20"/>
      <c r="F526" s="20"/>
      <c r="G526" s="20"/>
      <c r="H526" s="20"/>
      <c r="I526" s="21"/>
      <c r="J526" s="15"/>
      <c r="K526" s="21"/>
      <c r="M526" s="19"/>
      <c r="N526" s="17"/>
    </row>
    <row r="527" spans="1:14" ht="14.25" customHeight="1" x14ac:dyDescent="0.25">
      <c r="A527" s="15"/>
      <c r="B527" s="15"/>
      <c r="C527" s="15"/>
      <c r="D527" s="20"/>
      <c r="E527" s="20"/>
      <c r="F527" s="20"/>
      <c r="G527" s="20"/>
      <c r="H527" s="20"/>
      <c r="I527" s="21"/>
      <c r="J527" s="15"/>
      <c r="K527" s="21"/>
      <c r="M527" s="19"/>
      <c r="N527" s="17"/>
    </row>
    <row r="528" spans="1:14" ht="14.25" customHeight="1" x14ac:dyDescent="0.25">
      <c r="A528" s="15"/>
      <c r="B528" s="15"/>
      <c r="C528" s="15"/>
      <c r="D528" s="20"/>
      <c r="E528" s="20"/>
      <c r="F528" s="20"/>
      <c r="G528" s="20"/>
      <c r="H528" s="20"/>
      <c r="I528" s="21"/>
      <c r="J528" s="15"/>
      <c r="K528" s="21"/>
      <c r="M528" s="19"/>
      <c r="N528" s="17"/>
    </row>
    <row r="529" spans="1:14" ht="14.25" customHeight="1" x14ac:dyDescent="0.25">
      <c r="A529" s="15"/>
      <c r="B529" s="15"/>
      <c r="C529" s="15"/>
      <c r="D529" s="20"/>
      <c r="E529" s="20"/>
      <c r="F529" s="20"/>
      <c r="G529" s="20"/>
      <c r="H529" s="20"/>
      <c r="I529" s="21"/>
      <c r="J529" s="15"/>
      <c r="K529" s="21"/>
      <c r="M529" s="19"/>
      <c r="N529" s="17"/>
    </row>
    <row r="530" spans="1:14" ht="14.25" customHeight="1" x14ac:dyDescent="0.25">
      <c r="A530" s="15"/>
      <c r="B530" s="15"/>
      <c r="C530" s="15"/>
      <c r="D530" s="20"/>
      <c r="E530" s="20"/>
      <c r="F530" s="20"/>
      <c r="G530" s="20"/>
      <c r="H530" s="20"/>
      <c r="I530" s="21"/>
      <c r="J530" s="15"/>
      <c r="K530" s="21"/>
      <c r="M530" s="19"/>
      <c r="N530" s="17"/>
    </row>
    <row r="531" spans="1:14" ht="14.25" customHeight="1" x14ac:dyDescent="0.25">
      <c r="A531" s="15"/>
      <c r="B531" s="15"/>
      <c r="C531" s="15"/>
      <c r="D531" s="20"/>
      <c r="E531" s="20"/>
      <c r="F531" s="20"/>
      <c r="G531" s="20"/>
      <c r="H531" s="20"/>
      <c r="I531" s="21"/>
      <c r="J531" s="15"/>
      <c r="K531" s="21"/>
      <c r="M531" s="19"/>
      <c r="N531" s="17"/>
    </row>
    <row r="532" spans="1:14" ht="14.25" customHeight="1" x14ac:dyDescent="0.25">
      <c r="A532" s="15"/>
      <c r="B532" s="15"/>
      <c r="C532" s="15"/>
      <c r="D532" s="20"/>
      <c r="E532" s="20"/>
      <c r="F532" s="20"/>
      <c r="G532" s="20"/>
      <c r="H532" s="20"/>
      <c r="I532" s="21"/>
      <c r="J532" s="15"/>
      <c r="K532" s="21"/>
      <c r="M532" s="19"/>
      <c r="N532" s="17"/>
    </row>
    <row r="533" spans="1:14" ht="14.25" customHeight="1" x14ac:dyDescent="0.25">
      <c r="A533" s="15"/>
      <c r="B533" s="15"/>
      <c r="C533" s="15"/>
      <c r="D533" s="20"/>
      <c r="E533" s="20"/>
      <c r="F533" s="20"/>
      <c r="G533" s="20"/>
      <c r="H533" s="20"/>
      <c r="I533" s="21"/>
      <c r="J533" s="15"/>
      <c r="K533" s="21"/>
      <c r="M533" s="19"/>
      <c r="N533" s="17"/>
    </row>
    <row r="534" spans="1:14" ht="14.25" customHeight="1" x14ac:dyDescent="0.25">
      <c r="A534" s="15"/>
      <c r="B534" s="15"/>
      <c r="C534" s="15"/>
      <c r="D534" s="20"/>
      <c r="E534" s="20"/>
      <c r="F534" s="20"/>
      <c r="G534" s="20"/>
      <c r="H534" s="20"/>
      <c r="I534" s="21"/>
      <c r="J534" s="15"/>
      <c r="K534" s="21"/>
      <c r="M534" s="19"/>
      <c r="N534" s="17"/>
    </row>
    <row r="535" spans="1:14" ht="14.25" customHeight="1" x14ac:dyDescent="0.25">
      <c r="A535" s="15"/>
      <c r="B535" s="15"/>
      <c r="C535" s="15"/>
      <c r="D535" s="20"/>
      <c r="E535" s="20"/>
      <c r="F535" s="20"/>
      <c r="G535" s="20"/>
      <c r="H535" s="20"/>
      <c r="I535" s="21"/>
      <c r="J535" s="15"/>
      <c r="K535" s="21"/>
      <c r="M535" s="19"/>
      <c r="N535" s="17"/>
    </row>
    <row r="536" spans="1:14" ht="14.25" customHeight="1" x14ac:dyDescent="0.25">
      <c r="A536" s="15"/>
      <c r="B536" s="15"/>
      <c r="C536" s="15"/>
      <c r="D536" s="20"/>
      <c r="E536" s="20"/>
      <c r="F536" s="20"/>
      <c r="G536" s="20"/>
      <c r="H536" s="20"/>
      <c r="I536" s="21"/>
      <c r="J536" s="15"/>
      <c r="K536" s="21"/>
      <c r="M536" s="19"/>
      <c r="N536" s="17"/>
    </row>
    <row r="537" spans="1:14" ht="14.25" customHeight="1" x14ac:dyDescent="0.25">
      <c r="A537" s="15"/>
      <c r="B537" s="15"/>
      <c r="C537" s="15"/>
      <c r="D537" s="20"/>
      <c r="E537" s="20"/>
      <c r="F537" s="20"/>
      <c r="G537" s="20"/>
      <c r="H537" s="20"/>
      <c r="I537" s="21"/>
      <c r="J537" s="15"/>
      <c r="K537" s="21"/>
      <c r="M537" s="19"/>
      <c r="N537" s="17"/>
    </row>
    <row r="538" spans="1:14" ht="14.25" customHeight="1" x14ac:dyDescent="0.25">
      <c r="A538" s="15"/>
      <c r="B538" s="15"/>
      <c r="C538" s="15"/>
      <c r="D538" s="20"/>
      <c r="E538" s="20"/>
      <c r="F538" s="20"/>
      <c r="G538" s="20"/>
      <c r="H538" s="20"/>
      <c r="I538" s="21"/>
      <c r="J538" s="15"/>
      <c r="K538" s="21"/>
      <c r="M538" s="19"/>
      <c r="N538" s="17"/>
    </row>
    <row r="539" spans="1:14" ht="14.25" customHeight="1" x14ac:dyDescent="0.25">
      <c r="A539" s="15"/>
      <c r="B539" s="15"/>
      <c r="C539" s="15"/>
      <c r="D539" s="20"/>
      <c r="E539" s="20"/>
      <c r="F539" s="20"/>
      <c r="G539" s="20"/>
      <c r="H539" s="20"/>
      <c r="I539" s="21"/>
      <c r="J539" s="15"/>
      <c r="K539" s="21"/>
      <c r="M539" s="19"/>
      <c r="N539" s="17"/>
    </row>
    <row r="540" spans="1:14" ht="14.25" customHeight="1" x14ac:dyDescent="0.25">
      <c r="A540" s="15"/>
      <c r="B540" s="15"/>
      <c r="C540" s="15"/>
      <c r="D540" s="20"/>
      <c r="E540" s="20"/>
      <c r="F540" s="20"/>
      <c r="G540" s="20"/>
      <c r="H540" s="20"/>
      <c r="I540" s="21"/>
      <c r="J540" s="15"/>
      <c r="K540" s="21"/>
      <c r="M540" s="19"/>
      <c r="N540" s="17"/>
    </row>
    <row r="541" spans="1:14" ht="14.25" customHeight="1" x14ac:dyDescent="0.25">
      <c r="A541" s="15"/>
      <c r="B541" s="15"/>
      <c r="C541" s="15"/>
      <c r="D541" s="20"/>
      <c r="E541" s="20"/>
      <c r="F541" s="20"/>
      <c r="G541" s="20"/>
      <c r="H541" s="20"/>
      <c r="I541" s="21"/>
      <c r="J541" s="15"/>
      <c r="K541" s="21"/>
      <c r="M541" s="19"/>
      <c r="N541" s="17"/>
    </row>
    <row r="542" spans="1:14" ht="14.25" customHeight="1" x14ac:dyDescent="0.25">
      <c r="A542" s="15"/>
      <c r="B542" s="15"/>
      <c r="C542" s="15"/>
      <c r="D542" s="20"/>
      <c r="E542" s="20"/>
      <c r="F542" s="20"/>
      <c r="G542" s="20"/>
      <c r="H542" s="20"/>
      <c r="I542" s="21"/>
      <c r="J542" s="15"/>
      <c r="K542" s="21"/>
      <c r="M542" s="19"/>
      <c r="N542" s="17"/>
    </row>
    <row r="543" spans="1:14" ht="14.25" customHeight="1" x14ac:dyDescent="0.25">
      <c r="A543" s="15"/>
      <c r="B543" s="15"/>
      <c r="C543" s="15"/>
      <c r="D543" s="20"/>
      <c r="E543" s="20"/>
      <c r="F543" s="20"/>
      <c r="G543" s="20"/>
      <c r="H543" s="20"/>
      <c r="I543" s="21"/>
      <c r="J543" s="15"/>
      <c r="K543" s="21"/>
      <c r="M543" s="19"/>
      <c r="N543" s="17"/>
    </row>
    <row r="544" spans="1:14" ht="14.25" customHeight="1" x14ac:dyDescent="0.25">
      <c r="A544" s="15"/>
      <c r="B544" s="15"/>
      <c r="C544" s="15"/>
      <c r="D544" s="20"/>
      <c r="E544" s="20"/>
      <c r="F544" s="20"/>
      <c r="G544" s="20"/>
      <c r="H544" s="20"/>
      <c r="I544" s="21"/>
      <c r="J544" s="15"/>
      <c r="K544" s="21"/>
      <c r="M544" s="19"/>
      <c r="N544" s="17"/>
    </row>
    <row r="545" spans="1:14" ht="14.25" customHeight="1" x14ac:dyDescent="0.25">
      <c r="A545" s="15"/>
      <c r="B545" s="15"/>
      <c r="C545" s="15"/>
      <c r="D545" s="20"/>
      <c r="E545" s="20"/>
      <c r="F545" s="20"/>
      <c r="G545" s="20"/>
      <c r="H545" s="20"/>
      <c r="I545" s="21"/>
      <c r="J545" s="15"/>
      <c r="K545" s="21"/>
      <c r="M545" s="19"/>
      <c r="N545" s="17"/>
    </row>
    <row r="546" spans="1:14" ht="14.25" customHeight="1" x14ac:dyDescent="0.25">
      <c r="A546" s="15"/>
      <c r="B546" s="15"/>
      <c r="C546" s="15"/>
      <c r="D546" s="20"/>
      <c r="E546" s="20"/>
      <c r="F546" s="20"/>
      <c r="G546" s="20"/>
      <c r="H546" s="20"/>
      <c r="I546" s="21"/>
      <c r="J546" s="15"/>
      <c r="K546" s="21"/>
      <c r="M546" s="19"/>
      <c r="N546" s="17"/>
    </row>
    <row r="547" spans="1:14" ht="14.25" customHeight="1" x14ac:dyDescent="0.25">
      <c r="A547" s="15"/>
      <c r="B547" s="15"/>
      <c r="C547" s="15"/>
      <c r="D547" s="20"/>
      <c r="E547" s="20"/>
      <c r="F547" s="20"/>
      <c r="G547" s="20"/>
      <c r="H547" s="20"/>
      <c r="I547" s="21"/>
      <c r="J547" s="15"/>
      <c r="K547" s="21"/>
      <c r="M547" s="19"/>
      <c r="N547" s="17"/>
    </row>
    <row r="548" spans="1:14" ht="14.25" customHeight="1" x14ac:dyDescent="0.25">
      <c r="A548" s="15"/>
      <c r="B548" s="15"/>
      <c r="C548" s="15"/>
      <c r="D548" s="20"/>
      <c r="E548" s="20"/>
      <c r="F548" s="20"/>
      <c r="G548" s="20"/>
      <c r="H548" s="20"/>
      <c r="I548" s="21"/>
      <c r="J548" s="15"/>
      <c r="K548" s="21"/>
      <c r="M548" s="19"/>
      <c r="N548" s="17"/>
    </row>
    <row r="549" spans="1:14" ht="14.25" customHeight="1" x14ac:dyDescent="0.25">
      <c r="A549" s="15"/>
      <c r="B549" s="15"/>
      <c r="C549" s="15"/>
      <c r="D549" s="20"/>
      <c r="E549" s="20"/>
      <c r="F549" s="20"/>
      <c r="G549" s="20"/>
      <c r="H549" s="20"/>
      <c r="I549" s="21"/>
      <c r="J549" s="15"/>
      <c r="K549" s="21"/>
      <c r="M549" s="19"/>
      <c r="N549" s="17"/>
    </row>
    <row r="550" spans="1:14" ht="14.25" customHeight="1" x14ac:dyDescent="0.25">
      <c r="A550" s="15"/>
      <c r="B550" s="15"/>
      <c r="C550" s="15"/>
      <c r="D550" s="20"/>
      <c r="E550" s="20"/>
      <c r="F550" s="20"/>
      <c r="G550" s="20"/>
      <c r="H550" s="20"/>
      <c r="I550" s="21"/>
      <c r="J550" s="15"/>
      <c r="K550" s="21"/>
      <c r="M550" s="19"/>
      <c r="N550" s="17"/>
    </row>
    <row r="551" spans="1:14" ht="14.25" customHeight="1" x14ac:dyDescent="0.25">
      <c r="A551" s="15"/>
      <c r="B551" s="15"/>
      <c r="C551" s="15"/>
      <c r="D551" s="20"/>
      <c r="E551" s="20"/>
      <c r="F551" s="20"/>
      <c r="G551" s="20"/>
      <c r="H551" s="20"/>
      <c r="I551" s="21"/>
      <c r="J551" s="15"/>
      <c r="K551" s="21"/>
      <c r="M551" s="19"/>
      <c r="N551" s="17"/>
    </row>
    <row r="552" spans="1:14" ht="14.25" customHeight="1" x14ac:dyDescent="0.25">
      <c r="A552" s="15"/>
      <c r="B552" s="15"/>
      <c r="C552" s="15"/>
      <c r="D552" s="20"/>
      <c r="E552" s="20"/>
      <c r="F552" s="20"/>
      <c r="G552" s="20"/>
      <c r="H552" s="20"/>
      <c r="I552" s="21"/>
      <c r="J552" s="15"/>
      <c r="K552" s="21"/>
      <c r="M552" s="19"/>
      <c r="N552" s="17"/>
    </row>
    <row r="553" spans="1:14" ht="14.25" customHeight="1" x14ac:dyDescent="0.25">
      <c r="A553" s="15"/>
      <c r="B553" s="15"/>
      <c r="C553" s="15"/>
      <c r="D553" s="20"/>
      <c r="E553" s="20"/>
      <c r="F553" s="20"/>
      <c r="G553" s="20"/>
      <c r="H553" s="20"/>
      <c r="I553" s="21"/>
      <c r="J553" s="15"/>
      <c r="K553" s="21"/>
      <c r="M553" s="19"/>
      <c r="N553" s="17"/>
    </row>
    <row r="554" spans="1:14" ht="14.25" customHeight="1" x14ac:dyDescent="0.25">
      <c r="A554" s="15"/>
      <c r="B554" s="15"/>
      <c r="C554" s="15"/>
      <c r="D554" s="20"/>
      <c r="E554" s="20"/>
      <c r="F554" s="20"/>
      <c r="G554" s="20"/>
      <c r="H554" s="20"/>
      <c r="I554" s="21"/>
      <c r="J554" s="15"/>
      <c r="K554" s="21"/>
      <c r="M554" s="19"/>
      <c r="N554" s="17"/>
    </row>
    <row r="555" spans="1:14" ht="14.25" customHeight="1" x14ac:dyDescent="0.25">
      <c r="A555" s="15"/>
      <c r="B555" s="15"/>
      <c r="C555" s="15"/>
      <c r="D555" s="20"/>
      <c r="E555" s="20"/>
      <c r="F555" s="20"/>
      <c r="G555" s="20"/>
      <c r="H555" s="20"/>
      <c r="I555" s="21"/>
      <c r="J555" s="15"/>
      <c r="K555" s="21"/>
      <c r="M555" s="19"/>
      <c r="N555" s="17"/>
    </row>
    <row r="556" spans="1:14" ht="14.25" customHeight="1" x14ac:dyDescent="0.25">
      <c r="A556" s="15"/>
      <c r="B556" s="15"/>
      <c r="C556" s="15"/>
      <c r="D556" s="20"/>
      <c r="E556" s="20"/>
      <c r="F556" s="20"/>
      <c r="G556" s="20"/>
      <c r="H556" s="20"/>
      <c r="I556" s="21"/>
      <c r="J556" s="15"/>
      <c r="K556" s="21"/>
      <c r="M556" s="19"/>
      <c r="N556" s="17"/>
    </row>
    <row r="557" spans="1:14" ht="14.25" customHeight="1" x14ac:dyDescent="0.25">
      <c r="A557" s="15"/>
      <c r="B557" s="15"/>
      <c r="C557" s="15"/>
      <c r="D557" s="20"/>
      <c r="E557" s="20"/>
      <c r="F557" s="20"/>
      <c r="G557" s="20"/>
      <c r="H557" s="20"/>
      <c r="I557" s="21"/>
      <c r="J557" s="15"/>
      <c r="K557" s="21"/>
      <c r="M557" s="19"/>
      <c r="N557" s="17"/>
    </row>
    <row r="558" spans="1:14" ht="14.25" customHeight="1" x14ac:dyDescent="0.25">
      <c r="A558" s="15"/>
      <c r="B558" s="15"/>
      <c r="C558" s="15"/>
      <c r="D558" s="20"/>
      <c r="E558" s="20"/>
      <c r="F558" s="20"/>
      <c r="G558" s="20"/>
      <c r="H558" s="20"/>
      <c r="I558" s="21"/>
      <c r="J558" s="15"/>
      <c r="K558" s="21"/>
      <c r="M558" s="19"/>
      <c r="N558" s="17"/>
    </row>
    <row r="559" spans="1:14" ht="14.25" customHeight="1" x14ac:dyDescent="0.25">
      <c r="A559" s="15"/>
      <c r="B559" s="15"/>
      <c r="C559" s="15"/>
      <c r="D559" s="20"/>
      <c r="E559" s="20"/>
      <c r="F559" s="20"/>
      <c r="G559" s="20"/>
      <c r="H559" s="20"/>
      <c r="I559" s="21"/>
      <c r="J559" s="15"/>
      <c r="K559" s="21"/>
      <c r="M559" s="19"/>
      <c r="N559" s="17"/>
    </row>
    <row r="560" spans="1:14" ht="14.25" customHeight="1" x14ac:dyDescent="0.25">
      <c r="A560" s="15"/>
      <c r="B560" s="15"/>
      <c r="C560" s="15"/>
      <c r="D560" s="20"/>
      <c r="E560" s="20"/>
      <c r="F560" s="20"/>
      <c r="G560" s="20"/>
      <c r="H560" s="20"/>
      <c r="I560" s="21"/>
      <c r="J560" s="15"/>
      <c r="K560" s="21"/>
      <c r="M560" s="19"/>
      <c r="N560" s="17"/>
    </row>
    <row r="561" spans="1:14" ht="14.25" customHeight="1" x14ac:dyDescent="0.25">
      <c r="A561" s="15"/>
      <c r="B561" s="15"/>
      <c r="C561" s="15"/>
      <c r="D561" s="20"/>
      <c r="E561" s="20"/>
      <c r="F561" s="20"/>
      <c r="G561" s="20"/>
      <c r="H561" s="20"/>
      <c r="I561" s="21"/>
      <c r="J561" s="15"/>
      <c r="K561" s="21"/>
      <c r="M561" s="19"/>
      <c r="N561" s="17"/>
    </row>
    <row r="562" spans="1:14" ht="14.25" customHeight="1" x14ac:dyDescent="0.25">
      <c r="A562" s="15"/>
      <c r="B562" s="15"/>
      <c r="C562" s="15"/>
      <c r="D562" s="20"/>
      <c r="E562" s="20"/>
      <c r="F562" s="20"/>
      <c r="G562" s="20"/>
      <c r="H562" s="20"/>
      <c r="I562" s="21"/>
      <c r="J562" s="15"/>
      <c r="K562" s="21"/>
      <c r="M562" s="19"/>
      <c r="N562" s="17"/>
    </row>
    <row r="563" spans="1:14" ht="14.25" customHeight="1" x14ac:dyDescent="0.25">
      <c r="A563" s="15"/>
      <c r="B563" s="15"/>
      <c r="C563" s="15"/>
      <c r="D563" s="20"/>
      <c r="E563" s="20"/>
      <c r="F563" s="20"/>
      <c r="G563" s="20"/>
      <c r="H563" s="20"/>
      <c r="I563" s="21"/>
      <c r="J563" s="15"/>
      <c r="K563" s="21"/>
      <c r="M563" s="19"/>
      <c r="N563" s="17"/>
    </row>
    <row r="564" spans="1:14" ht="14.25" customHeight="1" x14ac:dyDescent="0.25">
      <c r="A564" s="15"/>
      <c r="B564" s="15"/>
      <c r="C564" s="15"/>
      <c r="D564" s="20"/>
      <c r="E564" s="20"/>
      <c r="F564" s="20"/>
      <c r="G564" s="20"/>
      <c r="H564" s="20"/>
      <c r="I564" s="21"/>
      <c r="J564" s="15"/>
      <c r="K564" s="21"/>
      <c r="M564" s="19"/>
      <c r="N564" s="17"/>
    </row>
    <row r="565" spans="1:14" ht="14.25" customHeight="1" x14ac:dyDescent="0.25">
      <c r="A565" s="15"/>
      <c r="B565" s="15"/>
      <c r="C565" s="15"/>
      <c r="D565" s="20"/>
      <c r="E565" s="20"/>
      <c r="F565" s="20"/>
      <c r="G565" s="20"/>
      <c r="H565" s="20"/>
      <c r="I565" s="21"/>
      <c r="J565" s="15"/>
      <c r="K565" s="21"/>
      <c r="M565" s="19"/>
      <c r="N565" s="17"/>
    </row>
    <row r="566" spans="1:14" ht="14.25" customHeight="1" x14ac:dyDescent="0.25">
      <c r="A566" s="15"/>
      <c r="B566" s="15"/>
      <c r="C566" s="15"/>
      <c r="D566" s="20"/>
      <c r="E566" s="20"/>
      <c r="F566" s="20"/>
      <c r="G566" s="20"/>
      <c r="H566" s="20"/>
      <c r="I566" s="21"/>
      <c r="J566" s="15"/>
      <c r="K566" s="21"/>
      <c r="M566" s="19"/>
      <c r="N566" s="17"/>
    </row>
    <row r="567" spans="1:14" ht="14.25" customHeight="1" x14ac:dyDescent="0.25">
      <c r="A567" s="15"/>
      <c r="B567" s="15"/>
      <c r="C567" s="15"/>
      <c r="D567" s="20"/>
      <c r="E567" s="20"/>
      <c r="F567" s="20"/>
      <c r="G567" s="20"/>
      <c r="H567" s="20"/>
      <c r="I567" s="21"/>
      <c r="J567" s="15"/>
      <c r="K567" s="21"/>
      <c r="M567" s="19"/>
      <c r="N567" s="17"/>
    </row>
    <row r="568" spans="1:14" ht="14.25" customHeight="1" x14ac:dyDescent="0.25">
      <c r="A568" s="15"/>
      <c r="B568" s="15"/>
      <c r="C568" s="15"/>
      <c r="D568" s="20"/>
      <c r="E568" s="20"/>
      <c r="F568" s="20"/>
      <c r="G568" s="20"/>
      <c r="H568" s="20"/>
      <c r="I568" s="21"/>
      <c r="J568" s="15"/>
      <c r="K568" s="21"/>
      <c r="M568" s="19"/>
      <c r="N568" s="17"/>
    </row>
    <row r="569" spans="1:14" ht="14.25" customHeight="1" x14ac:dyDescent="0.25">
      <c r="A569" s="15"/>
      <c r="B569" s="15"/>
      <c r="C569" s="15"/>
      <c r="D569" s="20"/>
      <c r="E569" s="20"/>
      <c r="F569" s="20"/>
      <c r="G569" s="20"/>
      <c r="H569" s="20"/>
      <c r="I569" s="21"/>
      <c r="J569" s="15"/>
      <c r="K569" s="21"/>
      <c r="M569" s="19"/>
      <c r="N569" s="17"/>
    </row>
    <row r="570" spans="1:14" ht="14.25" customHeight="1" x14ac:dyDescent="0.25">
      <c r="A570" s="15"/>
      <c r="B570" s="15"/>
      <c r="C570" s="15"/>
      <c r="D570" s="20"/>
      <c r="E570" s="20"/>
      <c r="F570" s="20"/>
      <c r="G570" s="20"/>
      <c r="H570" s="20"/>
      <c r="I570" s="21"/>
      <c r="J570" s="15"/>
      <c r="K570" s="21"/>
      <c r="M570" s="19"/>
      <c r="N570" s="17"/>
    </row>
    <row r="571" spans="1:14" ht="14.25" customHeight="1" x14ac:dyDescent="0.25">
      <c r="A571" s="15"/>
      <c r="B571" s="15"/>
      <c r="C571" s="15"/>
      <c r="D571" s="20"/>
      <c r="E571" s="20"/>
      <c r="F571" s="20"/>
      <c r="G571" s="20"/>
      <c r="H571" s="20"/>
      <c r="I571" s="21"/>
      <c r="J571" s="15"/>
      <c r="K571" s="21"/>
      <c r="M571" s="19"/>
      <c r="N571" s="17"/>
    </row>
    <row r="572" spans="1:14" ht="14.25" customHeight="1" x14ac:dyDescent="0.25">
      <c r="A572" s="15"/>
      <c r="B572" s="15"/>
      <c r="C572" s="15"/>
      <c r="D572" s="20"/>
      <c r="E572" s="20"/>
      <c r="F572" s="20"/>
      <c r="G572" s="20"/>
      <c r="H572" s="20"/>
      <c r="I572" s="21"/>
      <c r="J572" s="15"/>
      <c r="K572" s="21"/>
      <c r="M572" s="19"/>
      <c r="N572" s="17"/>
    </row>
    <row r="573" spans="1:14" ht="14.25" customHeight="1" x14ac:dyDescent="0.25">
      <c r="A573" s="15"/>
      <c r="B573" s="15"/>
      <c r="C573" s="15"/>
      <c r="D573" s="20"/>
      <c r="E573" s="20"/>
      <c r="F573" s="20"/>
      <c r="G573" s="20"/>
      <c r="H573" s="20"/>
      <c r="I573" s="21"/>
      <c r="J573" s="15"/>
      <c r="K573" s="21"/>
      <c r="M573" s="19"/>
      <c r="N573" s="17"/>
    </row>
    <row r="574" spans="1:14" ht="14.25" customHeight="1" x14ac:dyDescent="0.25">
      <c r="A574" s="15"/>
      <c r="B574" s="15"/>
      <c r="C574" s="15"/>
      <c r="D574" s="20"/>
      <c r="E574" s="20"/>
      <c r="F574" s="20"/>
      <c r="G574" s="20"/>
      <c r="H574" s="20"/>
      <c r="I574" s="21"/>
      <c r="J574" s="15"/>
      <c r="K574" s="21"/>
      <c r="M574" s="19"/>
      <c r="N574" s="17"/>
    </row>
    <row r="575" spans="1:14" ht="14.25" customHeight="1" x14ac:dyDescent="0.25">
      <c r="A575" s="15"/>
      <c r="B575" s="15"/>
      <c r="C575" s="15"/>
      <c r="D575" s="20"/>
      <c r="E575" s="20"/>
      <c r="F575" s="20"/>
      <c r="G575" s="20"/>
      <c r="H575" s="20"/>
      <c r="I575" s="21"/>
      <c r="J575" s="15"/>
      <c r="K575" s="21"/>
      <c r="M575" s="19"/>
      <c r="N575" s="17"/>
    </row>
    <row r="576" spans="1:14" ht="14.25" customHeight="1" x14ac:dyDescent="0.25">
      <c r="A576" s="15"/>
      <c r="B576" s="15"/>
      <c r="C576" s="15"/>
      <c r="D576" s="20"/>
      <c r="E576" s="20"/>
      <c r="F576" s="20"/>
      <c r="G576" s="20"/>
      <c r="H576" s="20"/>
      <c r="I576" s="21"/>
      <c r="J576" s="15"/>
      <c r="K576" s="21"/>
      <c r="M576" s="19"/>
      <c r="N576" s="17"/>
    </row>
    <row r="577" spans="1:14" ht="14.25" customHeight="1" x14ac:dyDescent="0.25">
      <c r="A577" s="15"/>
      <c r="B577" s="15"/>
      <c r="C577" s="15"/>
      <c r="D577" s="20"/>
      <c r="E577" s="20"/>
      <c r="F577" s="20"/>
      <c r="G577" s="20"/>
      <c r="H577" s="20"/>
      <c r="I577" s="21"/>
      <c r="J577" s="15"/>
      <c r="K577" s="21"/>
      <c r="M577" s="19"/>
      <c r="N577" s="17"/>
    </row>
    <row r="578" spans="1:14" ht="14.25" customHeight="1" x14ac:dyDescent="0.25">
      <c r="A578" s="15"/>
      <c r="B578" s="15"/>
      <c r="C578" s="15"/>
      <c r="D578" s="20"/>
      <c r="E578" s="20"/>
      <c r="F578" s="20"/>
      <c r="G578" s="20"/>
      <c r="H578" s="20"/>
      <c r="I578" s="21"/>
      <c r="J578" s="15"/>
      <c r="K578" s="21"/>
      <c r="M578" s="19"/>
      <c r="N578" s="17"/>
    </row>
    <row r="579" spans="1:14" ht="14.25" customHeight="1" x14ac:dyDescent="0.25">
      <c r="A579" s="15"/>
      <c r="B579" s="15"/>
      <c r="C579" s="15"/>
      <c r="D579" s="20"/>
      <c r="E579" s="20"/>
      <c r="F579" s="20"/>
      <c r="G579" s="20"/>
      <c r="H579" s="20"/>
      <c r="I579" s="21"/>
      <c r="J579" s="15"/>
      <c r="K579" s="21"/>
      <c r="M579" s="19"/>
      <c r="N579" s="17"/>
    </row>
    <row r="580" spans="1:14" ht="14.25" customHeight="1" x14ac:dyDescent="0.25">
      <c r="A580" s="15"/>
      <c r="B580" s="15"/>
      <c r="C580" s="15"/>
      <c r="D580" s="20"/>
      <c r="E580" s="20"/>
      <c r="F580" s="20"/>
      <c r="G580" s="20"/>
      <c r="H580" s="20"/>
      <c r="I580" s="21"/>
      <c r="J580" s="15"/>
      <c r="K580" s="21"/>
      <c r="M580" s="19"/>
      <c r="N580" s="17"/>
    </row>
    <row r="581" spans="1:14" ht="14.25" customHeight="1" x14ac:dyDescent="0.25">
      <c r="A581" s="15"/>
      <c r="B581" s="15"/>
      <c r="C581" s="15"/>
      <c r="D581" s="20"/>
      <c r="E581" s="20"/>
      <c r="F581" s="20"/>
      <c r="G581" s="20"/>
      <c r="H581" s="20"/>
      <c r="I581" s="21"/>
      <c r="J581" s="15"/>
      <c r="K581" s="21"/>
      <c r="M581" s="19"/>
      <c r="N581" s="17"/>
    </row>
    <row r="582" spans="1:14" ht="14.25" customHeight="1" x14ac:dyDescent="0.25">
      <c r="A582" s="15"/>
      <c r="B582" s="15"/>
      <c r="C582" s="15"/>
      <c r="D582" s="20"/>
      <c r="E582" s="20"/>
      <c r="F582" s="20"/>
      <c r="G582" s="20"/>
      <c r="H582" s="20"/>
      <c r="I582" s="21"/>
      <c r="J582" s="15"/>
      <c r="K582" s="21"/>
      <c r="M582" s="19"/>
      <c r="N582" s="17"/>
    </row>
    <row r="583" spans="1:14" ht="14.25" customHeight="1" x14ac:dyDescent="0.25">
      <c r="A583" s="15"/>
      <c r="B583" s="15"/>
      <c r="C583" s="15"/>
      <c r="D583" s="20"/>
      <c r="E583" s="20"/>
      <c r="F583" s="20"/>
      <c r="G583" s="20"/>
      <c r="H583" s="20"/>
      <c r="I583" s="21"/>
      <c r="J583" s="15"/>
      <c r="K583" s="21"/>
      <c r="M583" s="19"/>
      <c r="N583" s="17"/>
    </row>
    <row r="584" spans="1:14" ht="14.25" customHeight="1" x14ac:dyDescent="0.25">
      <c r="A584" s="15"/>
      <c r="B584" s="15"/>
      <c r="C584" s="15"/>
      <c r="D584" s="20"/>
      <c r="E584" s="20"/>
      <c r="F584" s="20"/>
      <c r="G584" s="20"/>
      <c r="H584" s="20"/>
      <c r="I584" s="21"/>
      <c r="J584" s="15"/>
      <c r="K584" s="21"/>
      <c r="M584" s="19"/>
      <c r="N584" s="17"/>
    </row>
    <row r="585" spans="1:14" ht="14.25" customHeight="1" x14ac:dyDescent="0.25">
      <c r="A585" s="15"/>
      <c r="B585" s="15"/>
      <c r="C585" s="15"/>
      <c r="D585" s="20"/>
      <c r="E585" s="20"/>
      <c r="F585" s="20"/>
      <c r="G585" s="20"/>
      <c r="H585" s="20"/>
      <c r="I585" s="21"/>
      <c r="J585" s="15"/>
      <c r="K585" s="21"/>
      <c r="M585" s="19"/>
      <c r="N585" s="17"/>
    </row>
    <row r="586" spans="1:14" ht="14.25" customHeight="1" x14ac:dyDescent="0.25">
      <c r="A586" s="15"/>
      <c r="B586" s="15"/>
      <c r="C586" s="15"/>
      <c r="D586" s="20"/>
      <c r="E586" s="20"/>
      <c r="F586" s="20"/>
      <c r="G586" s="20"/>
      <c r="H586" s="20"/>
      <c r="I586" s="21"/>
      <c r="J586" s="15"/>
      <c r="K586" s="21"/>
      <c r="M586" s="19"/>
      <c r="N586" s="17"/>
    </row>
    <row r="587" spans="1:14" ht="14.25" customHeight="1" x14ac:dyDescent="0.25">
      <c r="A587" s="15"/>
      <c r="B587" s="15"/>
      <c r="C587" s="15"/>
      <c r="D587" s="20"/>
      <c r="E587" s="20"/>
      <c r="F587" s="20"/>
      <c r="G587" s="20"/>
      <c r="H587" s="20"/>
      <c r="I587" s="21"/>
      <c r="J587" s="15"/>
      <c r="K587" s="21"/>
      <c r="M587" s="19"/>
      <c r="N587" s="17"/>
    </row>
    <row r="588" spans="1:14" ht="14.25" customHeight="1" x14ac:dyDescent="0.25">
      <c r="A588" s="15"/>
      <c r="B588" s="15"/>
      <c r="C588" s="15"/>
      <c r="D588" s="20"/>
      <c r="E588" s="20"/>
      <c r="F588" s="20"/>
      <c r="G588" s="20"/>
      <c r="H588" s="20"/>
      <c r="I588" s="21"/>
      <c r="J588" s="15"/>
      <c r="K588" s="21"/>
      <c r="M588" s="19"/>
      <c r="N588" s="17"/>
    </row>
    <row r="589" spans="1:14" ht="14.25" customHeight="1" x14ac:dyDescent="0.25">
      <c r="A589" s="15"/>
      <c r="B589" s="15"/>
      <c r="C589" s="15"/>
      <c r="D589" s="20"/>
      <c r="E589" s="20"/>
      <c r="F589" s="20"/>
      <c r="G589" s="20"/>
      <c r="H589" s="20"/>
      <c r="I589" s="21"/>
      <c r="J589" s="15"/>
      <c r="K589" s="21"/>
      <c r="M589" s="19"/>
      <c r="N589" s="17"/>
    </row>
    <row r="590" spans="1:14" ht="14.25" customHeight="1" x14ac:dyDescent="0.25">
      <c r="A590" s="15"/>
      <c r="B590" s="15"/>
      <c r="C590" s="15"/>
      <c r="D590" s="20"/>
      <c r="E590" s="20"/>
      <c r="F590" s="20"/>
      <c r="G590" s="20"/>
      <c r="H590" s="20"/>
      <c r="I590" s="21"/>
      <c r="J590" s="15"/>
      <c r="K590" s="21"/>
      <c r="M590" s="19"/>
      <c r="N590" s="17"/>
    </row>
    <row r="591" spans="1:14" ht="14.25" customHeight="1" x14ac:dyDescent="0.25">
      <c r="A591" s="15"/>
      <c r="B591" s="15"/>
      <c r="C591" s="15"/>
      <c r="D591" s="20"/>
      <c r="E591" s="20"/>
      <c r="F591" s="20"/>
      <c r="G591" s="20"/>
      <c r="H591" s="20"/>
      <c r="I591" s="21"/>
      <c r="J591" s="15"/>
      <c r="K591" s="21"/>
      <c r="M591" s="19"/>
      <c r="N591" s="17"/>
    </row>
    <row r="592" spans="1:14" ht="14.25" customHeight="1" x14ac:dyDescent="0.25">
      <c r="A592" s="15"/>
      <c r="B592" s="15"/>
      <c r="C592" s="15"/>
      <c r="D592" s="20"/>
      <c r="E592" s="20"/>
      <c r="F592" s="20"/>
      <c r="G592" s="20"/>
      <c r="H592" s="20"/>
      <c r="I592" s="21"/>
      <c r="J592" s="15"/>
      <c r="K592" s="21"/>
      <c r="M592" s="19"/>
      <c r="N592" s="17"/>
    </row>
    <row r="593" spans="1:14" ht="14.25" customHeight="1" x14ac:dyDescent="0.25">
      <c r="A593" s="15"/>
      <c r="B593" s="15"/>
      <c r="C593" s="15"/>
      <c r="D593" s="20"/>
      <c r="E593" s="20"/>
      <c r="F593" s="20"/>
      <c r="G593" s="20"/>
      <c r="H593" s="20"/>
      <c r="I593" s="21"/>
      <c r="J593" s="15"/>
      <c r="K593" s="21"/>
      <c r="M593" s="19"/>
      <c r="N593" s="17"/>
    </row>
    <row r="594" spans="1:14" ht="14.25" customHeight="1" x14ac:dyDescent="0.25">
      <c r="A594" s="15"/>
      <c r="B594" s="15"/>
      <c r="C594" s="15"/>
      <c r="D594" s="20"/>
      <c r="E594" s="20"/>
      <c r="F594" s="20"/>
      <c r="G594" s="20"/>
      <c r="H594" s="20"/>
      <c r="I594" s="21"/>
      <c r="J594" s="15"/>
      <c r="K594" s="21"/>
      <c r="M594" s="19"/>
      <c r="N594" s="17"/>
    </row>
    <row r="595" spans="1:14" ht="14.25" customHeight="1" x14ac:dyDescent="0.25">
      <c r="A595" s="15"/>
      <c r="B595" s="15"/>
      <c r="C595" s="15"/>
      <c r="D595" s="20"/>
      <c r="E595" s="20"/>
      <c r="F595" s="20"/>
      <c r="G595" s="20"/>
      <c r="H595" s="20"/>
      <c r="I595" s="21"/>
      <c r="J595" s="15"/>
      <c r="K595" s="21"/>
      <c r="M595" s="19"/>
      <c r="N595" s="17"/>
    </row>
    <row r="596" spans="1:14" ht="14.25" customHeight="1" x14ac:dyDescent="0.25">
      <c r="A596" s="15"/>
      <c r="B596" s="15"/>
      <c r="C596" s="15"/>
      <c r="D596" s="20"/>
      <c r="E596" s="20"/>
      <c r="F596" s="20"/>
      <c r="G596" s="20"/>
      <c r="H596" s="20"/>
      <c r="I596" s="21"/>
      <c r="J596" s="15"/>
      <c r="K596" s="21"/>
      <c r="M596" s="19"/>
      <c r="N596" s="17"/>
    </row>
    <row r="597" spans="1:14" ht="14.25" customHeight="1" x14ac:dyDescent="0.25">
      <c r="A597" s="15"/>
      <c r="B597" s="15"/>
      <c r="C597" s="15"/>
      <c r="D597" s="20"/>
      <c r="E597" s="20"/>
      <c r="F597" s="20"/>
      <c r="G597" s="20"/>
      <c r="H597" s="20"/>
      <c r="I597" s="21"/>
      <c r="J597" s="15"/>
      <c r="K597" s="21"/>
      <c r="M597" s="19"/>
      <c r="N597" s="17"/>
    </row>
    <row r="598" spans="1:14" ht="14.25" customHeight="1" x14ac:dyDescent="0.25">
      <c r="A598" s="15"/>
      <c r="B598" s="15"/>
      <c r="C598" s="15"/>
      <c r="D598" s="20"/>
      <c r="E598" s="20"/>
      <c r="F598" s="20"/>
      <c r="G598" s="20"/>
      <c r="H598" s="20"/>
      <c r="I598" s="21"/>
      <c r="J598" s="15"/>
      <c r="K598" s="21"/>
      <c r="M598" s="19"/>
      <c r="N598" s="17"/>
    </row>
    <row r="599" spans="1:14" ht="14.25" customHeight="1" x14ac:dyDescent="0.25">
      <c r="A599" s="15"/>
      <c r="B599" s="15"/>
      <c r="C599" s="15"/>
      <c r="D599" s="20"/>
      <c r="E599" s="20"/>
      <c r="F599" s="20"/>
      <c r="G599" s="20"/>
      <c r="H599" s="20"/>
      <c r="I599" s="21"/>
      <c r="J599" s="15"/>
      <c r="K599" s="21"/>
      <c r="M599" s="19"/>
      <c r="N599" s="17"/>
    </row>
    <row r="600" spans="1:14" ht="14.25" customHeight="1" x14ac:dyDescent="0.25">
      <c r="A600" s="15"/>
      <c r="B600" s="15"/>
      <c r="C600" s="15"/>
      <c r="D600" s="20"/>
      <c r="E600" s="20"/>
      <c r="F600" s="20"/>
      <c r="G600" s="20"/>
      <c r="H600" s="20"/>
      <c r="I600" s="21"/>
      <c r="J600" s="15"/>
      <c r="K600" s="21"/>
      <c r="M600" s="19"/>
      <c r="N600" s="17"/>
    </row>
    <row r="601" spans="1:14" ht="14.25" customHeight="1" x14ac:dyDescent="0.25">
      <c r="A601" s="15"/>
      <c r="B601" s="15"/>
      <c r="C601" s="15"/>
      <c r="D601" s="20"/>
      <c r="E601" s="20"/>
      <c r="F601" s="20"/>
      <c r="G601" s="20"/>
      <c r="H601" s="20"/>
      <c r="I601" s="21"/>
      <c r="J601" s="15"/>
      <c r="K601" s="21"/>
      <c r="M601" s="19"/>
      <c r="N601" s="17"/>
    </row>
    <row r="602" spans="1:14" ht="14.25" customHeight="1" x14ac:dyDescent="0.25">
      <c r="A602" s="15"/>
      <c r="B602" s="15"/>
      <c r="C602" s="15"/>
      <c r="D602" s="20"/>
      <c r="E602" s="20"/>
      <c r="F602" s="20"/>
      <c r="G602" s="20"/>
      <c r="H602" s="20"/>
      <c r="I602" s="21"/>
      <c r="J602" s="15"/>
      <c r="K602" s="21"/>
      <c r="M602" s="19"/>
      <c r="N602" s="17"/>
    </row>
    <row r="603" spans="1:14" ht="14.25" customHeight="1" x14ac:dyDescent="0.25">
      <c r="A603" s="15"/>
      <c r="B603" s="15"/>
      <c r="C603" s="15"/>
      <c r="D603" s="20"/>
      <c r="E603" s="20"/>
      <c r="F603" s="20"/>
      <c r="G603" s="20"/>
      <c r="H603" s="20"/>
      <c r="I603" s="21"/>
      <c r="J603" s="15"/>
      <c r="K603" s="21"/>
      <c r="M603" s="19"/>
      <c r="N603" s="17"/>
    </row>
    <row r="604" spans="1:14" ht="14.25" customHeight="1" x14ac:dyDescent="0.25">
      <c r="A604" s="15"/>
      <c r="B604" s="15"/>
      <c r="C604" s="15"/>
      <c r="D604" s="20"/>
      <c r="E604" s="20"/>
      <c r="F604" s="20"/>
      <c r="G604" s="20"/>
      <c r="H604" s="20"/>
      <c r="I604" s="21"/>
      <c r="J604" s="15"/>
      <c r="K604" s="21"/>
      <c r="M604" s="19"/>
      <c r="N604" s="17"/>
    </row>
    <row r="605" spans="1:14" ht="14.25" customHeight="1" x14ac:dyDescent="0.25">
      <c r="A605" s="15"/>
      <c r="B605" s="15"/>
      <c r="C605" s="15"/>
      <c r="D605" s="20"/>
      <c r="E605" s="20"/>
      <c r="F605" s="20"/>
      <c r="G605" s="20"/>
      <c r="H605" s="20"/>
      <c r="I605" s="21"/>
      <c r="J605" s="15"/>
      <c r="K605" s="21"/>
      <c r="M605" s="19"/>
      <c r="N605" s="17"/>
    </row>
    <row r="606" spans="1:14" ht="14.25" customHeight="1" x14ac:dyDescent="0.25">
      <c r="A606" s="15"/>
      <c r="B606" s="15"/>
      <c r="C606" s="15"/>
      <c r="D606" s="20"/>
      <c r="E606" s="20"/>
      <c r="F606" s="20"/>
      <c r="G606" s="20"/>
      <c r="H606" s="20"/>
      <c r="I606" s="21"/>
      <c r="J606" s="15"/>
      <c r="K606" s="21"/>
      <c r="M606" s="19"/>
      <c r="N606" s="17"/>
    </row>
    <row r="607" spans="1:14" ht="14.25" customHeight="1" x14ac:dyDescent="0.25">
      <c r="A607" s="15"/>
      <c r="B607" s="15"/>
      <c r="C607" s="15"/>
      <c r="D607" s="20"/>
      <c r="E607" s="20"/>
      <c r="F607" s="20"/>
      <c r="G607" s="20"/>
      <c r="H607" s="20"/>
      <c r="I607" s="21"/>
      <c r="J607" s="15"/>
      <c r="K607" s="21"/>
      <c r="M607" s="19"/>
      <c r="N607" s="17"/>
    </row>
    <row r="608" spans="1:14" ht="14.25" customHeight="1" x14ac:dyDescent="0.25">
      <c r="A608" s="15"/>
      <c r="B608" s="15"/>
      <c r="C608" s="15"/>
      <c r="D608" s="20"/>
      <c r="E608" s="20"/>
      <c r="F608" s="20"/>
      <c r="G608" s="20"/>
      <c r="H608" s="20"/>
      <c r="I608" s="21"/>
      <c r="J608" s="15"/>
      <c r="K608" s="21"/>
      <c r="M608" s="19"/>
      <c r="N608" s="17"/>
    </row>
    <row r="609" spans="1:14" ht="14.25" customHeight="1" x14ac:dyDescent="0.25">
      <c r="A609" s="15"/>
      <c r="B609" s="15"/>
      <c r="C609" s="15"/>
      <c r="D609" s="20"/>
      <c r="E609" s="20"/>
      <c r="F609" s="20"/>
      <c r="G609" s="20"/>
      <c r="H609" s="20"/>
      <c r="I609" s="21"/>
      <c r="J609" s="15"/>
      <c r="K609" s="21"/>
      <c r="M609" s="19"/>
      <c r="N609" s="17"/>
    </row>
    <row r="610" spans="1:14" ht="14.25" customHeight="1" x14ac:dyDescent="0.25">
      <c r="A610" s="15"/>
      <c r="B610" s="15"/>
      <c r="C610" s="15"/>
      <c r="D610" s="20"/>
      <c r="E610" s="20"/>
      <c r="F610" s="20"/>
      <c r="G610" s="20"/>
      <c r="H610" s="20"/>
      <c r="I610" s="21"/>
      <c r="J610" s="15"/>
      <c r="K610" s="21"/>
      <c r="M610" s="19"/>
      <c r="N610" s="17"/>
    </row>
    <row r="611" spans="1:14" ht="14.25" customHeight="1" x14ac:dyDescent="0.25">
      <c r="A611" s="15"/>
      <c r="B611" s="15"/>
      <c r="C611" s="15"/>
      <c r="D611" s="20"/>
      <c r="E611" s="20"/>
      <c r="F611" s="20"/>
      <c r="G611" s="20"/>
      <c r="H611" s="20"/>
      <c r="I611" s="21"/>
      <c r="J611" s="15"/>
      <c r="K611" s="21"/>
      <c r="M611" s="19"/>
      <c r="N611" s="17"/>
    </row>
    <row r="612" spans="1:14" ht="14.25" customHeight="1" x14ac:dyDescent="0.25">
      <c r="A612" s="15"/>
      <c r="B612" s="15"/>
      <c r="C612" s="15"/>
      <c r="D612" s="20"/>
      <c r="E612" s="20"/>
      <c r="F612" s="20"/>
      <c r="G612" s="20"/>
      <c r="H612" s="20"/>
      <c r="I612" s="21"/>
      <c r="J612" s="15"/>
      <c r="K612" s="21"/>
      <c r="M612" s="19"/>
      <c r="N612" s="17"/>
    </row>
    <row r="613" spans="1:14" ht="14.25" customHeight="1" x14ac:dyDescent="0.25">
      <c r="A613" s="15"/>
      <c r="B613" s="15"/>
      <c r="C613" s="15"/>
      <c r="D613" s="20"/>
      <c r="E613" s="20"/>
      <c r="F613" s="20"/>
      <c r="G613" s="20"/>
      <c r="H613" s="20"/>
      <c r="I613" s="21"/>
      <c r="J613" s="15"/>
      <c r="K613" s="21"/>
      <c r="M613" s="19"/>
      <c r="N613" s="17"/>
    </row>
    <row r="614" spans="1:14" ht="14.25" customHeight="1" x14ac:dyDescent="0.25">
      <c r="A614" s="15"/>
      <c r="B614" s="15"/>
      <c r="C614" s="15"/>
      <c r="D614" s="20"/>
      <c r="E614" s="20"/>
      <c r="F614" s="20"/>
      <c r="G614" s="20"/>
      <c r="H614" s="20"/>
      <c r="I614" s="21"/>
      <c r="J614" s="15"/>
      <c r="K614" s="21"/>
      <c r="M614" s="19"/>
      <c r="N614" s="17"/>
    </row>
    <row r="615" spans="1:14" ht="14.25" customHeight="1" x14ac:dyDescent="0.25">
      <c r="A615" s="15"/>
      <c r="B615" s="15"/>
      <c r="C615" s="15"/>
      <c r="D615" s="20"/>
      <c r="E615" s="20"/>
      <c r="F615" s="20"/>
      <c r="G615" s="20"/>
      <c r="H615" s="20"/>
      <c r="I615" s="21"/>
      <c r="J615" s="15"/>
      <c r="K615" s="21"/>
      <c r="M615" s="19"/>
      <c r="N615" s="17"/>
    </row>
    <row r="616" spans="1:14" ht="14.25" customHeight="1" x14ac:dyDescent="0.25">
      <c r="A616" s="15"/>
      <c r="B616" s="15"/>
      <c r="C616" s="15"/>
      <c r="D616" s="20"/>
      <c r="E616" s="20"/>
      <c r="F616" s="20"/>
      <c r="G616" s="20"/>
      <c r="H616" s="20"/>
      <c r="I616" s="21"/>
      <c r="J616" s="15"/>
      <c r="K616" s="21"/>
      <c r="M616" s="19"/>
      <c r="N616" s="17"/>
    </row>
    <row r="617" spans="1:14" ht="14.25" customHeight="1" x14ac:dyDescent="0.25">
      <c r="A617" s="15"/>
      <c r="B617" s="15"/>
      <c r="C617" s="15"/>
      <c r="D617" s="20"/>
      <c r="E617" s="20"/>
      <c r="F617" s="20"/>
      <c r="G617" s="20"/>
      <c r="H617" s="20"/>
      <c r="I617" s="21"/>
      <c r="J617" s="15"/>
      <c r="K617" s="21"/>
      <c r="M617" s="19"/>
      <c r="N617" s="17"/>
    </row>
    <row r="618" spans="1:14" ht="14.25" customHeight="1" x14ac:dyDescent="0.25">
      <c r="A618" s="15"/>
      <c r="B618" s="15"/>
      <c r="C618" s="15"/>
      <c r="D618" s="20"/>
      <c r="E618" s="20"/>
      <c r="F618" s="20"/>
      <c r="G618" s="20"/>
      <c r="H618" s="20"/>
      <c r="I618" s="21"/>
      <c r="J618" s="15"/>
      <c r="K618" s="21"/>
      <c r="M618" s="19"/>
      <c r="N618" s="17"/>
    </row>
    <row r="619" spans="1:14" ht="14.25" customHeight="1" x14ac:dyDescent="0.25">
      <c r="A619" s="15"/>
      <c r="B619" s="15"/>
      <c r="C619" s="15"/>
      <c r="D619" s="20"/>
      <c r="E619" s="20"/>
      <c r="F619" s="20"/>
      <c r="G619" s="20"/>
      <c r="H619" s="20"/>
      <c r="I619" s="21"/>
      <c r="J619" s="15"/>
      <c r="K619" s="21"/>
      <c r="M619" s="19"/>
      <c r="N619" s="17"/>
    </row>
    <row r="620" spans="1:14" ht="14.25" customHeight="1" x14ac:dyDescent="0.25">
      <c r="A620" s="15"/>
      <c r="B620" s="15"/>
      <c r="C620" s="15"/>
      <c r="D620" s="20"/>
      <c r="E620" s="20"/>
      <c r="F620" s="20"/>
      <c r="G620" s="20"/>
      <c r="H620" s="20"/>
      <c r="I620" s="21"/>
      <c r="J620" s="15"/>
      <c r="K620" s="21"/>
      <c r="M620" s="19"/>
      <c r="N620" s="17"/>
    </row>
    <row r="621" spans="1:14" ht="14.25" customHeight="1" x14ac:dyDescent="0.25">
      <c r="A621" s="15"/>
      <c r="B621" s="15"/>
      <c r="C621" s="15"/>
      <c r="D621" s="20"/>
      <c r="E621" s="20"/>
      <c r="F621" s="20"/>
      <c r="G621" s="20"/>
      <c r="H621" s="20"/>
      <c r="I621" s="21"/>
      <c r="J621" s="15"/>
      <c r="K621" s="21"/>
      <c r="M621" s="19"/>
      <c r="N621" s="17"/>
    </row>
    <row r="622" spans="1:14" ht="14.25" customHeight="1" x14ac:dyDescent="0.25">
      <c r="A622" s="15"/>
      <c r="B622" s="15"/>
      <c r="C622" s="15"/>
      <c r="D622" s="20"/>
      <c r="E622" s="20"/>
      <c r="F622" s="20"/>
      <c r="G622" s="20"/>
      <c r="H622" s="20"/>
      <c r="I622" s="21"/>
      <c r="J622" s="15"/>
      <c r="K622" s="21"/>
      <c r="M622" s="19"/>
      <c r="N622" s="17"/>
    </row>
    <row r="623" spans="1:14" ht="14.25" customHeight="1" x14ac:dyDescent="0.25">
      <c r="A623" s="15"/>
      <c r="B623" s="15"/>
      <c r="C623" s="15"/>
      <c r="D623" s="20"/>
      <c r="E623" s="20"/>
      <c r="F623" s="20"/>
      <c r="G623" s="20"/>
      <c r="H623" s="20"/>
      <c r="I623" s="21"/>
      <c r="J623" s="15"/>
      <c r="K623" s="21"/>
      <c r="M623" s="19"/>
      <c r="N623" s="17"/>
    </row>
    <row r="624" spans="1:14" ht="14.25" customHeight="1" x14ac:dyDescent="0.25">
      <c r="A624" s="15"/>
      <c r="B624" s="15"/>
      <c r="C624" s="15"/>
      <c r="D624" s="20"/>
      <c r="E624" s="20"/>
      <c r="F624" s="20"/>
      <c r="G624" s="20"/>
      <c r="H624" s="20"/>
      <c r="I624" s="21"/>
      <c r="J624" s="15"/>
      <c r="K624" s="21"/>
      <c r="M624" s="19"/>
      <c r="N624" s="17"/>
    </row>
    <row r="625" spans="1:14" ht="14.25" customHeight="1" x14ac:dyDescent="0.25">
      <c r="A625" s="15"/>
      <c r="B625" s="15"/>
      <c r="C625" s="15"/>
      <c r="D625" s="20"/>
      <c r="E625" s="20"/>
      <c r="F625" s="20"/>
      <c r="G625" s="20"/>
      <c r="H625" s="20"/>
      <c r="I625" s="21"/>
      <c r="J625" s="15"/>
      <c r="K625" s="21"/>
      <c r="M625" s="19"/>
      <c r="N625" s="17"/>
    </row>
    <row r="626" spans="1:14" ht="14.25" customHeight="1" x14ac:dyDescent="0.25">
      <c r="A626" s="15"/>
      <c r="B626" s="15"/>
      <c r="C626" s="15"/>
      <c r="D626" s="20"/>
      <c r="E626" s="20"/>
      <c r="F626" s="20"/>
      <c r="G626" s="20"/>
      <c r="H626" s="20"/>
      <c r="I626" s="21"/>
      <c r="J626" s="15"/>
      <c r="K626" s="21"/>
      <c r="M626" s="19"/>
      <c r="N626" s="17"/>
    </row>
    <row r="627" spans="1:14" ht="14.25" customHeight="1" x14ac:dyDescent="0.25">
      <c r="A627" s="15"/>
      <c r="B627" s="15"/>
      <c r="C627" s="15"/>
      <c r="D627" s="20"/>
      <c r="E627" s="20"/>
      <c r="F627" s="20"/>
      <c r="G627" s="20"/>
      <c r="H627" s="20"/>
      <c r="I627" s="21"/>
      <c r="J627" s="15"/>
      <c r="K627" s="21"/>
      <c r="M627" s="19"/>
      <c r="N627" s="17"/>
    </row>
    <row r="628" spans="1:14" ht="14.25" customHeight="1" x14ac:dyDescent="0.25">
      <c r="A628" s="15"/>
      <c r="B628" s="15"/>
      <c r="C628" s="15"/>
      <c r="D628" s="20"/>
      <c r="E628" s="20"/>
      <c r="F628" s="20"/>
      <c r="G628" s="20"/>
      <c r="H628" s="20"/>
      <c r="I628" s="21"/>
      <c r="J628" s="15"/>
      <c r="K628" s="21"/>
      <c r="M628" s="19"/>
      <c r="N628" s="17"/>
    </row>
    <row r="629" spans="1:14" ht="14.25" customHeight="1" x14ac:dyDescent="0.25">
      <c r="A629" s="15"/>
      <c r="B629" s="15"/>
      <c r="C629" s="15"/>
      <c r="D629" s="20"/>
      <c r="E629" s="20"/>
      <c r="F629" s="20"/>
      <c r="G629" s="20"/>
      <c r="H629" s="20"/>
      <c r="I629" s="21"/>
      <c r="J629" s="15"/>
      <c r="K629" s="21"/>
      <c r="M629" s="19"/>
      <c r="N629" s="17"/>
    </row>
    <row r="630" spans="1:14" ht="14.25" customHeight="1" x14ac:dyDescent="0.25">
      <c r="A630" s="15"/>
      <c r="B630" s="15"/>
      <c r="C630" s="15"/>
      <c r="D630" s="20"/>
      <c r="E630" s="20"/>
      <c r="F630" s="20"/>
      <c r="G630" s="20"/>
      <c r="H630" s="20"/>
      <c r="I630" s="21"/>
      <c r="J630" s="15"/>
      <c r="K630" s="21"/>
      <c r="M630" s="19"/>
      <c r="N630" s="17"/>
    </row>
    <row r="631" spans="1:14" ht="14.25" customHeight="1" x14ac:dyDescent="0.25">
      <c r="A631" s="15"/>
      <c r="B631" s="15"/>
      <c r="C631" s="15"/>
      <c r="D631" s="20"/>
      <c r="E631" s="20"/>
      <c r="F631" s="20"/>
      <c r="G631" s="20"/>
      <c r="H631" s="20"/>
      <c r="I631" s="21"/>
      <c r="J631" s="15"/>
      <c r="K631" s="21"/>
      <c r="M631" s="19"/>
      <c r="N631" s="17"/>
    </row>
    <row r="632" spans="1:14" ht="14.25" customHeight="1" x14ac:dyDescent="0.25">
      <c r="A632" s="15"/>
      <c r="B632" s="15"/>
      <c r="C632" s="15"/>
      <c r="D632" s="20"/>
      <c r="E632" s="20"/>
      <c r="F632" s="20"/>
      <c r="G632" s="20"/>
      <c r="H632" s="20"/>
      <c r="I632" s="21"/>
      <c r="J632" s="15"/>
      <c r="K632" s="21"/>
      <c r="M632" s="19"/>
      <c r="N632" s="17"/>
    </row>
    <row r="633" spans="1:14" ht="14.25" customHeight="1" x14ac:dyDescent="0.25">
      <c r="A633" s="15"/>
      <c r="B633" s="15"/>
      <c r="C633" s="15"/>
      <c r="D633" s="20"/>
      <c r="E633" s="20"/>
      <c r="F633" s="20"/>
      <c r="G633" s="20"/>
      <c r="H633" s="20"/>
      <c r="I633" s="21"/>
      <c r="J633" s="15"/>
      <c r="K633" s="21"/>
      <c r="M633" s="19"/>
      <c r="N633" s="17"/>
    </row>
    <row r="634" spans="1:14" ht="14.25" customHeight="1" x14ac:dyDescent="0.25">
      <c r="A634" s="15"/>
      <c r="B634" s="15"/>
      <c r="C634" s="15"/>
      <c r="D634" s="20"/>
      <c r="E634" s="20"/>
      <c r="F634" s="20"/>
      <c r="G634" s="20"/>
      <c r="H634" s="20"/>
      <c r="I634" s="21"/>
      <c r="J634" s="15"/>
      <c r="K634" s="21"/>
      <c r="M634" s="19"/>
      <c r="N634" s="17"/>
    </row>
    <row r="635" spans="1:14" ht="14.25" customHeight="1" x14ac:dyDescent="0.25">
      <c r="A635" s="15"/>
      <c r="B635" s="15"/>
      <c r="C635" s="15"/>
      <c r="D635" s="20"/>
      <c r="E635" s="20"/>
      <c r="F635" s="20"/>
      <c r="G635" s="20"/>
      <c r="H635" s="20"/>
      <c r="I635" s="21"/>
      <c r="J635" s="15"/>
      <c r="K635" s="21"/>
      <c r="M635" s="19"/>
      <c r="N635" s="17"/>
    </row>
    <row r="636" spans="1:14" ht="14.25" customHeight="1" x14ac:dyDescent="0.25">
      <c r="A636" s="15"/>
      <c r="B636" s="15"/>
      <c r="C636" s="15"/>
      <c r="D636" s="20"/>
      <c r="E636" s="20"/>
      <c r="F636" s="20"/>
      <c r="G636" s="20"/>
      <c r="H636" s="20"/>
      <c r="I636" s="21"/>
      <c r="J636" s="15"/>
      <c r="K636" s="21"/>
      <c r="M636" s="19"/>
      <c r="N636" s="17"/>
    </row>
    <row r="637" spans="1:14" ht="14.25" customHeight="1" x14ac:dyDescent="0.25">
      <c r="A637" s="15"/>
      <c r="B637" s="15"/>
      <c r="C637" s="15"/>
      <c r="D637" s="20"/>
      <c r="E637" s="20"/>
      <c r="F637" s="20"/>
      <c r="G637" s="20"/>
      <c r="H637" s="20"/>
      <c r="I637" s="21"/>
      <c r="J637" s="15"/>
      <c r="K637" s="21"/>
      <c r="M637" s="19"/>
      <c r="N637" s="17"/>
    </row>
    <row r="638" spans="1:14" ht="14.25" customHeight="1" x14ac:dyDescent="0.25">
      <c r="A638" s="15"/>
      <c r="B638" s="15"/>
      <c r="C638" s="15"/>
      <c r="D638" s="20"/>
      <c r="E638" s="20"/>
      <c r="F638" s="20"/>
      <c r="G638" s="20"/>
      <c r="H638" s="20"/>
      <c r="I638" s="21"/>
      <c r="J638" s="15"/>
      <c r="K638" s="21"/>
      <c r="M638" s="19"/>
      <c r="N638" s="17"/>
    </row>
    <row r="639" spans="1:14" ht="14.25" customHeight="1" x14ac:dyDescent="0.25">
      <c r="A639" s="15"/>
      <c r="B639" s="15"/>
      <c r="C639" s="15"/>
      <c r="D639" s="20"/>
      <c r="E639" s="20"/>
      <c r="F639" s="20"/>
      <c r="G639" s="20"/>
      <c r="H639" s="20"/>
      <c r="I639" s="21"/>
      <c r="J639" s="15"/>
      <c r="K639" s="21"/>
      <c r="M639" s="19"/>
      <c r="N639" s="17"/>
    </row>
    <row r="640" spans="1:14" ht="14.25" customHeight="1" x14ac:dyDescent="0.25">
      <c r="A640" s="15"/>
      <c r="B640" s="15"/>
      <c r="C640" s="15"/>
      <c r="D640" s="20"/>
      <c r="E640" s="20"/>
      <c r="F640" s="20"/>
      <c r="G640" s="20"/>
      <c r="H640" s="20"/>
      <c r="I640" s="21"/>
      <c r="J640" s="15"/>
      <c r="K640" s="21"/>
      <c r="M640" s="19"/>
      <c r="N640" s="17"/>
    </row>
    <row r="641" spans="1:14" ht="14.25" customHeight="1" x14ac:dyDescent="0.25">
      <c r="A641" s="15"/>
      <c r="B641" s="15"/>
      <c r="C641" s="15"/>
      <c r="D641" s="20"/>
      <c r="E641" s="20"/>
      <c r="F641" s="20"/>
      <c r="G641" s="20"/>
      <c r="H641" s="20"/>
      <c r="I641" s="21"/>
      <c r="J641" s="15"/>
      <c r="K641" s="21"/>
      <c r="M641" s="19"/>
      <c r="N641" s="17"/>
    </row>
    <row r="642" spans="1:14" ht="14.25" customHeight="1" x14ac:dyDescent="0.25">
      <c r="A642" s="15"/>
      <c r="B642" s="15"/>
      <c r="C642" s="15"/>
      <c r="D642" s="20"/>
      <c r="E642" s="20"/>
      <c r="F642" s="20"/>
      <c r="G642" s="20"/>
      <c r="H642" s="20"/>
      <c r="I642" s="21"/>
      <c r="J642" s="15"/>
      <c r="K642" s="21"/>
      <c r="M642" s="19"/>
      <c r="N642" s="17"/>
    </row>
    <row r="643" spans="1:14" ht="14.25" customHeight="1" x14ac:dyDescent="0.25">
      <c r="A643" s="15"/>
      <c r="B643" s="15"/>
      <c r="C643" s="15"/>
      <c r="D643" s="20"/>
      <c r="E643" s="20"/>
      <c r="F643" s="20"/>
      <c r="G643" s="20"/>
      <c r="H643" s="20"/>
      <c r="I643" s="21"/>
      <c r="J643" s="15"/>
      <c r="K643" s="21"/>
      <c r="M643" s="19"/>
      <c r="N643" s="17"/>
    </row>
    <row r="644" spans="1:14" ht="14.25" customHeight="1" x14ac:dyDescent="0.25">
      <c r="A644" s="15"/>
      <c r="B644" s="15"/>
      <c r="C644" s="15"/>
      <c r="D644" s="20"/>
      <c r="E644" s="20"/>
      <c r="F644" s="20"/>
      <c r="G644" s="20"/>
      <c r="H644" s="20"/>
      <c r="I644" s="21"/>
      <c r="J644" s="15"/>
      <c r="K644" s="21"/>
      <c r="M644" s="19"/>
      <c r="N644" s="17"/>
    </row>
    <row r="645" spans="1:14" ht="14.25" customHeight="1" x14ac:dyDescent="0.25">
      <c r="A645" s="15"/>
      <c r="B645" s="15"/>
      <c r="C645" s="15"/>
      <c r="D645" s="20"/>
      <c r="E645" s="20"/>
      <c r="F645" s="20"/>
      <c r="G645" s="20"/>
      <c r="H645" s="20"/>
      <c r="I645" s="21"/>
      <c r="J645" s="15"/>
      <c r="K645" s="21"/>
      <c r="M645" s="19"/>
      <c r="N645" s="17"/>
    </row>
    <row r="646" spans="1:14" ht="14.25" customHeight="1" x14ac:dyDescent="0.25">
      <c r="A646" s="15"/>
      <c r="B646" s="15"/>
      <c r="C646" s="15"/>
      <c r="D646" s="20"/>
      <c r="E646" s="20"/>
      <c r="F646" s="20"/>
      <c r="G646" s="20"/>
      <c r="H646" s="20"/>
      <c r="I646" s="21"/>
      <c r="J646" s="15"/>
      <c r="K646" s="21"/>
      <c r="M646" s="19"/>
      <c r="N646" s="17"/>
    </row>
    <row r="647" spans="1:14" ht="14.25" customHeight="1" x14ac:dyDescent="0.25">
      <c r="A647" s="15"/>
      <c r="B647" s="15"/>
      <c r="C647" s="15"/>
      <c r="D647" s="20"/>
      <c r="E647" s="20"/>
      <c r="F647" s="20"/>
      <c r="G647" s="20"/>
      <c r="H647" s="20"/>
      <c r="I647" s="21"/>
      <c r="J647" s="15"/>
      <c r="K647" s="21"/>
      <c r="M647" s="19"/>
      <c r="N647" s="17"/>
    </row>
    <row r="648" spans="1:14" ht="14.25" customHeight="1" x14ac:dyDescent="0.25">
      <c r="A648" s="15"/>
      <c r="B648" s="15"/>
      <c r="C648" s="15"/>
      <c r="D648" s="20"/>
      <c r="E648" s="20"/>
      <c r="F648" s="20"/>
      <c r="G648" s="20"/>
      <c r="H648" s="20"/>
      <c r="I648" s="21"/>
      <c r="J648" s="15"/>
      <c r="K648" s="21"/>
      <c r="M648" s="19"/>
      <c r="N648" s="17"/>
    </row>
    <row r="649" spans="1:14" ht="14.25" customHeight="1" x14ac:dyDescent="0.25">
      <c r="A649" s="15"/>
      <c r="B649" s="15"/>
      <c r="C649" s="15"/>
      <c r="D649" s="20"/>
      <c r="E649" s="20"/>
      <c r="F649" s="20"/>
      <c r="G649" s="20"/>
      <c r="H649" s="20"/>
      <c r="I649" s="21"/>
      <c r="J649" s="15"/>
      <c r="K649" s="21"/>
      <c r="M649" s="19"/>
      <c r="N649" s="17"/>
    </row>
    <row r="650" spans="1:14" ht="14.25" customHeight="1" x14ac:dyDescent="0.25">
      <c r="A650" s="15"/>
      <c r="B650" s="15"/>
      <c r="C650" s="15"/>
      <c r="D650" s="20"/>
      <c r="E650" s="20"/>
      <c r="F650" s="20"/>
      <c r="G650" s="20"/>
      <c r="H650" s="20"/>
      <c r="I650" s="21"/>
      <c r="J650" s="15"/>
      <c r="K650" s="21"/>
      <c r="M650" s="19"/>
      <c r="N650" s="17"/>
    </row>
    <row r="651" spans="1:14" ht="14.25" customHeight="1" x14ac:dyDescent="0.25">
      <c r="A651" s="15"/>
      <c r="B651" s="15"/>
      <c r="C651" s="15"/>
      <c r="D651" s="20"/>
      <c r="E651" s="20"/>
      <c r="F651" s="20"/>
      <c r="G651" s="20"/>
      <c r="H651" s="20"/>
      <c r="I651" s="21"/>
      <c r="J651" s="15"/>
      <c r="K651" s="21"/>
      <c r="M651" s="19"/>
      <c r="N651" s="17"/>
    </row>
    <row r="652" spans="1:14" ht="14.25" customHeight="1" x14ac:dyDescent="0.25">
      <c r="A652" s="15"/>
      <c r="B652" s="15"/>
      <c r="C652" s="15"/>
      <c r="D652" s="20"/>
      <c r="E652" s="20"/>
      <c r="F652" s="20"/>
      <c r="G652" s="20"/>
      <c r="H652" s="20"/>
      <c r="I652" s="21"/>
      <c r="J652" s="15"/>
      <c r="K652" s="21"/>
      <c r="M652" s="19"/>
      <c r="N652" s="17"/>
    </row>
    <row r="653" spans="1:14" ht="14.25" customHeight="1" x14ac:dyDescent="0.25">
      <c r="A653" s="15"/>
      <c r="B653" s="15"/>
      <c r="C653" s="15"/>
      <c r="D653" s="20"/>
      <c r="E653" s="20"/>
      <c r="F653" s="20"/>
      <c r="G653" s="20"/>
      <c r="H653" s="20"/>
      <c r="I653" s="21"/>
      <c r="J653" s="15"/>
      <c r="K653" s="21"/>
      <c r="M653" s="19"/>
      <c r="N653" s="17"/>
    </row>
    <row r="654" spans="1:14" ht="14.25" customHeight="1" x14ac:dyDescent="0.25">
      <c r="A654" s="15"/>
      <c r="B654" s="15"/>
      <c r="C654" s="15"/>
      <c r="D654" s="20"/>
      <c r="E654" s="20"/>
      <c r="F654" s="20"/>
      <c r="G654" s="20"/>
      <c r="H654" s="20"/>
      <c r="I654" s="21"/>
      <c r="J654" s="15"/>
      <c r="K654" s="21"/>
      <c r="M654" s="19"/>
      <c r="N654" s="17"/>
    </row>
    <row r="655" spans="1:14" ht="14.25" customHeight="1" x14ac:dyDescent="0.25">
      <c r="A655" s="15"/>
      <c r="B655" s="15"/>
      <c r="C655" s="15"/>
      <c r="D655" s="20"/>
      <c r="E655" s="20"/>
      <c r="F655" s="20"/>
      <c r="G655" s="20"/>
      <c r="H655" s="20"/>
      <c r="I655" s="21"/>
      <c r="J655" s="15"/>
      <c r="K655" s="21"/>
      <c r="M655" s="19"/>
      <c r="N655" s="17"/>
    </row>
    <row r="656" spans="1:14" ht="14.25" customHeight="1" x14ac:dyDescent="0.25">
      <c r="A656" s="15"/>
      <c r="B656" s="15"/>
      <c r="C656" s="15"/>
      <c r="D656" s="20"/>
      <c r="E656" s="20"/>
      <c r="F656" s="20"/>
      <c r="G656" s="20"/>
      <c r="H656" s="20"/>
      <c r="I656" s="21"/>
      <c r="J656" s="15"/>
      <c r="K656" s="21"/>
      <c r="M656" s="19"/>
      <c r="N656" s="17"/>
    </row>
    <row r="657" spans="1:14" ht="14.25" customHeight="1" x14ac:dyDescent="0.25">
      <c r="A657" s="15"/>
      <c r="B657" s="15"/>
      <c r="C657" s="15"/>
      <c r="D657" s="20"/>
      <c r="E657" s="20"/>
      <c r="F657" s="20"/>
      <c r="G657" s="20"/>
      <c r="H657" s="20"/>
      <c r="I657" s="21"/>
      <c r="J657" s="15"/>
      <c r="K657" s="21"/>
      <c r="M657" s="19"/>
      <c r="N657" s="17"/>
    </row>
    <row r="658" spans="1:14" ht="14.25" customHeight="1" x14ac:dyDescent="0.25">
      <c r="A658" s="15"/>
      <c r="B658" s="15"/>
      <c r="C658" s="15"/>
      <c r="D658" s="20"/>
      <c r="E658" s="20"/>
      <c r="F658" s="20"/>
      <c r="G658" s="20"/>
      <c r="H658" s="20"/>
      <c r="I658" s="21"/>
      <c r="J658" s="15"/>
      <c r="K658" s="21"/>
      <c r="M658" s="19"/>
      <c r="N658" s="17"/>
    </row>
    <row r="659" spans="1:14" ht="14.25" customHeight="1" x14ac:dyDescent="0.25">
      <c r="A659" s="15"/>
      <c r="B659" s="15"/>
      <c r="C659" s="15"/>
      <c r="D659" s="20"/>
      <c r="E659" s="20"/>
      <c r="F659" s="20"/>
      <c r="G659" s="20"/>
      <c r="H659" s="20"/>
      <c r="I659" s="21"/>
      <c r="J659" s="15"/>
      <c r="K659" s="21"/>
      <c r="M659" s="19"/>
      <c r="N659" s="17"/>
    </row>
    <row r="660" spans="1:14" ht="14.25" customHeight="1" x14ac:dyDescent="0.25">
      <c r="A660" s="15"/>
      <c r="B660" s="15"/>
      <c r="C660" s="15"/>
      <c r="D660" s="20"/>
      <c r="E660" s="20"/>
      <c r="F660" s="20"/>
      <c r="G660" s="20"/>
      <c r="H660" s="20"/>
      <c r="I660" s="21"/>
      <c r="J660" s="15"/>
      <c r="K660" s="21"/>
      <c r="M660" s="19"/>
      <c r="N660" s="17"/>
    </row>
    <row r="661" spans="1:14" ht="14.25" customHeight="1" x14ac:dyDescent="0.25">
      <c r="A661" s="15"/>
      <c r="B661" s="15"/>
      <c r="C661" s="15"/>
      <c r="D661" s="20"/>
      <c r="E661" s="20"/>
      <c r="F661" s="20"/>
      <c r="G661" s="20"/>
      <c r="H661" s="20"/>
      <c r="I661" s="21"/>
      <c r="J661" s="15"/>
      <c r="K661" s="21"/>
      <c r="M661" s="19"/>
      <c r="N661" s="17"/>
    </row>
    <row r="662" spans="1:14" ht="14.25" customHeight="1" x14ac:dyDescent="0.25">
      <c r="A662" s="15"/>
      <c r="B662" s="15"/>
      <c r="C662" s="15"/>
      <c r="D662" s="20"/>
      <c r="E662" s="20"/>
      <c r="F662" s="20"/>
      <c r="G662" s="20"/>
      <c r="H662" s="20"/>
      <c r="I662" s="21"/>
      <c r="J662" s="15"/>
      <c r="K662" s="21"/>
      <c r="M662" s="19"/>
      <c r="N662" s="17"/>
    </row>
    <row r="663" spans="1:14" ht="14.25" customHeight="1" x14ac:dyDescent="0.25">
      <c r="A663" s="15"/>
      <c r="B663" s="15"/>
      <c r="C663" s="15"/>
      <c r="D663" s="20"/>
      <c r="E663" s="20"/>
      <c r="F663" s="20"/>
      <c r="G663" s="20"/>
      <c r="H663" s="20"/>
      <c r="I663" s="21"/>
      <c r="J663" s="15"/>
      <c r="K663" s="21"/>
      <c r="M663" s="19"/>
      <c r="N663" s="17"/>
    </row>
    <row r="664" spans="1:14" ht="14.25" customHeight="1" x14ac:dyDescent="0.25">
      <c r="A664" s="15"/>
      <c r="B664" s="15"/>
      <c r="C664" s="15"/>
      <c r="D664" s="20"/>
      <c r="E664" s="20"/>
      <c r="F664" s="20"/>
      <c r="G664" s="20"/>
      <c r="H664" s="20"/>
      <c r="I664" s="21"/>
      <c r="J664" s="15"/>
      <c r="K664" s="21"/>
      <c r="M664" s="19"/>
      <c r="N664" s="17"/>
    </row>
    <row r="665" spans="1:14" ht="14.25" customHeight="1" x14ac:dyDescent="0.25">
      <c r="A665" s="15"/>
      <c r="B665" s="15"/>
      <c r="C665" s="15"/>
      <c r="D665" s="20"/>
      <c r="E665" s="20"/>
      <c r="F665" s="20"/>
      <c r="G665" s="20"/>
      <c r="H665" s="20"/>
      <c r="I665" s="21"/>
      <c r="J665" s="15"/>
      <c r="K665" s="21"/>
      <c r="M665" s="19"/>
      <c r="N665" s="17"/>
    </row>
    <row r="666" spans="1:14" ht="14.25" customHeight="1" x14ac:dyDescent="0.25">
      <c r="A666" s="15"/>
      <c r="B666" s="15"/>
      <c r="C666" s="15"/>
      <c r="D666" s="20"/>
      <c r="E666" s="20"/>
      <c r="F666" s="20"/>
      <c r="G666" s="20"/>
      <c r="H666" s="20"/>
      <c r="I666" s="21"/>
      <c r="J666" s="15"/>
      <c r="K666" s="21"/>
      <c r="M666" s="19"/>
      <c r="N666" s="17"/>
    </row>
    <row r="667" spans="1:14" ht="14.25" customHeight="1" x14ac:dyDescent="0.25">
      <c r="A667" s="15"/>
      <c r="B667" s="15"/>
      <c r="C667" s="15"/>
      <c r="D667" s="20"/>
      <c r="E667" s="20"/>
      <c r="F667" s="20"/>
      <c r="G667" s="20"/>
      <c r="H667" s="20"/>
      <c r="I667" s="21"/>
      <c r="J667" s="15"/>
      <c r="K667" s="21"/>
      <c r="M667" s="19"/>
      <c r="N667" s="17"/>
    </row>
    <row r="668" spans="1:14" ht="14.25" customHeight="1" x14ac:dyDescent="0.25">
      <c r="A668" s="15"/>
      <c r="B668" s="15"/>
      <c r="C668" s="15"/>
      <c r="D668" s="20"/>
      <c r="E668" s="20"/>
      <c r="F668" s="20"/>
      <c r="G668" s="20"/>
      <c r="H668" s="20"/>
      <c r="I668" s="21"/>
      <c r="J668" s="15"/>
      <c r="K668" s="21"/>
      <c r="M668" s="19"/>
      <c r="N668" s="17"/>
    </row>
    <row r="669" spans="1:14" ht="14.25" customHeight="1" x14ac:dyDescent="0.25">
      <c r="A669" s="15"/>
      <c r="B669" s="15"/>
      <c r="C669" s="15"/>
      <c r="D669" s="20"/>
      <c r="E669" s="20"/>
      <c r="F669" s="20"/>
      <c r="G669" s="20"/>
      <c r="H669" s="20"/>
      <c r="I669" s="21"/>
      <c r="J669" s="15"/>
      <c r="K669" s="21"/>
      <c r="M669" s="19"/>
      <c r="N669" s="17"/>
    </row>
    <row r="670" spans="1:14" ht="14.25" customHeight="1" x14ac:dyDescent="0.25">
      <c r="A670" s="15"/>
      <c r="B670" s="15"/>
      <c r="C670" s="15"/>
      <c r="D670" s="20"/>
      <c r="E670" s="20"/>
      <c r="F670" s="20"/>
      <c r="G670" s="20"/>
      <c r="H670" s="20"/>
      <c r="I670" s="21"/>
      <c r="J670" s="15"/>
      <c r="K670" s="21"/>
      <c r="M670" s="19"/>
      <c r="N670" s="17"/>
    </row>
    <row r="671" spans="1:14" ht="14.25" customHeight="1" x14ac:dyDescent="0.25">
      <c r="A671" s="15"/>
      <c r="B671" s="15"/>
      <c r="C671" s="15"/>
      <c r="D671" s="20"/>
      <c r="E671" s="20"/>
      <c r="F671" s="20"/>
      <c r="G671" s="20"/>
      <c r="H671" s="20"/>
      <c r="I671" s="21"/>
      <c r="J671" s="15"/>
      <c r="K671" s="21"/>
      <c r="M671" s="19"/>
      <c r="N671" s="17"/>
    </row>
    <row r="672" spans="1:14" ht="14.25" customHeight="1" x14ac:dyDescent="0.25">
      <c r="A672" s="15"/>
      <c r="B672" s="15"/>
      <c r="C672" s="15"/>
      <c r="D672" s="20"/>
      <c r="E672" s="20"/>
      <c r="F672" s="20"/>
      <c r="G672" s="20"/>
      <c r="H672" s="20"/>
      <c r="I672" s="21"/>
      <c r="J672" s="15"/>
      <c r="K672" s="21"/>
      <c r="M672" s="19"/>
      <c r="N672" s="17"/>
    </row>
    <row r="673" spans="1:14" ht="14.25" customHeight="1" x14ac:dyDescent="0.25">
      <c r="A673" s="15"/>
      <c r="B673" s="15"/>
      <c r="C673" s="15"/>
      <c r="D673" s="20"/>
      <c r="E673" s="20"/>
      <c r="F673" s="20"/>
      <c r="G673" s="20"/>
      <c r="H673" s="20"/>
      <c r="I673" s="21"/>
      <c r="J673" s="15"/>
      <c r="K673" s="21"/>
      <c r="M673" s="19"/>
      <c r="N673" s="17"/>
    </row>
    <row r="674" spans="1:14" ht="14.25" customHeight="1" x14ac:dyDescent="0.25">
      <c r="A674" s="15"/>
      <c r="B674" s="15"/>
      <c r="C674" s="15"/>
      <c r="D674" s="20"/>
      <c r="E674" s="20"/>
      <c r="F674" s="20"/>
      <c r="G674" s="20"/>
      <c r="H674" s="20"/>
      <c r="I674" s="21"/>
      <c r="J674" s="15"/>
      <c r="K674" s="21"/>
      <c r="M674" s="19"/>
      <c r="N674" s="17"/>
    </row>
    <row r="675" spans="1:14" ht="14.25" customHeight="1" x14ac:dyDescent="0.25">
      <c r="A675" s="15"/>
      <c r="B675" s="15"/>
      <c r="C675" s="15"/>
      <c r="D675" s="20"/>
      <c r="E675" s="20"/>
      <c r="F675" s="20"/>
      <c r="G675" s="20"/>
      <c r="H675" s="20"/>
      <c r="I675" s="21"/>
      <c r="J675" s="15"/>
      <c r="K675" s="21"/>
      <c r="M675" s="19"/>
      <c r="N675" s="17"/>
    </row>
    <row r="676" spans="1:14" ht="14.25" customHeight="1" x14ac:dyDescent="0.25">
      <c r="A676" s="15"/>
      <c r="B676" s="15"/>
      <c r="C676" s="15"/>
      <c r="D676" s="20"/>
      <c r="E676" s="20"/>
      <c r="F676" s="20"/>
      <c r="G676" s="20"/>
      <c r="H676" s="20"/>
      <c r="I676" s="21"/>
      <c r="J676" s="15"/>
      <c r="K676" s="21"/>
      <c r="M676" s="19"/>
      <c r="N676" s="17"/>
    </row>
    <row r="677" spans="1:14" ht="14.25" customHeight="1" x14ac:dyDescent="0.25">
      <c r="A677" s="15"/>
      <c r="B677" s="15"/>
      <c r="C677" s="15"/>
      <c r="D677" s="20"/>
      <c r="E677" s="20"/>
      <c r="F677" s="20"/>
      <c r="G677" s="20"/>
      <c r="H677" s="20"/>
      <c r="I677" s="21"/>
      <c r="J677" s="15"/>
      <c r="K677" s="21"/>
      <c r="M677" s="19"/>
      <c r="N677" s="17"/>
    </row>
    <row r="678" spans="1:14" ht="14.25" customHeight="1" x14ac:dyDescent="0.25">
      <c r="A678" s="15"/>
      <c r="B678" s="15"/>
      <c r="C678" s="15"/>
      <c r="D678" s="20"/>
      <c r="E678" s="20"/>
      <c r="F678" s="20"/>
      <c r="G678" s="20"/>
      <c r="H678" s="20"/>
      <c r="I678" s="21"/>
      <c r="J678" s="15"/>
      <c r="K678" s="21"/>
      <c r="M678" s="19"/>
      <c r="N678" s="17"/>
    </row>
    <row r="679" spans="1:14" ht="14.25" customHeight="1" x14ac:dyDescent="0.25">
      <c r="A679" s="15"/>
      <c r="B679" s="15"/>
      <c r="C679" s="15"/>
      <c r="D679" s="20"/>
      <c r="E679" s="20"/>
      <c r="F679" s="20"/>
      <c r="G679" s="20"/>
      <c r="H679" s="20"/>
      <c r="I679" s="21"/>
      <c r="J679" s="15"/>
      <c r="K679" s="21"/>
      <c r="M679" s="19"/>
      <c r="N679" s="17"/>
    </row>
    <row r="680" spans="1:14" ht="14.25" customHeight="1" x14ac:dyDescent="0.25">
      <c r="A680" s="15"/>
      <c r="B680" s="15"/>
      <c r="C680" s="15"/>
      <c r="D680" s="20"/>
      <c r="E680" s="20"/>
      <c r="F680" s="20"/>
      <c r="G680" s="20"/>
      <c r="H680" s="20"/>
      <c r="I680" s="21"/>
      <c r="J680" s="15"/>
      <c r="K680" s="21"/>
      <c r="M680" s="19"/>
      <c r="N680" s="17"/>
    </row>
    <row r="681" spans="1:14" ht="14.25" customHeight="1" x14ac:dyDescent="0.25">
      <c r="A681" s="15"/>
      <c r="B681" s="15"/>
      <c r="C681" s="15"/>
      <c r="D681" s="20"/>
      <c r="E681" s="20"/>
      <c r="F681" s="20"/>
      <c r="G681" s="20"/>
      <c r="H681" s="20"/>
      <c r="I681" s="21"/>
      <c r="J681" s="15"/>
      <c r="K681" s="21"/>
      <c r="M681" s="19"/>
      <c r="N681" s="17"/>
    </row>
    <row r="682" spans="1:14" ht="14.25" customHeight="1" x14ac:dyDescent="0.25">
      <c r="A682" s="15"/>
      <c r="B682" s="15"/>
      <c r="C682" s="15"/>
      <c r="D682" s="20"/>
      <c r="E682" s="20"/>
      <c r="F682" s="20"/>
      <c r="G682" s="20"/>
      <c r="H682" s="20"/>
      <c r="I682" s="21"/>
      <c r="J682" s="15"/>
      <c r="K682" s="21"/>
      <c r="M682" s="19"/>
      <c r="N682" s="17"/>
    </row>
    <row r="683" spans="1:14" ht="14.25" customHeight="1" x14ac:dyDescent="0.25">
      <c r="A683" s="15"/>
      <c r="B683" s="15"/>
      <c r="C683" s="15"/>
      <c r="D683" s="20"/>
      <c r="E683" s="20"/>
      <c r="F683" s="20"/>
      <c r="G683" s="20"/>
      <c r="H683" s="20"/>
      <c r="I683" s="21"/>
      <c r="J683" s="15"/>
      <c r="K683" s="21"/>
      <c r="M683" s="19"/>
      <c r="N683" s="17"/>
    </row>
    <row r="684" spans="1:14" ht="14.25" customHeight="1" x14ac:dyDescent="0.25">
      <c r="A684" s="15"/>
      <c r="B684" s="15"/>
      <c r="C684" s="15"/>
      <c r="D684" s="20"/>
      <c r="E684" s="20"/>
      <c r="F684" s="20"/>
      <c r="G684" s="20"/>
      <c r="H684" s="20"/>
      <c r="I684" s="21"/>
      <c r="J684" s="15"/>
      <c r="K684" s="21"/>
      <c r="M684" s="19"/>
      <c r="N684" s="17"/>
    </row>
    <row r="685" spans="1:14" ht="14.25" customHeight="1" x14ac:dyDescent="0.25">
      <c r="A685" s="15"/>
      <c r="B685" s="15"/>
      <c r="C685" s="15"/>
      <c r="D685" s="20"/>
      <c r="E685" s="20"/>
      <c r="F685" s="20"/>
      <c r="G685" s="20"/>
      <c r="H685" s="20"/>
      <c r="I685" s="21"/>
      <c r="J685" s="15"/>
      <c r="K685" s="21"/>
      <c r="M685" s="19"/>
      <c r="N685" s="17"/>
    </row>
    <row r="686" spans="1:14" ht="14.25" customHeight="1" x14ac:dyDescent="0.25">
      <c r="A686" s="15"/>
      <c r="B686" s="15"/>
      <c r="C686" s="15"/>
      <c r="D686" s="20"/>
      <c r="E686" s="20"/>
      <c r="F686" s="20"/>
      <c r="G686" s="20"/>
      <c r="H686" s="20"/>
      <c r="I686" s="21"/>
      <c r="J686" s="15"/>
      <c r="K686" s="21"/>
      <c r="M686" s="19"/>
      <c r="N686" s="17"/>
    </row>
    <row r="687" spans="1:14" ht="14.25" customHeight="1" x14ac:dyDescent="0.25">
      <c r="A687" s="15"/>
      <c r="B687" s="15"/>
      <c r="C687" s="15"/>
      <c r="D687" s="20"/>
      <c r="E687" s="20"/>
      <c r="F687" s="20"/>
      <c r="G687" s="20"/>
      <c r="H687" s="20"/>
      <c r="I687" s="21"/>
      <c r="J687" s="15"/>
      <c r="K687" s="21"/>
      <c r="M687" s="19"/>
      <c r="N687" s="17"/>
    </row>
    <row r="688" spans="1:14" ht="14.25" customHeight="1" x14ac:dyDescent="0.25">
      <c r="A688" s="15"/>
      <c r="B688" s="15"/>
      <c r="C688" s="15"/>
      <c r="D688" s="20"/>
      <c r="E688" s="20"/>
      <c r="F688" s="20"/>
      <c r="G688" s="20"/>
      <c r="H688" s="20"/>
      <c r="I688" s="21"/>
      <c r="J688" s="15"/>
      <c r="K688" s="21"/>
      <c r="M688" s="19"/>
      <c r="N688" s="17"/>
    </row>
    <row r="689" spans="1:14" ht="14.25" customHeight="1" x14ac:dyDescent="0.25">
      <c r="A689" s="15"/>
      <c r="B689" s="15"/>
      <c r="C689" s="15"/>
      <c r="D689" s="20"/>
      <c r="E689" s="20"/>
      <c r="F689" s="20"/>
      <c r="G689" s="20"/>
      <c r="H689" s="20"/>
      <c r="I689" s="21"/>
      <c r="J689" s="15"/>
      <c r="K689" s="21"/>
      <c r="M689" s="19"/>
      <c r="N689" s="17"/>
    </row>
    <row r="690" spans="1:14" ht="14.25" customHeight="1" x14ac:dyDescent="0.25">
      <c r="A690" s="15"/>
      <c r="B690" s="15"/>
      <c r="C690" s="15"/>
      <c r="D690" s="20"/>
      <c r="E690" s="20"/>
      <c r="F690" s="20"/>
      <c r="G690" s="20"/>
      <c r="H690" s="20"/>
      <c r="I690" s="21"/>
      <c r="J690" s="15"/>
      <c r="K690" s="21"/>
      <c r="M690" s="19"/>
      <c r="N690" s="17"/>
    </row>
    <row r="691" spans="1:14" ht="14.25" customHeight="1" x14ac:dyDescent="0.25">
      <c r="A691" s="15"/>
      <c r="B691" s="15"/>
      <c r="C691" s="15"/>
      <c r="D691" s="20"/>
      <c r="E691" s="20"/>
      <c r="F691" s="20"/>
      <c r="G691" s="20"/>
      <c r="H691" s="20"/>
      <c r="I691" s="21"/>
      <c r="J691" s="15"/>
      <c r="K691" s="21"/>
      <c r="M691" s="19"/>
      <c r="N691" s="17"/>
    </row>
    <row r="692" spans="1:14" ht="14.25" customHeight="1" x14ac:dyDescent="0.25">
      <c r="A692" s="15"/>
      <c r="B692" s="15"/>
      <c r="C692" s="15"/>
      <c r="D692" s="20"/>
      <c r="E692" s="20"/>
      <c r="F692" s="20"/>
      <c r="G692" s="20"/>
      <c r="H692" s="20"/>
      <c r="I692" s="21"/>
      <c r="J692" s="15"/>
      <c r="K692" s="21"/>
      <c r="M692" s="19"/>
      <c r="N692" s="17"/>
    </row>
    <row r="693" spans="1:14" ht="14.25" customHeight="1" x14ac:dyDescent="0.25">
      <c r="A693" s="15"/>
      <c r="B693" s="15"/>
      <c r="C693" s="15"/>
      <c r="D693" s="20"/>
      <c r="E693" s="20"/>
      <c r="F693" s="20"/>
      <c r="G693" s="20"/>
      <c r="H693" s="20"/>
      <c r="I693" s="21"/>
      <c r="J693" s="15"/>
      <c r="K693" s="21"/>
      <c r="M693" s="19"/>
      <c r="N693" s="17"/>
    </row>
    <row r="694" spans="1:14" ht="14.25" customHeight="1" x14ac:dyDescent="0.25">
      <c r="A694" s="15"/>
      <c r="B694" s="15"/>
      <c r="C694" s="15"/>
      <c r="D694" s="20"/>
      <c r="E694" s="20"/>
      <c r="F694" s="20"/>
      <c r="G694" s="20"/>
      <c r="H694" s="20"/>
      <c r="I694" s="21"/>
      <c r="J694" s="15"/>
      <c r="K694" s="21"/>
      <c r="M694" s="19"/>
      <c r="N694" s="17"/>
    </row>
    <row r="695" spans="1:14" ht="14.25" customHeight="1" x14ac:dyDescent="0.25">
      <c r="A695" s="15"/>
      <c r="B695" s="15"/>
      <c r="C695" s="15"/>
      <c r="D695" s="20"/>
      <c r="E695" s="20"/>
      <c r="F695" s="20"/>
      <c r="G695" s="20"/>
      <c r="H695" s="20"/>
      <c r="I695" s="21"/>
      <c r="J695" s="15"/>
      <c r="K695" s="21"/>
      <c r="M695" s="19"/>
      <c r="N695" s="17"/>
    </row>
    <row r="696" spans="1:14" ht="14.25" customHeight="1" x14ac:dyDescent="0.25">
      <c r="A696" s="15"/>
      <c r="B696" s="15"/>
      <c r="C696" s="15"/>
      <c r="D696" s="20"/>
      <c r="E696" s="20"/>
      <c r="F696" s="20"/>
      <c r="G696" s="20"/>
      <c r="H696" s="20"/>
      <c r="I696" s="21"/>
      <c r="J696" s="15"/>
      <c r="K696" s="21"/>
      <c r="M696" s="19"/>
      <c r="N696" s="17"/>
    </row>
    <row r="697" spans="1:14" ht="14.25" customHeight="1" x14ac:dyDescent="0.25">
      <c r="A697" s="15"/>
      <c r="B697" s="15"/>
      <c r="C697" s="15"/>
      <c r="D697" s="20"/>
      <c r="E697" s="20"/>
      <c r="F697" s="20"/>
      <c r="G697" s="20"/>
      <c r="H697" s="20"/>
      <c r="I697" s="21"/>
      <c r="J697" s="15"/>
      <c r="K697" s="21"/>
      <c r="M697" s="19"/>
      <c r="N697" s="17"/>
    </row>
    <row r="698" spans="1:14" ht="14.25" customHeight="1" x14ac:dyDescent="0.25">
      <c r="A698" s="15"/>
      <c r="B698" s="15"/>
      <c r="C698" s="15"/>
      <c r="D698" s="20"/>
      <c r="E698" s="20"/>
      <c r="F698" s="20"/>
      <c r="G698" s="20"/>
      <c r="H698" s="20"/>
      <c r="I698" s="21"/>
      <c r="J698" s="15"/>
      <c r="K698" s="21"/>
      <c r="M698" s="19"/>
      <c r="N698" s="17"/>
    </row>
    <row r="699" spans="1:14" ht="14.25" customHeight="1" x14ac:dyDescent="0.25">
      <c r="A699" s="15"/>
      <c r="B699" s="15"/>
      <c r="C699" s="15"/>
      <c r="D699" s="20"/>
      <c r="E699" s="20"/>
      <c r="F699" s="20"/>
      <c r="G699" s="20"/>
      <c r="H699" s="20"/>
      <c r="I699" s="21"/>
      <c r="J699" s="15"/>
      <c r="K699" s="21"/>
      <c r="M699" s="19"/>
      <c r="N699" s="17"/>
    </row>
    <row r="700" spans="1:14" ht="14.25" customHeight="1" x14ac:dyDescent="0.25">
      <c r="A700" s="15"/>
      <c r="B700" s="15"/>
      <c r="C700" s="15"/>
      <c r="D700" s="20"/>
      <c r="E700" s="20"/>
      <c r="F700" s="20"/>
      <c r="G700" s="20"/>
      <c r="H700" s="20"/>
      <c r="I700" s="21"/>
      <c r="J700" s="15"/>
      <c r="K700" s="21"/>
      <c r="M700" s="19"/>
      <c r="N700" s="17"/>
    </row>
    <row r="701" spans="1:14" ht="14.25" customHeight="1" x14ac:dyDescent="0.25">
      <c r="A701" s="15"/>
      <c r="B701" s="15"/>
      <c r="C701" s="15"/>
      <c r="D701" s="20"/>
      <c r="E701" s="20"/>
      <c r="F701" s="20"/>
      <c r="G701" s="20"/>
      <c r="H701" s="20"/>
      <c r="I701" s="21"/>
      <c r="J701" s="15"/>
      <c r="K701" s="21"/>
      <c r="M701" s="19"/>
      <c r="N701" s="17"/>
    </row>
    <row r="702" spans="1:14" ht="14.25" customHeight="1" x14ac:dyDescent="0.25">
      <c r="A702" s="15"/>
      <c r="B702" s="15"/>
      <c r="C702" s="15"/>
      <c r="D702" s="20"/>
      <c r="E702" s="20"/>
      <c r="F702" s="20"/>
      <c r="G702" s="20"/>
      <c r="H702" s="20"/>
      <c r="I702" s="21"/>
      <c r="J702" s="15"/>
      <c r="K702" s="21"/>
      <c r="M702" s="19"/>
      <c r="N702" s="17"/>
    </row>
    <row r="703" spans="1:14" ht="14.25" customHeight="1" x14ac:dyDescent="0.25">
      <c r="A703" s="15"/>
      <c r="B703" s="15"/>
      <c r="C703" s="15"/>
      <c r="D703" s="20"/>
      <c r="E703" s="20"/>
      <c r="F703" s="20"/>
      <c r="G703" s="20"/>
      <c r="H703" s="20"/>
      <c r="I703" s="21"/>
      <c r="J703" s="15"/>
      <c r="K703" s="21"/>
      <c r="M703" s="19"/>
      <c r="N703" s="17"/>
    </row>
    <row r="704" spans="1:14" ht="14.25" customHeight="1" x14ac:dyDescent="0.25">
      <c r="A704" s="15"/>
      <c r="B704" s="15"/>
      <c r="C704" s="15"/>
      <c r="D704" s="20"/>
      <c r="E704" s="20"/>
      <c r="F704" s="20"/>
      <c r="G704" s="20"/>
      <c r="H704" s="20"/>
      <c r="I704" s="21"/>
      <c r="J704" s="15"/>
      <c r="K704" s="21"/>
      <c r="M704" s="19"/>
      <c r="N704" s="17"/>
    </row>
    <row r="705" spans="1:14" ht="14.25" customHeight="1" x14ac:dyDescent="0.25">
      <c r="A705" s="15"/>
      <c r="B705" s="15"/>
      <c r="C705" s="15"/>
      <c r="D705" s="20"/>
      <c r="E705" s="20"/>
      <c r="F705" s="20"/>
      <c r="G705" s="20"/>
      <c r="H705" s="20"/>
      <c r="I705" s="21"/>
      <c r="J705" s="15"/>
      <c r="K705" s="21"/>
      <c r="M705" s="19"/>
      <c r="N705" s="17"/>
    </row>
    <row r="706" spans="1:14" ht="14.25" customHeight="1" x14ac:dyDescent="0.25">
      <c r="A706" s="15"/>
      <c r="B706" s="15"/>
      <c r="C706" s="15"/>
      <c r="D706" s="20"/>
      <c r="E706" s="20"/>
      <c r="F706" s="20"/>
      <c r="G706" s="20"/>
      <c r="H706" s="20"/>
      <c r="I706" s="21"/>
      <c r="J706" s="15"/>
      <c r="K706" s="21"/>
      <c r="M706" s="19"/>
      <c r="N706" s="17"/>
    </row>
    <row r="707" spans="1:14" ht="14.25" customHeight="1" x14ac:dyDescent="0.25">
      <c r="A707" s="15"/>
      <c r="B707" s="15"/>
      <c r="C707" s="15"/>
      <c r="D707" s="20"/>
      <c r="E707" s="20"/>
      <c r="F707" s="20"/>
      <c r="G707" s="20"/>
      <c r="H707" s="20"/>
      <c r="I707" s="21"/>
      <c r="J707" s="15"/>
      <c r="K707" s="21"/>
      <c r="M707" s="19"/>
      <c r="N707" s="17"/>
    </row>
    <row r="708" spans="1:14" ht="14.25" customHeight="1" x14ac:dyDescent="0.25">
      <c r="A708" s="15"/>
      <c r="B708" s="15"/>
      <c r="C708" s="15"/>
      <c r="D708" s="20"/>
      <c r="E708" s="20"/>
      <c r="F708" s="20"/>
      <c r="G708" s="20"/>
      <c r="H708" s="20"/>
      <c r="I708" s="21"/>
      <c r="J708" s="15"/>
      <c r="K708" s="21"/>
      <c r="M708" s="19"/>
      <c r="N708" s="17"/>
    </row>
    <row r="709" spans="1:14" ht="14.25" customHeight="1" x14ac:dyDescent="0.25">
      <c r="A709" s="15"/>
      <c r="B709" s="15"/>
      <c r="C709" s="15"/>
      <c r="D709" s="20"/>
      <c r="E709" s="20"/>
      <c r="F709" s="20"/>
      <c r="G709" s="20"/>
      <c r="H709" s="20"/>
      <c r="I709" s="21"/>
      <c r="J709" s="15"/>
      <c r="K709" s="21"/>
      <c r="M709" s="19"/>
      <c r="N709" s="17"/>
    </row>
    <row r="710" spans="1:14" ht="14.25" customHeight="1" x14ac:dyDescent="0.25">
      <c r="A710" s="15"/>
      <c r="B710" s="15"/>
      <c r="C710" s="15"/>
      <c r="D710" s="20"/>
      <c r="E710" s="20"/>
      <c r="F710" s="20"/>
      <c r="G710" s="20"/>
      <c r="H710" s="20"/>
      <c r="I710" s="21"/>
      <c r="J710" s="15"/>
      <c r="K710" s="21"/>
      <c r="M710" s="19"/>
      <c r="N710" s="17"/>
    </row>
    <row r="711" spans="1:14" ht="14.25" customHeight="1" x14ac:dyDescent="0.25">
      <c r="A711" s="15"/>
      <c r="B711" s="15"/>
      <c r="C711" s="15"/>
      <c r="D711" s="20"/>
      <c r="E711" s="20"/>
      <c r="F711" s="20"/>
      <c r="G711" s="20"/>
      <c r="H711" s="20"/>
      <c r="I711" s="21"/>
      <c r="J711" s="15"/>
      <c r="K711" s="21"/>
      <c r="M711" s="19"/>
      <c r="N711" s="17"/>
    </row>
    <row r="712" spans="1:14" ht="14.25" customHeight="1" x14ac:dyDescent="0.25">
      <c r="A712" s="15"/>
      <c r="B712" s="15"/>
      <c r="C712" s="15"/>
      <c r="D712" s="20"/>
      <c r="E712" s="20"/>
      <c r="F712" s="20"/>
      <c r="G712" s="20"/>
      <c r="H712" s="20"/>
      <c r="I712" s="21"/>
      <c r="J712" s="15"/>
      <c r="K712" s="21"/>
      <c r="M712" s="19"/>
      <c r="N712" s="17"/>
    </row>
    <row r="713" spans="1:14" ht="14.25" customHeight="1" x14ac:dyDescent="0.25">
      <c r="A713" s="15"/>
      <c r="B713" s="15"/>
      <c r="C713" s="15"/>
      <c r="D713" s="20"/>
      <c r="E713" s="20"/>
      <c r="F713" s="20"/>
      <c r="G713" s="20"/>
      <c r="H713" s="20"/>
      <c r="I713" s="21"/>
      <c r="J713" s="15"/>
      <c r="K713" s="21"/>
      <c r="M713" s="19"/>
      <c r="N713" s="17"/>
    </row>
    <row r="714" spans="1:14" ht="14.25" customHeight="1" x14ac:dyDescent="0.25">
      <c r="A714" s="15"/>
      <c r="B714" s="15"/>
      <c r="C714" s="15"/>
      <c r="D714" s="20"/>
      <c r="E714" s="20"/>
      <c r="F714" s="20"/>
      <c r="G714" s="20"/>
      <c r="H714" s="20"/>
      <c r="I714" s="21"/>
      <c r="J714" s="15"/>
      <c r="K714" s="21"/>
      <c r="M714" s="19"/>
      <c r="N714" s="17"/>
    </row>
    <row r="715" spans="1:14" ht="14.25" customHeight="1" x14ac:dyDescent="0.25">
      <c r="A715" s="15"/>
      <c r="B715" s="15"/>
      <c r="C715" s="15"/>
      <c r="D715" s="20"/>
      <c r="E715" s="20"/>
      <c r="F715" s="20"/>
      <c r="G715" s="20"/>
      <c r="H715" s="20"/>
      <c r="I715" s="21"/>
      <c r="J715" s="15"/>
      <c r="K715" s="21"/>
      <c r="M715" s="19"/>
      <c r="N715" s="17"/>
    </row>
    <row r="716" spans="1:14" ht="14.25" customHeight="1" x14ac:dyDescent="0.25">
      <c r="A716" s="15"/>
      <c r="B716" s="15"/>
      <c r="C716" s="15"/>
      <c r="D716" s="20"/>
      <c r="E716" s="20"/>
      <c r="F716" s="20"/>
      <c r="G716" s="20"/>
      <c r="H716" s="20"/>
      <c r="I716" s="21"/>
      <c r="J716" s="15"/>
      <c r="K716" s="21"/>
      <c r="M716" s="19"/>
      <c r="N716" s="17"/>
    </row>
    <row r="717" spans="1:14" ht="14.25" customHeight="1" x14ac:dyDescent="0.25">
      <c r="A717" s="15"/>
      <c r="B717" s="15"/>
      <c r="C717" s="15"/>
      <c r="D717" s="20"/>
      <c r="E717" s="20"/>
      <c r="F717" s="20"/>
      <c r="G717" s="20"/>
      <c r="H717" s="20"/>
      <c r="I717" s="21"/>
      <c r="J717" s="15"/>
      <c r="K717" s="21"/>
      <c r="M717" s="19"/>
      <c r="N717" s="17"/>
    </row>
    <row r="718" spans="1:14" ht="14.25" customHeight="1" x14ac:dyDescent="0.25">
      <c r="A718" s="15"/>
      <c r="B718" s="15"/>
      <c r="C718" s="15"/>
      <c r="D718" s="20"/>
      <c r="E718" s="20"/>
      <c r="F718" s="20"/>
      <c r="G718" s="20"/>
      <c r="H718" s="20"/>
      <c r="I718" s="21"/>
      <c r="J718" s="15"/>
      <c r="K718" s="21"/>
      <c r="M718" s="19"/>
      <c r="N718" s="17"/>
    </row>
    <row r="719" spans="1:14" ht="14.25" customHeight="1" x14ac:dyDescent="0.25">
      <c r="A719" s="15"/>
      <c r="B719" s="15"/>
      <c r="C719" s="15"/>
      <c r="D719" s="20"/>
      <c r="E719" s="20"/>
      <c r="F719" s="20"/>
      <c r="G719" s="20"/>
      <c r="H719" s="20"/>
      <c r="I719" s="21"/>
      <c r="J719" s="15"/>
      <c r="K719" s="21"/>
      <c r="M719" s="19"/>
      <c r="N719" s="17"/>
    </row>
    <row r="720" spans="1:14" ht="14.25" customHeight="1" x14ac:dyDescent="0.25">
      <c r="A720" s="15"/>
      <c r="B720" s="15"/>
      <c r="C720" s="15"/>
      <c r="D720" s="20"/>
      <c r="E720" s="20"/>
      <c r="F720" s="20"/>
      <c r="G720" s="20"/>
      <c r="H720" s="20"/>
      <c r="I720" s="21"/>
      <c r="J720" s="15"/>
      <c r="K720" s="21"/>
      <c r="M720" s="19"/>
      <c r="N720" s="17"/>
    </row>
    <row r="721" spans="1:14" ht="14.25" customHeight="1" x14ac:dyDescent="0.25">
      <c r="A721" s="15"/>
      <c r="B721" s="15"/>
      <c r="C721" s="15"/>
      <c r="D721" s="20"/>
      <c r="E721" s="20"/>
      <c r="F721" s="20"/>
      <c r="G721" s="20"/>
      <c r="H721" s="20"/>
      <c r="I721" s="21"/>
      <c r="J721" s="15"/>
      <c r="K721" s="21"/>
      <c r="M721" s="19"/>
      <c r="N721" s="17"/>
    </row>
    <row r="722" spans="1:14" ht="14.25" customHeight="1" x14ac:dyDescent="0.25">
      <c r="A722" s="15"/>
      <c r="B722" s="15"/>
      <c r="C722" s="15"/>
      <c r="D722" s="20"/>
      <c r="E722" s="20"/>
      <c r="F722" s="20"/>
      <c r="G722" s="20"/>
      <c r="H722" s="20"/>
      <c r="I722" s="21"/>
      <c r="J722" s="15"/>
      <c r="K722" s="21"/>
      <c r="M722" s="19"/>
      <c r="N722" s="17"/>
    </row>
    <row r="723" spans="1:14" ht="14.25" customHeight="1" x14ac:dyDescent="0.25">
      <c r="A723" s="15"/>
      <c r="B723" s="15"/>
      <c r="C723" s="15"/>
      <c r="D723" s="20"/>
      <c r="E723" s="20"/>
      <c r="F723" s="20"/>
      <c r="G723" s="20"/>
      <c r="H723" s="20"/>
      <c r="I723" s="21"/>
      <c r="J723" s="15"/>
      <c r="K723" s="21"/>
      <c r="M723" s="19"/>
      <c r="N723" s="17"/>
    </row>
    <row r="724" spans="1:14" ht="14.25" customHeight="1" x14ac:dyDescent="0.25">
      <c r="A724" s="15"/>
      <c r="B724" s="15"/>
      <c r="C724" s="15"/>
      <c r="D724" s="20"/>
      <c r="E724" s="20"/>
      <c r="F724" s="20"/>
      <c r="G724" s="20"/>
      <c r="H724" s="20"/>
      <c r="I724" s="21"/>
      <c r="J724" s="15"/>
      <c r="K724" s="21"/>
      <c r="M724" s="19"/>
      <c r="N724" s="17"/>
    </row>
    <row r="725" spans="1:14" ht="14.25" customHeight="1" x14ac:dyDescent="0.25">
      <c r="A725" s="15"/>
      <c r="B725" s="15"/>
      <c r="C725" s="15"/>
      <c r="D725" s="20"/>
      <c r="E725" s="20"/>
      <c r="F725" s="20"/>
      <c r="G725" s="20"/>
      <c r="H725" s="20"/>
      <c r="I725" s="21"/>
      <c r="J725" s="15"/>
      <c r="K725" s="21"/>
      <c r="M725" s="19"/>
      <c r="N725" s="17"/>
    </row>
    <row r="726" spans="1:14" ht="14.25" customHeight="1" x14ac:dyDescent="0.25">
      <c r="A726" s="15"/>
      <c r="B726" s="15"/>
      <c r="C726" s="15"/>
      <c r="D726" s="20"/>
      <c r="E726" s="20"/>
      <c r="F726" s="20"/>
      <c r="G726" s="20"/>
      <c r="H726" s="20"/>
      <c r="I726" s="21"/>
      <c r="J726" s="15"/>
      <c r="K726" s="21"/>
      <c r="M726" s="19"/>
      <c r="N726" s="17"/>
    </row>
    <row r="727" spans="1:14" ht="14.25" customHeight="1" x14ac:dyDescent="0.25">
      <c r="A727" s="15"/>
      <c r="B727" s="15"/>
      <c r="C727" s="15"/>
      <c r="D727" s="20"/>
      <c r="E727" s="20"/>
      <c r="F727" s="20"/>
      <c r="G727" s="20"/>
      <c r="H727" s="20"/>
      <c r="I727" s="21"/>
      <c r="J727" s="15"/>
      <c r="K727" s="21"/>
      <c r="M727" s="19"/>
      <c r="N727" s="17"/>
    </row>
    <row r="728" spans="1:14" ht="14.25" customHeight="1" x14ac:dyDescent="0.25">
      <c r="A728" s="15"/>
      <c r="B728" s="15"/>
      <c r="C728" s="15"/>
      <c r="D728" s="20"/>
      <c r="E728" s="20"/>
      <c r="F728" s="20"/>
      <c r="G728" s="20"/>
      <c r="H728" s="20"/>
      <c r="I728" s="21"/>
      <c r="J728" s="15"/>
      <c r="K728" s="21"/>
      <c r="M728" s="19"/>
      <c r="N728" s="17"/>
    </row>
    <row r="729" spans="1:14" ht="14.25" customHeight="1" x14ac:dyDescent="0.25">
      <c r="A729" s="15"/>
      <c r="B729" s="15"/>
      <c r="C729" s="15"/>
      <c r="D729" s="20"/>
      <c r="E729" s="20"/>
      <c r="F729" s="20"/>
      <c r="G729" s="20"/>
      <c r="H729" s="20"/>
      <c r="I729" s="21"/>
      <c r="J729" s="15"/>
      <c r="K729" s="21"/>
      <c r="M729" s="19"/>
      <c r="N729" s="17"/>
    </row>
    <row r="730" spans="1:14" ht="14.25" customHeight="1" x14ac:dyDescent="0.25">
      <c r="A730" s="15"/>
      <c r="B730" s="15"/>
      <c r="C730" s="15"/>
      <c r="D730" s="20"/>
      <c r="E730" s="20"/>
      <c r="F730" s="20"/>
      <c r="G730" s="20"/>
      <c r="H730" s="20"/>
      <c r="I730" s="21"/>
      <c r="J730" s="15"/>
      <c r="K730" s="21"/>
      <c r="M730" s="19"/>
      <c r="N730" s="17"/>
    </row>
    <row r="731" spans="1:14" ht="14.25" customHeight="1" x14ac:dyDescent="0.25">
      <c r="A731" s="15"/>
      <c r="B731" s="15"/>
      <c r="C731" s="15"/>
      <c r="D731" s="20"/>
      <c r="E731" s="20"/>
      <c r="F731" s="20"/>
      <c r="G731" s="20"/>
      <c r="H731" s="20"/>
      <c r="I731" s="21"/>
      <c r="J731" s="15"/>
      <c r="K731" s="21"/>
      <c r="M731" s="19"/>
      <c r="N731" s="17"/>
    </row>
    <row r="732" spans="1:14" ht="14.25" customHeight="1" x14ac:dyDescent="0.25">
      <c r="A732" s="15"/>
      <c r="B732" s="15"/>
      <c r="C732" s="15"/>
      <c r="D732" s="20"/>
      <c r="E732" s="20"/>
      <c r="F732" s="20"/>
      <c r="G732" s="20"/>
      <c r="H732" s="20"/>
      <c r="I732" s="21"/>
      <c r="J732" s="15"/>
      <c r="K732" s="21"/>
      <c r="M732" s="19"/>
      <c r="N732" s="17"/>
    </row>
    <row r="733" spans="1:14" ht="14.25" customHeight="1" x14ac:dyDescent="0.25">
      <c r="A733" s="15"/>
      <c r="B733" s="15"/>
      <c r="C733" s="15"/>
      <c r="D733" s="20"/>
      <c r="E733" s="20"/>
      <c r="F733" s="20"/>
      <c r="G733" s="20"/>
      <c r="H733" s="20"/>
      <c r="I733" s="21"/>
      <c r="J733" s="15"/>
      <c r="K733" s="21"/>
      <c r="M733" s="19"/>
      <c r="N733" s="17"/>
    </row>
    <row r="734" spans="1:14" ht="14.25" customHeight="1" x14ac:dyDescent="0.25">
      <c r="A734" s="15"/>
      <c r="B734" s="15"/>
      <c r="C734" s="15"/>
      <c r="D734" s="20"/>
      <c r="E734" s="20"/>
      <c r="F734" s="20"/>
      <c r="G734" s="20"/>
      <c r="H734" s="20"/>
      <c r="I734" s="21"/>
      <c r="J734" s="15"/>
      <c r="K734" s="21"/>
      <c r="M734" s="19"/>
      <c r="N734" s="17"/>
    </row>
    <row r="735" spans="1:14" ht="14.25" customHeight="1" x14ac:dyDescent="0.25">
      <c r="A735" s="15"/>
      <c r="B735" s="15"/>
      <c r="C735" s="15"/>
      <c r="D735" s="20"/>
      <c r="E735" s="20"/>
      <c r="F735" s="20"/>
      <c r="G735" s="20"/>
      <c r="H735" s="20"/>
      <c r="I735" s="21"/>
      <c r="J735" s="15"/>
      <c r="K735" s="21"/>
      <c r="M735" s="19"/>
      <c r="N735" s="17"/>
    </row>
    <row r="736" spans="1:14" ht="14.25" customHeight="1" x14ac:dyDescent="0.25">
      <c r="A736" s="15"/>
      <c r="B736" s="15"/>
      <c r="C736" s="15"/>
      <c r="D736" s="20"/>
      <c r="E736" s="20"/>
      <c r="F736" s="20"/>
      <c r="G736" s="20"/>
      <c r="H736" s="20"/>
      <c r="I736" s="21"/>
      <c r="J736" s="15"/>
      <c r="K736" s="21"/>
      <c r="M736" s="19"/>
      <c r="N736" s="17"/>
    </row>
    <row r="737" spans="1:14" ht="14.25" customHeight="1" x14ac:dyDescent="0.25">
      <c r="A737" s="15"/>
      <c r="B737" s="15"/>
      <c r="C737" s="15"/>
      <c r="D737" s="20"/>
      <c r="E737" s="20"/>
      <c r="F737" s="20"/>
      <c r="G737" s="20"/>
      <c r="H737" s="20"/>
      <c r="I737" s="21"/>
      <c r="J737" s="15"/>
      <c r="K737" s="21"/>
      <c r="M737" s="19"/>
      <c r="N737" s="17"/>
    </row>
    <row r="738" spans="1:14" ht="14.25" customHeight="1" x14ac:dyDescent="0.25">
      <c r="A738" s="15"/>
      <c r="B738" s="15"/>
      <c r="C738" s="15"/>
      <c r="D738" s="20"/>
      <c r="E738" s="20"/>
      <c r="F738" s="20"/>
      <c r="G738" s="20"/>
      <c r="H738" s="20"/>
      <c r="I738" s="21"/>
      <c r="J738" s="15"/>
      <c r="K738" s="21"/>
      <c r="M738" s="19"/>
      <c r="N738" s="17"/>
    </row>
    <row r="739" spans="1:14" ht="14.25" customHeight="1" x14ac:dyDescent="0.25">
      <c r="A739" s="15"/>
      <c r="B739" s="15"/>
      <c r="C739" s="15"/>
      <c r="D739" s="20"/>
      <c r="E739" s="20"/>
      <c r="F739" s="20"/>
      <c r="G739" s="20"/>
      <c r="H739" s="20"/>
      <c r="I739" s="21"/>
      <c r="J739" s="15"/>
      <c r="K739" s="21"/>
      <c r="M739" s="19"/>
      <c r="N739" s="17"/>
    </row>
    <row r="740" spans="1:14" ht="14.25" customHeight="1" x14ac:dyDescent="0.25">
      <c r="A740" s="15"/>
      <c r="B740" s="15"/>
      <c r="C740" s="15"/>
      <c r="D740" s="20"/>
      <c r="E740" s="20"/>
      <c r="F740" s="20"/>
      <c r="G740" s="20"/>
      <c r="H740" s="20"/>
      <c r="I740" s="21"/>
      <c r="J740" s="15"/>
      <c r="K740" s="21"/>
      <c r="M740" s="19"/>
      <c r="N740" s="17"/>
    </row>
    <row r="741" spans="1:14" ht="14.25" customHeight="1" x14ac:dyDescent="0.25">
      <c r="A741" s="15"/>
      <c r="B741" s="15"/>
      <c r="C741" s="15"/>
      <c r="D741" s="20"/>
      <c r="E741" s="20"/>
      <c r="F741" s="20"/>
      <c r="G741" s="20"/>
      <c r="H741" s="20"/>
      <c r="I741" s="21"/>
      <c r="J741" s="15"/>
      <c r="K741" s="21"/>
      <c r="M741" s="19"/>
      <c r="N741" s="17"/>
    </row>
    <row r="742" spans="1:14" ht="14.25" customHeight="1" x14ac:dyDescent="0.25">
      <c r="A742" s="15"/>
      <c r="B742" s="15"/>
      <c r="C742" s="15"/>
      <c r="D742" s="20"/>
      <c r="E742" s="20"/>
      <c r="F742" s="20"/>
      <c r="G742" s="20"/>
      <c r="H742" s="20"/>
      <c r="I742" s="21"/>
      <c r="J742" s="15"/>
      <c r="K742" s="21"/>
      <c r="M742" s="19"/>
      <c r="N742" s="17"/>
    </row>
    <row r="743" spans="1:14" ht="14.25" customHeight="1" x14ac:dyDescent="0.25">
      <c r="A743" s="15"/>
      <c r="B743" s="15"/>
      <c r="C743" s="15"/>
      <c r="D743" s="20"/>
      <c r="E743" s="20"/>
      <c r="F743" s="20"/>
      <c r="G743" s="20"/>
      <c r="H743" s="20"/>
      <c r="I743" s="21"/>
      <c r="J743" s="15"/>
      <c r="K743" s="21"/>
      <c r="M743" s="19"/>
      <c r="N743" s="17"/>
    </row>
    <row r="744" spans="1:14" ht="14.25" customHeight="1" x14ac:dyDescent="0.25">
      <c r="A744" s="15"/>
      <c r="B744" s="15"/>
      <c r="C744" s="15"/>
      <c r="D744" s="20"/>
      <c r="E744" s="20"/>
      <c r="F744" s="20"/>
      <c r="G744" s="20"/>
      <c r="H744" s="20"/>
      <c r="I744" s="21"/>
      <c r="J744" s="15"/>
      <c r="K744" s="21"/>
      <c r="M744" s="19"/>
      <c r="N744" s="17"/>
    </row>
    <row r="745" spans="1:14" ht="14.25" customHeight="1" x14ac:dyDescent="0.25">
      <c r="A745" s="15"/>
      <c r="B745" s="15"/>
      <c r="C745" s="15"/>
      <c r="D745" s="20"/>
      <c r="E745" s="20"/>
      <c r="F745" s="20"/>
      <c r="G745" s="20"/>
      <c r="H745" s="20"/>
      <c r="I745" s="21"/>
      <c r="J745" s="15"/>
      <c r="K745" s="21"/>
      <c r="M745" s="19"/>
      <c r="N745" s="17"/>
    </row>
    <row r="746" spans="1:14" ht="14.25" customHeight="1" x14ac:dyDescent="0.25">
      <c r="A746" s="15"/>
      <c r="B746" s="15"/>
      <c r="C746" s="15"/>
      <c r="D746" s="20"/>
      <c r="E746" s="20"/>
      <c r="F746" s="20"/>
      <c r="G746" s="20"/>
      <c r="H746" s="20"/>
      <c r="I746" s="21"/>
      <c r="J746" s="15"/>
      <c r="K746" s="21"/>
      <c r="M746" s="19"/>
      <c r="N746" s="17"/>
    </row>
    <row r="747" spans="1:14" ht="14.25" customHeight="1" x14ac:dyDescent="0.25">
      <c r="A747" s="15"/>
      <c r="B747" s="15"/>
      <c r="C747" s="15"/>
      <c r="D747" s="20"/>
      <c r="E747" s="20"/>
      <c r="F747" s="20"/>
      <c r="G747" s="20"/>
      <c r="H747" s="20"/>
      <c r="I747" s="21"/>
      <c r="J747" s="15"/>
      <c r="K747" s="21"/>
      <c r="M747" s="19"/>
      <c r="N747" s="17"/>
    </row>
    <row r="748" spans="1:14" ht="14.25" customHeight="1" x14ac:dyDescent="0.25">
      <c r="A748" s="15"/>
      <c r="B748" s="15"/>
      <c r="C748" s="15"/>
      <c r="D748" s="20"/>
      <c r="E748" s="20"/>
      <c r="F748" s="20"/>
      <c r="G748" s="20"/>
      <c r="H748" s="20"/>
      <c r="I748" s="21"/>
      <c r="J748" s="15"/>
      <c r="K748" s="21"/>
      <c r="M748" s="19"/>
      <c r="N748" s="17"/>
    </row>
    <row r="749" spans="1:14" ht="14.25" customHeight="1" x14ac:dyDescent="0.25">
      <c r="A749" s="15"/>
      <c r="B749" s="15"/>
      <c r="C749" s="15"/>
      <c r="D749" s="20"/>
      <c r="E749" s="20"/>
      <c r="F749" s="20"/>
      <c r="G749" s="20"/>
      <c r="H749" s="20"/>
      <c r="I749" s="21"/>
      <c r="J749" s="15"/>
      <c r="K749" s="21"/>
      <c r="M749" s="19"/>
      <c r="N749" s="17"/>
    </row>
    <row r="750" spans="1:14" ht="14.25" customHeight="1" x14ac:dyDescent="0.25">
      <c r="A750" s="15"/>
      <c r="B750" s="15"/>
      <c r="C750" s="15"/>
      <c r="D750" s="20"/>
      <c r="E750" s="20"/>
      <c r="F750" s="20"/>
      <c r="G750" s="20"/>
      <c r="H750" s="20"/>
      <c r="I750" s="21"/>
      <c r="J750" s="15"/>
      <c r="K750" s="21"/>
      <c r="M750" s="19"/>
      <c r="N750" s="17"/>
    </row>
    <row r="751" spans="1:14" ht="14.25" customHeight="1" x14ac:dyDescent="0.25">
      <c r="A751" s="15"/>
      <c r="B751" s="15"/>
      <c r="C751" s="15"/>
      <c r="D751" s="20"/>
      <c r="E751" s="20"/>
      <c r="F751" s="20"/>
      <c r="G751" s="20"/>
      <c r="H751" s="20"/>
      <c r="I751" s="21"/>
      <c r="J751" s="15"/>
      <c r="K751" s="21"/>
      <c r="M751" s="19"/>
      <c r="N751" s="17"/>
    </row>
    <row r="752" spans="1:14" ht="14.25" customHeight="1" x14ac:dyDescent="0.25">
      <c r="A752" s="15"/>
      <c r="B752" s="15"/>
      <c r="C752" s="15"/>
      <c r="D752" s="20"/>
      <c r="E752" s="20"/>
      <c r="F752" s="20"/>
      <c r="G752" s="20"/>
      <c r="H752" s="20"/>
      <c r="I752" s="21"/>
      <c r="J752" s="15"/>
      <c r="K752" s="21"/>
      <c r="M752" s="19"/>
      <c r="N752" s="17"/>
    </row>
    <row r="753" spans="1:14" ht="14.25" customHeight="1" x14ac:dyDescent="0.25">
      <c r="A753" s="15"/>
      <c r="B753" s="15"/>
      <c r="C753" s="15"/>
      <c r="D753" s="20"/>
      <c r="E753" s="20"/>
      <c r="F753" s="20"/>
      <c r="G753" s="20"/>
      <c r="H753" s="20"/>
      <c r="I753" s="21"/>
      <c r="J753" s="15"/>
      <c r="K753" s="21"/>
      <c r="M753" s="19"/>
      <c r="N753" s="17"/>
    </row>
    <row r="754" spans="1:14" ht="14.25" customHeight="1" x14ac:dyDescent="0.25">
      <c r="A754" s="15"/>
      <c r="B754" s="15"/>
      <c r="C754" s="15"/>
      <c r="D754" s="20"/>
      <c r="E754" s="20"/>
      <c r="F754" s="20"/>
      <c r="G754" s="20"/>
      <c r="H754" s="20"/>
      <c r="I754" s="21"/>
      <c r="J754" s="15"/>
      <c r="K754" s="21"/>
      <c r="M754" s="19"/>
      <c r="N754" s="17"/>
    </row>
    <row r="755" spans="1:14" ht="14.25" customHeight="1" x14ac:dyDescent="0.25">
      <c r="A755" s="15"/>
      <c r="B755" s="15"/>
      <c r="C755" s="15"/>
      <c r="D755" s="20"/>
      <c r="E755" s="20"/>
      <c r="F755" s="20"/>
      <c r="G755" s="20"/>
      <c r="H755" s="20"/>
      <c r="I755" s="21"/>
      <c r="J755" s="15"/>
      <c r="K755" s="21"/>
      <c r="M755" s="19"/>
      <c r="N755" s="17"/>
    </row>
    <row r="756" spans="1:14" ht="14.25" customHeight="1" x14ac:dyDescent="0.25">
      <c r="A756" s="15"/>
      <c r="B756" s="15"/>
      <c r="C756" s="15"/>
      <c r="D756" s="20"/>
      <c r="E756" s="20"/>
      <c r="F756" s="20"/>
      <c r="G756" s="20"/>
      <c r="H756" s="20"/>
      <c r="I756" s="21"/>
      <c r="J756" s="15"/>
      <c r="K756" s="21"/>
      <c r="M756" s="19"/>
      <c r="N756" s="17"/>
    </row>
    <row r="757" spans="1:14" ht="14.25" customHeight="1" x14ac:dyDescent="0.25">
      <c r="A757" s="15"/>
      <c r="B757" s="15"/>
      <c r="C757" s="15"/>
      <c r="D757" s="20"/>
      <c r="E757" s="20"/>
      <c r="F757" s="20"/>
      <c r="G757" s="20"/>
      <c r="H757" s="20"/>
      <c r="I757" s="21"/>
      <c r="J757" s="15"/>
      <c r="K757" s="21"/>
      <c r="M757" s="19"/>
      <c r="N757" s="17"/>
    </row>
    <row r="758" spans="1:14" ht="14.25" customHeight="1" x14ac:dyDescent="0.25">
      <c r="A758" s="15"/>
      <c r="B758" s="15"/>
      <c r="C758" s="15"/>
      <c r="D758" s="20"/>
      <c r="E758" s="20"/>
      <c r="F758" s="20"/>
      <c r="G758" s="20"/>
      <c r="H758" s="20"/>
      <c r="I758" s="21"/>
      <c r="J758" s="15"/>
      <c r="K758" s="21"/>
      <c r="M758" s="19"/>
      <c r="N758" s="17"/>
    </row>
    <row r="759" spans="1:14" ht="14.25" customHeight="1" x14ac:dyDescent="0.25">
      <c r="A759" s="15"/>
      <c r="B759" s="15"/>
      <c r="C759" s="15"/>
      <c r="D759" s="20"/>
      <c r="E759" s="20"/>
      <c r="F759" s="20"/>
      <c r="G759" s="20"/>
      <c r="H759" s="20"/>
      <c r="I759" s="21"/>
      <c r="J759" s="15"/>
      <c r="K759" s="21"/>
      <c r="M759" s="19"/>
      <c r="N759" s="17"/>
    </row>
    <row r="760" spans="1:14" ht="14.25" customHeight="1" x14ac:dyDescent="0.25">
      <c r="A760" s="15"/>
      <c r="B760" s="15"/>
      <c r="C760" s="15"/>
      <c r="D760" s="20"/>
      <c r="E760" s="20"/>
      <c r="F760" s="20"/>
      <c r="G760" s="20"/>
      <c r="H760" s="20"/>
      <c r="I760" s="21"/>
      <c r="J760" s="15"/>
      <c r="K760" s="21"/>
      <c r="M760" s="19"/>
      <c r="N760" s="17"/>
    </row>
    <row r="761" spans="1:14" ht="14.25" customHeight="1" x14ac:dyDescent="0.25">
      <c r="A761" s="15"/>
      <c r="B761" s="15"/>
      <c r="C761" s="15"/>
      <c r="D761" s="20"/>
      <c r="E761" s="20"/>
      <c r="F761" s="20"/>
      <c r="G761" s="20"/>
      <c r="H761" s="20"/>
      <c r="I761" s="21"/>
      <c r="J761" s="15"/>
      <c r="K761" s="21"/>
      <c r="M761" s="19"/>
      <c r="N761" s="17"/>
    </row>
    <row r="762" spans="1:14" ht="14.25" customHeight="1" x14ac:dyDescent="0.25">
      <c r="A762" s="15"/>
      <c r="B762" s="15"/>
      <c r="C762" s="15"/>
      <c r="D762" s="20"/>
      <c r="E762" s="20"/>
      <c r="F762" s="20"/>
      <c r="G762" s="20"/>
      <c r="H762" s="20"/>
      <c r="I762" s="21"/>
      <c r="J762" s="15"/>
      <c r="K762" s="21"/>
      <c r="M762" s="19"/>
      <c r="N762" s="17"/>
    </row>
    <row r="763" spans="1:14" ht="14.25" customHeight="1" x14ac:dyDescent="0.25">
      <c r="A763" s="15"/>
      <c r="B763" s="15"/>
      <c r="C763" s="15"/>
      <c r="D763" s="20"/>
      <c r="E763" s="20"/>
      <c r="F763" s="20"/>
      <c r="G763" s="20"/>
      <c r="H763" s="20"/>
      <c r="I763" s="21"/>
      <c r="J763" s="15"/>
      <c r="K763" s="21"/>
      <c r="M763" s="19"/>
      <c r="N763" s="17"/>
    </row>
    <row r="764" spans="1:14" ht="14.25" customHeight="1" x14ac:dyDescent="0.25">
      <c r="A764" s="15"/>
      <c r="B764" s="15"/>
      <c r="C764" s="15"/>
      <c r="D764" s="20"/>
      <c r="E764" s="20"/>
      <c r="F764" s="20"/>
      <c r="G764" s="20"/>
      <c r="H764" s="20"/>
      <c r="I764" s="21"/>
      <c r="J764" s="15"/>
      <c r="K764" s="21"/>
      <c r="M764" s="19"/>
      <c r="N764" s="17"/>
    </row>
    <row r="765" spans="1:14" ht="14.25" customHeight="1" x14ac:dyDescent="0.25">
      <c r="A765" s="15"/>
      <c r="B765" s="15"/>
      <c r="C765" s="15"/>
      <c r="D765" s="20"/>
      <c r="E765" s="20"/>
      <c r="F765" s="20"/>
      <c r="G765" s="20"/>
      <c r="H765" s="20"/>
      <c r="I765" s="21"/>
      <c r="J765" s="15"/>
      <c r="K765" s="21"/>
      <c r="M765" s="19"/>
      <c r="N765" s="17"/>
    </row>
    <row r="766" spans="1:14" ht="14.25" customHeight="1" x14ac:dyDescent="0.25">
      <c r="A766" s="15"/>
      <c r="B766" s="15"/>
      <c r="C766" s="15"/>
      <c r="D766" s="20"/>
      <c r="E766" s="20"/>
      <c r="F766" s="20"/>
      <c r="G766" s="20"/>
      <c r="H766" s="20"/>
      <c r="I766" s="21"/>
      <c r="J766" s="15"/>
      <c r="K766" s="21"/>
      <c r="M766" s="19"/>
      <c r="N766" s="17"/>
    </row>
    <row r="767" spans="1:14" ht="14.25" customHeight="1" x14ac:dyDescent="0.25">
      <c r="A767" s="15"/>
      <c r="B767" s="15"/>
      <c r="C767" s="15"/>
      <c r="D767" s="20"/>
      <c r="E767" s="20"/>
      <c r="F767" s="20"/>
      <c r="G767" s="20"/>
      <c r="H767" s="20"/>
      <c r="I767" s="21"/>
      <c r="J767" s="15"/>
      <c r="K767" s="21"/>
      <c r="M767" s="19"/>
      <c r="N767" s="17"/>
    </row>
    <row r="768" spans="1:14" ht="14.25" customHeight="1" x14ac:dyDescent="0.25">
      <c r="A768" s="15"/>
      <c r="B768" s="15"/>
      <c r="C768" s="15"/>
      <c r="D768" s="16"/>
      <c r="E768" s="16"/>
      <c r="F768" s="16"/>
      <c r="G768" s="16"/>
      <c r="H768" s="16"/>
      <c r="I768" s="15"/>
      <c r="J768" s="15"/>
      <c r="K768" s="10"/>
      <c r="M768" s="19"/>
      <c r="N768" s="17"/>
    </row>
    <row r="769" spans="1:14" ht="14.25" customHeight="1" x14ac:dyDescent="0.25">
      <c r="A769" s="15"/>
      <c r="B769" s="15"/>
      <c r="C769" s="15"/>
      <c r="D769" s="16"/>
      <c r="E769" s="16"/>
      <c r="F769" s="16"/>
      <c r="G769" s="16"/>
      <c r="H769" s="16"/>
      <c r="I769" s="15"/>
      <c r="J769" s="15"/>
      <c r="K769" s="10"/>
      <c r="M769" s="19"/>
      <c r="N769" s="17"/>
    </row>
    <row r="770" spans="1:14" ht="14.25" customHeight="1" x14ac:dyDescent="0.25">
      <c r="A770" s="15"/>
      <c r="B770" s="15"/>
      <c r="C770" s="15"/>
      <c r="D770" s="16"/>
      <c r="E770" s="16"/>
      <c r="F770" s="16"/>
      <c r="G770" s="16"/>
      <c r="H770" s="16"/>
      <c r="I770" s="15"/>
      <c r="J770" s="15"/>
      <c r="K770" s="10"/>
      <c r="M770" s="19"/>
      <c r="N770" s="17"/>
    </row>
    <row r="771" spans="1:14" ht="14.25" customHeight="1" x14ac:dyDescent="0.25">
      <c r="A771" s="15"/>
      <c r="B771" s="15"/>
      <c r="C771" s="15"/>
      <c r="D771" s="16"/>
      <c r="E771" s="16"/>
      <c r="F771" s="16"/>
      <c r="G771" s="16"/>
      <c r="H771" s="16"/>
      <c r="I771" s="15"/>
      <c r="J771" s="15"/>
      <c r="K771" s="10"/>
      <c r="M771" s="19"/>
      <c r="N771" s="17"/>
    </row>
    <row r="772" spans="1:14" ht="14.25" customHeight="1" x14ac:dyDescent="0.25">
      <c r="A772" s="15"/>
      <c r="B772" s="15"/>
      <c r="C772" s="15"/>
      <c r="D772" s="16"/>
      <c r="E772" s="16"/>
      <c r="F772" s="16"/>
      <c r="G772" s="16"/>
      <c r="H772" s="16"/>
      <c r="I772" s="15"/>
      <c r="J772" s="15"/>
      <c r="K772" s="10"/>
      <c r="M772" s="17"/>
      <c r="N772" s="17"/>
    </row>
    <row r="773" spans="1:14" ht="14.25" customHeight="1" x14ac:dyDescent="0.25">
      <c r="A773" s="15"/>
      <c r="B773" s="15"/>
      <c r="C773" s="15"/>
      <c r="D773" s="16"/>
      <c r="E773" s="16"/>
      <c r="F773" s="16"/>
      <c r="G773" s="16"/>
      <c r="H773" s="16"/>
      <c r="I773" s="15"/>
      <c r="J773" s="15"/>
      <c r="K773" s="10"/>
      <c r="M773" s="17"/>
      <c r="N773" s="17"/>
    </row>
    <row r="774" spans="1:14" ht="14.25" customHeight="1" x14ac:dyDescent="0.25">
      <c r="A774" s="15"/>
      <c r="B774" s="15"/>
      <c r="C774" s="15"/>
      <c r="D774" s="16"/>
      <c r="E774" s="16"/>
      <c r="F774" s="16"/>
      <c r="G774" s="16"/>
      <c r="H774" s="16"/>
      <c r="I774" s="15"/>
      <c r="J774" s="15"/>
      <c r="K774" s="10"/>
      <c r="M774" s="17"/>
      <c r="N774" s="17"/>
    </row>
    <row r="775" spans="1:14" ht="14.25" customHeight="1" x14ac:dyDescent="0.25">
      <c r="A775" s="15"/>
      <c r="B775" s="15"/>
      <c r="C775" s="15"/>
      <c r="D775" s="16"/>
      <c r="E775" s="16"/>
      <c r="F775" s="16"/>
      <c r="G775" s="16"/>
      <c r="H775" s="16"/>
      <c r="I775" s="15"/>
      <c r="J775" s="15"/>
      <c r="K775" s="10"/>
      <c r="M775" s="17"/>
      <c r="N775" s="17"/>
    </row>
  </sheetData>
  <autoFilter ref="A7:Q465" xr:uid="{AEE30112-88BB-441D-AEFC-A7A733AB1798}">
    <sortState xmlns:xlrd2="http://schemas.microsoft.com/office/spreadsheetml/2017/richdata2" ref="A8:Q451">
      <sortCondition ref="B8:B451"/>
      <sortCondition ref="C8:C451"/>
      <sortCondition ref="D8:D451"/>
      <sortCondition ref="A8:A451"/>
    </sortState>
  </autoFilter>
  <sortState xmlns:xlrd2="http://schemas.microsoft.com/office/spreadsheetml/2017/richdata2" ref="A7:P465">
    <sortCondition ref="B8:B465"/>
    <sortCondition ref="C8:C465"/>
    <sortCondition ref="D8:D465"/>
    <sortCondition ref="A8:A465"/>
  </sortState>
  <phoneticPr fontId="0" type="noConversion"/>
  <pageMargins left="0.35433070866141736" right="0.35433070866141736" top="0.15748031496062992" bottom="0.19685039370078741" header="0.51181102362204722" footer="0.19685039370078741"/>
  <pageSetup paperSize="9" scale="2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Tavole e pause golose</vt:lpstr>
      <vt:lpstr>'Tavole e pause golose'!Area_stampa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2183 2183</cp:lastModifiedBy>
  <cp:lastPrinted>2023-07-30T07:09:54Z</cp:lastPrinted>
  <dcterms:created xsi:type="dcterms:W3CDTF">2003-01-08T15:13:21Z</dcterms:created>
  <dcterms:modified xsi:type="dcterms:W3CDTF">2026-05-18T22:30:08Z</dcterms:modified>
</cp:coreProperties>
</file>