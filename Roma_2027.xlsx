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29A1FB2-5F2B-41A4-8245-7AA24C818C4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golose'!$A$7:$Q$465</definedName>
    <definedName name="_xlnm.Print_Area" localSheetId="0">'Tavole e pause golose'!$D$7:$I$172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9" i="6" l="1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AD444" i="6"/>
  <c r="AE444" i="6"/>
  <c r="AD445" i="6"/>
  <c r="AE445" i="6"/>
  <c r="S444" i="6"/>
  <c r="AF444" i="6"/>
  <c r="AG444" i="6"/>
  <c r="AH444" i="6"/>
  <c r="AI444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4" i="6"/>
  <c r="AE454" i="6"/>
  <c r="AD455" i="6"/>
  <c r="AE455" i="6"/>
  <c r="AD456" i="6"/>
  <c r="AE456" i="6"/>
  <c r="AD457" i="6"/>
  <c r="AE457" i="6"/>
  <c r="S455" i="6"/>
  <c r="AF455" i="6"/>
  <c r="AG455" i="6"/>
  <c r="AH455" i="6"/>
  <c r="AI455" i="6"/>
  <c r="AD458" i="6"/>
  <c r="AE458" i="6"/>
  <c r="S458" i="6"/>
  <c r="AF458" i="6"/>
  <c r="AG458" i="6"/>
  <c r="AH458" i="6"/>
  <c r="AI458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F454" i="6"/>
  <c r="AG454" i="6"/>
  <c r="AH454" i="6"/>
  <c r="AI454" i="6"/>
  <c r="S456" i="6"/>
  <c r="AF456" i="6"/>
  <c r="AG456" i="6"/>
  <c r="AH456" i="6"/>
  <c r="AI456" i="6"/>
  <c r="S457" i="6"/>
  <c r="AF457" i="6"/>
  <c r="AG457" i="6"/>
  <c r="AH457" i="6"/>
  <c r="AI457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2" i="6" s="1"/>
  <c r="T32" i="6" l="1"/>
  <c r="T86" i="6"/>
  <c r="T329" i="6"/>
  <c r="T360" i="6"/>
  <c r="T292" i="6"/>
  <c r="T184" i="6"/>
  <c r="T183" i="6"/>
  <c r="T64" i="6"/>
  <c r="T371" i="6"/>
  <c r="T370" i="6"/>
  <c r="T369" i="6"/>
  <c r="T444" i="6"/>
  <c r="T264" i="6"/>
  <c r="T235" i="6"/>
  <c r="T265" i="6"/>
  <c r="T213" i="6"/>
  <c r="T212" i="6"/>
  <c r="T349" i="6"/>
  <c r="T333" i="6"/>
  <c r="T139" i="6"/>
  <c r="T162" i="6"/>
  <c r="T102" i="6"/>
  <c r="T140" i="6"/>
  <c r="T314" i="6"/>
  <c r="T101" i="6"/>
  <c r="T93" i="6"/>
  <c r="T92" i="6"/>
  <c r="T91" i="6"/>
  <c r="T289" i="6"/>
  <c r="T236" i="6"/>
  <c r="T364" i="6"/>
  <c r="T350" i="6"/>
  <c r="T313" i="6"/>
  <c r="T285" i="6"/>
  <c r="T262" i="6"/>
  <c r="T234" i="6"/>
  <c r="T211" i="6"/>
  <c r="T181" i="6"/>
  <c r="T70" i="6"/>
  <c r="T138" i="6"/>
  <c r="T98" i="6"/>
  <c r="T368" i="6"/>
  <c r="T335" i="6"/>
  <c r="T312" i="6"/>
  <c r="T284" i="6"/>
  <c r="T261" i="6"/>
  <c r="T233" i="6"/>
  <c r="T208" i="6"/>
  <c r="T180" i="6"/>
  <c r="T97" i="6"/>
  <c r="T130" i="6"/>
  <c r="T65" i="6"/>
  <c r="T283" i="6"/>
  <c r="T179" i="6"/>
  <c r="T203" i="6"/>
  <c r="T385" i="6"/>
  <c r="T68" i="6"/>
  <c r="T201" i="6"/>
  <c r="T357" i="6"/>
  <c r="T393" i="6"/>
  <c r="T323" i="6"/>
  <c r="T301" i="6"/>
  <c r="T278" i="6"/>
  <c r="T79" i="6"/>
  <c r="T227" i="6"/>
  <c r="T200" i="6"/>
  <c r="T89" i="6"/>
  <c r="T154" i="6"/>
  <c r="T122" i="6"/>
  <c r="T88" i="6"/>
  <c r="T125" i="6"/>
  <c r="T229" i="6"/>
  <c r="T339" i="6"/>
  <c r="T361" i="6"/>
  <c r="T401" i="6"/>
  <c r="T248" i="6"/>
  <c r="T300" i="6"/>
  <c r="T277" i="6"/>
  <c r="T242" i="6"/>
  <c r="T224" i="6"/>
  <c r="T199" i="6"/>
  <c r="T167" i="6"/>
  <c r="T153" i="6"/>
  <c r="T121" i="6"/>
  <c r="T49" i="6"/>
  <c r="T321" i="6"/>
  <c r="T126" i="6"/>
  <c r="T257" i="6"/>
  <c r="T322" i="6"/>
  <c r="T253" i="6"/>
  <c r="T172" i="6"/>
  <c r="T389" i="6"/>
  <c r="T299" i="6"/>
  <c r="T243" i="6"/>
  <c r="T220" i="6"/>
  <c r="T197" i="6"/>
  <c r="T160" i="6"/>
  <c r="T151" i="6"/>
  <c r="T119" i="6"/>
  <c r="T48" i="6"/>
  <c r="T373" i="6"/>
  <c r="T260" i="6"/>
  <c r="T60" i="6"/>
  <c r="T231" i="6"/>
  <c r="T281" i="6"/>
  <c r="T170" i="6"/>
  <c r="T365" i="6"/>
  <c r="T324" i="6"/>
  <c r="T276" i="6"/>
  <c r="T347" i="6"/>
  <c r="T246" i="6"/>
  <c r="T298" i="6"/>
  <c r="T273" i="6"/>
  <c r="T244" i="6"/>
  <c r="T219" i="6"/>
  <c r="T196" i="6"/>
  <c r="T168" i="6"/>
  <c r="T150" i="6"/>
  <c r="T118" i="6"/>
  <c r="T46" i="6"/>
  <c r="T310" i="6"/>
  <c r="T83" i="6"/>
  <c r="T377" i="6"/>
  <c r="T282" i="6"/>
  <c r="T67" i="6"/>
  <c r="T308" i="6"/>
  <c r="T124" i="6"/>
  <c r="T123" i="6"/>
  <c r="T330" i="6"/>
  <c r="T374" i="6"/>
  <c r="T331" i="6"/>
  <c r="T341" i="6"/>
  <c r="T297" i="6"/>
  <c r="T269" i="6"/>
  <c r="T169" i="6"/>
  <c r="T218" i="6"/>
  <c r="T188" i="6"/>
  <c r="T69" i="6"/>
  <c r="T149" i="6"/>
  <c r="T114" i="6"/>
  <c r="T45" i="6"/>
  <c r="T232" i="6"/>
  <c r="T338" i="6"/>
  <c r="T176" i="6"/>
  <c r="T202" i="6"/>
  <c r="T354" i="6"/>
  <c r="T305" i="6"/>
  <c r="T228" i="6"/>
  <c r="T164" i="6"/>
  <c r="T58" i="6"/>
  <c r="T318" i="6"/>
  <c r="T296" i="6"/>
  <c r="T161" i="6"/>
  <c r="T187" i="6"/>
  <c r="T146" i="6"/>
  <c r="T386" i="6"/>
  <c r="T348" i="6"/>
  <c r="T251" i="6"/>
  <c r="T294" i="6"/>
  <c r="T267" i="6"/>
  <c r="T171" i="6"/>
  <c r="T216" i="6"/>
  <c r="T186" i="6"/>
  <c r="T90" i="6"/>
  <c r="T142" i="6"/>
  <c r="T105" i="6"/>
  <c r="T41" i="6"/>
  <c r="T204" i="6"/>
  <c r="T309" i="6"/>
  <c r="T84" i="6"/>
  <c r="T399" i="6"/>
  <c r="T156" i="6"/>
  <c r="T280" i="6"/>
  <c r="T155" i="6"/>
  <c r="T382" i="6"/>
  <c r="T250" i="6"/>
  <c r="T268" i="6"/>
  <c r="T217" i="6"/>
  <c r="T59" i="6"/>
  <c r="T110" i="6"/>
  <c r="T43" i="6"/>
  <c r="T390" i="6"/>
  <c r="T332" i="6"/>
  <c r="T252" i="6"/>
  <c r="T293" i="6"/>
  <c r="T266" i="6"/>
  <c r="T240" i="6"/>
  <c r="T215" i="6"/>
  <c r="T185" i="6"/>
  <c r="T73" i="6"/>
  <c r="T141" i="6"/>
  <c r="T103" i="6"/>
  <c r="T38" i="6"/>
  <c r="T33" i="6"/>
  <c r="T61" i="6"/>
  <c r="T55" i="6"/>
  <c r="T137" i="6"/>
  <c r="T109" i="6"/>
  <c r="T78" i="6"/>
  <c r="T31" i="6"/>
  <c r="T195" i="6"/>
  <c r="T165" i="6"/>
  <c r="T158" i="6"/>
  <c r="T135" i="6"/>
  <c r="T108" i="6"/>
  <c r="T63" i="6"/>
  <c r="T30" i="6"/>
  <c r="T192" i="6"/>
  <c r="T166" i="6"/>
  <c r="T157" i="6"/>
  <c r="T134" i="6"/>
  <c r="T107" i="6"/>
  <c r="T54" i="6"/>
  <c r="T29" i="6"/>
  <c r="T133" i="6"/>
  <c r="T106" i="6"/>
  <c r="T50" i="6"/>
  <c r="T27" i="6"/>
  <c r="T26" i="6"/>
  <c r="T455" i="6"/>
  <c r="T25" i="6"/>
  <c r="T47" i="6"/>
  <c r="T17" i="6"/>
  <c r="T16" i="6"/>
  <c r="T15" i="6"/>
  <c r="T14" i="6"/>
  <c r="T42" i="6"/>
  <c r="T9" i="6"/>
  <c r="T11" i="6"/>
  <c r="T117" i="6"/>
  <c r="T81" i="6"/>
  <c r="T34" i="6"/>
  <c r="T22" i="6"/>
  <c r="T18" i="6"/>
  <c r="T446" i="6"/>
  <c r="T13" i="6"/>
  <c r="U7" i="6"/>
  <c r="U13" i="6" s="1"/>
  <c r="T424" i="6"/>
  <c r="T366" i="6"/>
  <c r="T458" i="6"/>
  <c r="T378" i="6"/>
  <c r="T381" i="6"/>
  <c r="T247" i="6"/>
  <c r="T340" i="6"/>
  <c r="T311" i="6"/>
  <c r="T295" i="6"/>
  <c r="T279" i="6"/>
  <c r="T263" i="6"/>
  <c r="T245" i="6"/>
  <c r="T230" i="6"/>
  <c r="T214" i="6"/>
  <c r="T198" i="6"/>
  <c r="T182" i="6"/>
  <c r="T82" i="6"/>
  <c r="T57" i="6"/>
  <c r="T152" i="6"/>
  <c r="T136" i="6"/>
  <c r="T120" i="6"/>
  <c r="T104" i="6"/>
  <c r="T94" i="6"/>
  <c r="T44" i="6"/>
  <c r="T28" i="6"/>
  <c r="T12" i="6"/>
  <c r="T464" i="6"/>
  <c r="T394" i="6"/>
  <c r="T397" i="6"/>
  <c r="T334" i="6"/>
  <c r="T325" i="6"/>
  <c r="T307" i="6"/>
  <c r="T291" i="6"/>
  <c r="T275" i="6"/>
  <c r="T259" i="6"/>
  <c r="T163" i="6"/>
  <c r="T226" i="6"/>
  <c r="T210" i="6"/>
  <c r="T194" i="6"/>
  <c r="T178" i="6"/>
  <c r="T95" i="6"/>
  <c r="T148" i="6"/>
  <c r="T132" i="6"/>
  <c r="T116" i="6"/>
  <c r="T100" i="6"/>
  <c r="T56" i="6"/>
  <c r="T40" i="6"/>
  <c r="T24" i="6"/>
  <c r="T10" i="6"/>
  <c r="T459" i="6"/>
  <c r="T398" i="6"/>
  <c r="T402" i="6"/>
  <c r="T319" i="6"/>
  <c r="T249" i="6"/>
  <c r="T306" i="6"/>
  <c r="T290" i="6"/>
  <c r="T274" i="6"/>
  <c r="T258" i="6"/>
  <c r="T241" i="6"/>
  <c r="T225" i="6"/>
  <c r="T209" i="6"/>
  <c r="T193" i="6"/>
  <c r="T177" i="6"/>
  <c r="T85" i="6"/>
  <c r="T80" i="6"/>
  <c r="T147" i="6"/>
  <c r="T131" i="6"/>
  <c r="T115" i="6"/>
  <c r="T99" i="6"/>
  <c r="T72" i="6"/>
  <c r="T39" i="6"/>
  <c r="T23" i="6"/>
  <c r="T345" i="6"/>
  <c r="T384" i="6"/>
  <c r="T429" i="6"/>
  <c r="AD6" i="6"/>
  <c r="F3" i="6" s="1"/>
  <c r="T405" i="6"/>
  <c r="T403" i="6"/>
  <c r="T344" i="6"/>
  <c r="T336" i="6"/>
  <c r="T317" i="6"/>
  <c r="T304" i="6"/>
  <c r="T288" i="6"/>
  <c r="T272" i="6"/>
  <c r="T256" i="6"/>
  <c r="T239" i="6"/>
  <c r="T223" i="6"/>
  <c r="T207" i="6"/>
  <c r="T191" i="6"/>
  <c r="T175" i="6"/>
  <c r="T66" i="6"/>
  <c r="T77" i="6"/>
  <c r="T145" i="6"/>
  <c r="T129" i="6"/>
  <c r="T113" i="6"/>
  <c r="T87" i="6"/>
  <c r="T53" i="6"/>
  <c r="T37" i="6"/>
  <c r="T21" i="6"/>
  <c r="T440" i="6"/>
  <c r="T352" i="6"/>
  <c r="T327" i="6"/>
  <c r="T328" i="6"/>
  <c r="T320" i="6"/>
  <c r="T316" i="6"/>
  <c r="T303" i="6"/>
  <c r="T287" i="6"/>
  <c r="T271" i="6"/>
  <c r="T255" i="6"/>
  <c r="T238" i="6"/>
  <c r="T222" i="6"/>
  <c r="T206" i="6"/>
  <c r="T190" i="6"/>
  <c r="T174" i="6"/>
  <c r="T96" i="6"/>
  <c r="T62" i="6"/>
  <c r="T144" i="6"/>
  <c r="T128" i="6"/>
  <c r="T112" i="6"/>
  <c r="T52" i="6"/>
  <c r="T36" i="6"/>
  <c r="T20" i="6"/>
  <c r="T342" i="6"/>
  <c r="T353" i="6"/>
  <c r="T346" i="6"/>
  <c r="T337" i="6"/>
  <c r="T315" i="6"/>
  <c r="T302" i="6"/>
  <c r="T286" i="6"/>
  <c r="T270" i="6"/>
  <c r="T254" i="6"/>
  <c r="T237" i="6"/>
  <c r="T221" i="6"/>
  <c r="T205" i="6"/>
  <c r="T189" i="6"/>
  <c r="T173" i="6"/>
  <c r="T76" i="6"/>
  <c r="T159" i="6"/>
  <c r="T143" i="6"/>
  <c r="T127" i="6"/>
  <c r="T111" i="6"/>
  <c r="T71" i="6"/>
  <c r="T51" i="6"/>
  <c r="T35" i="6"/>
  <c r="T19" i="6"/>
  <c r="T413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3" i="6"/>
  <c r="T436" i="6"/>
  <c r="T420" i="6"/>
  <c r="T462" i="6"/>
  <c r="T443" i="6"/>
  <c r="T427" i="6"/>
  <c r="T411" i="6"/>
  <c r="T388" i="6"/>
  <c r="T356" i="6"/>
  <c r="T451" i="6"/>
  <c r="T434" i="6"/>
  <c r="T418" i="6"/>
  <c r="T343" i="6"/>
  <c r="T460" i="6"/>
  <c r="T441" i="6"/>
  <c r="T425" i="6"/>
  <c r="T409" i="6"/>
  <c r="T392" i="6"/>
  <c r="T375" i="6"/>
  <c r="T359" i="6"/>
  <c r="T449" i="6"/>
  <c r="T432" i="6"/>
  <c r="T416" i="6"/>
  <c r="T407" i="6"/>
  <c r="T457" i="6"/>
  <c r="T439" i="6"/>
  <c r="T423" i="6"/>
  <c r="T396" i="6"/>
  <c r="T379" i="6"/>
  <c r="T363" i="6"/>
  <c r="T465" i="6"/>
  <c r="T447" i="6"/>
  <c r="T430" i="6"/>
  <c r="T414" i="6"/>
  <c r="T454" i="6"/>
  <c r="T437" i="6"/>
  <c r="T421" i="6"/>
  <c r="T383" i="6"/>
  <c r="T367" i="6"/>
  <c r="T351" i="6"/>
  <c r="T463" i="6"/>
  <c r="T445" i="6"/>
  <c r="T428" i="6"/>
  <c r="T412" i="6"/>
  <c r="T400" i="6"/>
  <c r="T452" i="6"/>
  <c r="T435" i="6"/>
  <c r="T419" i="6"/>
  <c r="T387" i="6"/>
  <c r="T372" i="6"/>
  <c r="T355" i="6"/>
  <c r="T461" i="6"/>
  <c r="T442" i="6"/>
  <c r="T426" i="6"/>
  <c r="T410" i="6"/>
  <c r="T450" i="6"/>
  <c r="T433" i="6"/>
  <c r="T417" i="6"/>
  <c r="T408" i="6"/>
  <c r="T404" i="6"/>
  <c r="T391" i="6"/>
  <c r="T376" i="6"/>
  <c r="T358" i="6"/>
  <c r="T406" i="6"/>
  <c r="T326" i="6"/>
  <c r="T448" i="6"/>
  <c r="T431" i="6"/>
  <c r="T415" i="6"/>
  <c r="T395" i="6"/>
  <c r="T380" i="6"/>
  <c r="T362" i="6"/>
  <c r="U328" i="6"/>
  <c r="T456" i="6"/>
  <c r="T438" i="6"/>
  <c r="U444" i="6" l="1"/>
  <c r="U369" i="6"/>
  <c r="U370" i="6"/>
  <c r="U371" i="6"/>
  <c r="U455" i="6"/>
  <c r="U91" i="6"/>
  <c r="U92" i="6"/>
  <c r="U93" i="6"/>
  <c r="U141" i="6"/>
  <c r="U106" i="6"/>
  <c r="U286" i="6"/>
  <c r="U179" i="6"/>
  <c r="U442" i="6"/>
  <c r="U407" i="6"/>
  <c r="U447" i="6"/>
  <c r="U287" i="6"/>
  <c r="U216" i="6"/>
  <c r="U226" i="6"/>
  <c r="U305" i="6"/>
  <c r="U170" i="6"/>
  <c r="U130" i="6"/>
  <c r="U269" i="6"/>
  <c r="U145" i="6"/>
  <c r="U272" i="6"/>
  <c r="U99" i="6"/>
  <c r="U326" i="6"/>
  <c r="U315" i="6"/>
  <c r="U76" i="6"/>
  <c r="U291" i="6"/>
  <c r="U160" i="6"/>
  <c r="U378" i="6"/>
  <c r="U107" i="6"/>
  <c r="U104" i="6"/>
  <c r="U325" i="6"/>
  <c r="U172" i="6"/>
  <c r="U202" i="6"/>
  <c r="U117" i="6"/>
  <c r="U319" i="6"/>
  <c r="U196" i="6"/>
  <c r="U289" i="6"/>
  <c r="U175" i="6"/>
  <c r="U155" i="6"/>
  <c r="U45" i="6"/>
  <c r="U22" i="6"/>
  <c r="U185" i="6"/>
  <c r="U36" i="6"/>
  <c r="U24" i="6"/>
  <c r="U52" i="6"/>
  <c r="U293" i="6"/>
  <c r="U120" i="6"/>
  <c r="U223" i="6"/>
  <c r="U199" i="6"/>
  <c r="U460" i="6"/>
  <c r="U465" i="6"/>
  <c r="U450" i="6"/>
  <c r="U20" i="6"/>
  <c r="U434" i="6"/>
  <c r="U317" i="6"/>
  <c r="U70" i="6"/>
  <c r="U449" i="6"/>
  <c r="U440" i="6"/>
  <c r="U231" i="6"/>
  <c r="U150" i="6"/>
  <c r="U309" i="6"/>
  <c r="U153" i="6"/>
  <c r="U235" i="6"/>
  <c r="U225" i="6"/>
  <c r="U109" i="6"/>
  <c r="U195" i="6"/>
  <c r="U227" i="6"/>
  <c r="V7" i="6"/>
  <c r="U27" i="6"/>
  <c r="U452" i="6"/>
  <c r="U242" i="6"/>
  <c r="U432" i="6"/>
  <c r="U454" i="6"/>
  <c r="U21" i="6"/>
  <c r="U108" i="6"/>
  <c r="U19" i="6"/>
  <c r="U68" i="6"/>
  <c r="U404" i="6"/>
  <c r="U136" i="6"/>
  <c r="U336" i="6"/>
  <c r="U413" i="6"/>
  <c r="U211" i="6"/>
  <c r="U344" i="6"/>
  <c r="U77" i="6"/>
  <c r="U261" i="6"/>
  <c r="U201" i="6"/>
  <c r="U277" i="6"/>
  <c r="U439" i="6"/>
  <c r="U451" i="6"/>
  <c r="U56" i="6"/>
  <c r="U35" i="6"/>
  <c r="U103" i="6"/>
  <c r="U72" i="6"/>
  <c r="U138" i="6"/>
  <c r="U129" i="6"/>
  <c r="U131" i="6"/>
  <c r="U327" i="6"/>
  <c r="U156" i="6"/>
  <c r="U173" i="6"/>
  <c r="U265" i="6"/>
  <c r="U429" i="6"/>
  <c r="U9" i="6"/>
  <c r="U67" i="6"/>
  <c r="U169" i="6"/>
  <c r="U149" i="6"/>
  <c r="U105" i="6"/>
  <c r="U11" i="6"/>
  <c r="U283" i="6"/>
  <c r="U345" i="6"/>
  <c r="U187" i="6"/>
  <c r="U427" i="6"/>
  <c r="U189" i="6"/>
  <c r="U75" i="6"/>
  <c r="U285" i="6"/>
  <c r="U420" i="6"/>
  <c r="U268" i="6"/>
  <c r="U177" i="6"/>
  <c r="U30" i="6"/>
  <c r="U433" i="6"/>
  <c r="U421" i="6"/>
  <c r="U461" i="6"/>
  <c r="U416" i="6"/>
  <c r="U408" i="6"/>
  <c r="U140" i="6"/>
  <c r="U423" i="6"/>
  <c r="U10" i="6"/>
  <c r="U110" i="6"/>
  <c r="U23" i="6"/>
  <c r="U405" i="6"/>
  <c r="U154" i="6"/>
  <c r="U459" i="6"/>
  <c r="U101" i="6"/>
  <c r="U267" i="6"/>
  <c r="U74" i="6"/>
  <c r="U233" i="6"/>
  <c r="U157" i="6"/>
  <c r="U402" i="6"/>
  <c r="U83" i="6"/>
  <c r="U133" i="6"/>
  <c r="U412" i="6"/>
  <c r="U116" i="6"/>
  <c r="U147" i="6"/>
  <c r="U25" i="6"/>
  <c r="U299" i="6"/>
  <c r="U409" i="6"/>
  <c r="U203" i="6"/>
  <c r="U205" i="6"/>
  <c r="U304" i="6"/>
  <c r="U174" i="6"/>
  <c r="U307" i="6"/>
  <c r="U204" i="6"/>
  <c r="U58" i="6"/>
  <c r="U463" i="6"/>
  <c r="U122" i="6"/>
  <c r="U61" i="6"/>
  <c r="U8" i="6"/>
  <c r="U424" i="6"/>
  <c r="U346" i="6"/>
  <c r="U40" i="6"/>
  <c r="U217" i="6"/>
  <c r="U438" i="6"/>
  <c r="U86" i="6"/>
  <c r="U84" i="6"/>
  <c r="U457" i="6"/>
  <c r="U411" i="6"/>
  <c r="U456" i="6"/>
  <c r="U51" i="6"/>
  <c r="U88" i="6"/>
  <c r="U446" i="6"/>
  <c r="U415" i="6"/>
  <c r="U403" i="6"/>
  <c r="U100" i="6"/>
  <c r="U410" i="6"/>
  <c r="U249" i="6"/>
  <c r="U182" i="6"/>
  <c r="U414" i="6"/>
  <c r="U166" i="6"/>
  <c r="U41" i="6"/>
  <c r="U162" i="6"/>
  <c r="U219" i="6"/>
  <c r="U443" i="6"/>
  <c r="U221" i="6"/>
  <c r="U251" i="6"/>
  <c r="U197" i="6"/>
  <c r="U361" i="6"/>
  <c r="U171" i="6"/>
  <c r="U400" i="6"/>
  <c r="U241" i="6"/>
  <c r="U80" i="6"/>
  <c r="U418" i="6"/>
  <c r="U437" i="6"/>
  <c r="U43" i="6"/>
  <c r="U38" i="6"/>
  <c r="U59" i="6"/>
  <c r="U54" i="6"/>
  <c r="U161" i="6"/>
  <c r="U464" i="6"/>
  <c r="U448" i="6"/>
  <c r="U125" i="6"/>
  <c r="U426" i="6"/>
  <c r="U214" i="6"/>
  <c r="U430" i="6"/>
  <c r="U184" i="6"/>
  <c r="U73" i="6"/>
  <c r="U462" i="6"/>
  <c r="U255" i="6"/>
  <c r="U391" i="6"/>
  <c r="U229" i="6"/>
  <c r="U270" i="6"/>
  <c r="U16" i="6"/>
  <c r="U206" i="6"/>
  <c r="U435" i="6"/>
  <c r="U29" i="6"/>
  <c r="U163" i="6"/>
  <c r="U422" i="6"/>
  <c r="U94" i="6"/>
  <c r="U431" i="6"/>
  <c r="U18" i="6"/>
  <c r="U428" i="6"/>
  <c r="U198" i="6"/>
  <c r="U132" i="6"/>
  <c r="U57" i="6"/>
  <c r="U425" i="6"/>
  <c r="U343" i="6"/>
  <c r="U245" i="6"/>
  <c r="U337" i="6"/>
  <c r="U224" i="6"/>
  <c r="U15" i="6"/>
  <c r="U417" i="6"/>
  <c r="U151" i="6"/>
  <c r="U419" i="6"/>
  <c r="U445" i="6"/>
  <c r="U126" i="6"/>
  <c r="U200" i="6"/>
  <c r="U89" i="6"/>
  <c r="U441" i="6"/>
  <c r="U271" i="6"/>
  <c r="U78" i="6"/>
  <c r="U266" i="6"/>
  <c r="U394" i="6"/>
  <c r="U178" i="6"/>
  <c r="U49" i="6"/>
  <c r="U87" i="6"/>
  <c r="U115" i="6"/>
  <c r="U290" i="6"/>
  <c r="U363" i="6"/>
  <c r="U118" i="6"/>
  <c r="U127" i="6"/>
  <c r="U288" i="6"/>
  <c r="U308" i="6"/>
  <c r="U380" i="6"/>
  <c r="U310" i="6"/>
  <c r="U186" i="6"/>
  <c r="U359" i="6"/>
  <c r="U306" i="6"/>
  <c r="U342" i="6"/>
  <c r="U406" i="6"/>
  <c r="U396" i="6"/>
  <c r="U276" i="6"/>
  <c r="V458" i="6"/>
  <c r="U358" i="6"/>
  <c r="U239" i="6"/>
  <c r="U376" i="6"/>
  <c r="U250" i="6"/>
  <c r="U335" i="6"/>
  <c r="U436" i="6"/>
  <c r="U453" i="6"/>
  <c r="U296" i="6"/>
  <c r="U375" i="6"/>
  <c r="U392" i="6"/>
  <c r="U320" i="6"/>
  <c r="U362" i="6"/>
  <c r="U314" i="6"/>
  <c r="U44" i="6"/>
  <c r="U331" i="6"/>
  <c r="U377" i="6"/>
  <c r="U379" i="6"/>
  <c r="U340" i="6"/>
  <c r="U42" i="6"/>
  <c r="U318" i="6"/>
  <c r="U71" i="6"/>
  <c r="U360" i="6"/>
  <c r="U47" i="6"/>
  <c r="U14" i="6"/>
  <c r="U395" i="6"/>
  <c r="U352" i="6"/>
  <c r="U69" i="6"/>
  <c r="U12" i="6"/>
  <c r="U102" i="6"/>
  <c r="U393" i="6"/>
  <c r="U176" i="6"/>
  <c r="U48" i="6"/>
  <c r="U329" i="6"/>
  <c r="U367" i="6"/>
  <c r="U167" i="6"/>
  <c r="U347" i="6"/>
  <c r="U46" i="6"/>
  <c r="U237" i="6"/>
  <c r="U79" i="6"/>
  <c r="U111" i="6"/>
  <c r="U384" i="6"/>
  <c r="U330" i="6"/>
  <c r="U34" i="6"/>
  <c r="U119" i="6"/>
  <c r="U207" i="6"/>
  <c r="U244" i="6"/>
  <c r="U280" i="6"/>
  <c r="U228" i="6"/>
  <c r="U350" i="6"/>
  <c r="U374" i="6"/>
  <c r="U247" i="6"/>
  <c r="U208" i="6"/>
  <c r="U236" i="6"/>
  <c r="U50" i="6"/>
  <c r="U97" i="6"/>
  <c r="U159" i="6"/>
  <c r="U212" i="6"/>
  <c r="U254" i="6"/>
  <c r="U284" i="6"/>
  <c r="U240" i="6"/>
  <c r="U354" i="6"/>
  <c r="U383" i="6"/>
  <c r="U112" i="6"/>
  <c r="U386" i="6"/>
  <c r="U191" i="6"/>
  <c r="U95" i="6"/>
  <c r="U143" i="6"/>
  <c r="U458" i="6"/>
  <c r="U53" i="6"/>
  <c r="U98" i="6"/>
  <c r="U164" i="6"/>
  <c r="U213" i="6"/>
  <c r="U256" i="6"/>
  <c r="U292" i="6"/>
  <c r="U252" i="6"/>
  <c r="U355" i="6"/>
  <c r="U385" i="6"/>
  <c r="U124" i="6"/>
  <c r="U258" i="6"/>
  <c r="U121" i="6"/>
  <c r="U81" i="6"/>
  <c r="U303" i="6"/>
  <c r="U90" i="6"/>
  <c r="U313" i="6"/>
  <c r="U243" i="6"/>
  <c r="U332" i="6"/>
  <c r="U39" i="6"/>
  <c r="U282" i="6"/>
  <c r="U55" i="6"/>
  <c r="U215" i="6"/>
  <c r="U294" i="6"/>
  <c r="U356" i="6"/>
  <c r="U274" i="6"/>
  <c r="U279" i="6"/>
  <c r="U209" i="6"/>
  <c r="U60" i="6"/>
  <c r="U113" i="6"/>
  <c r="U148" i="6"/>
  <c r="U218" i="6"/>
  <c r="U259" i="6"/>
  <c r="U295" i="6"/>
  <c r="U341" i="6"/>
  <c r="U387" i="6"/>
  <c r="U144" i="6"/>
  <c r="U33" i="6"/>
  <c r="U349" i="6"/>
  <c r="U382" i="6"/>
  <c r="U62" i="6"/>
  <c r="U114" i="6"/>
  <c r="U180" i="6"/>
  <c r="U220" i="6"/>
  <c r="U260" i="6"/>
  <c r="U297" i="6"/>
  <c r="U316" i="6"/>
  <c r="U357" i="6"/>
  <c r="U388" i="6"/>
  <c r="U222" i="6"/>
  <c r="U324" i="6"/>
  <c r="U364" i="6"/>
  <c r="U134" i="6"/>
  <c r="U248" i="6"/>
  <c r="U37" i="6"/>
  <c r="U63" i="6"/>
  <c r="U123" i="6"/>
  <c r="U181" i="6"/>
  <c r="U262" i="6"/>
  <c r="U298" i="6"/>
  <c r="U389" i="6"/>
  <c r="U263" i="6"/>
  <c r="U365" i="6"/>
  <c r="U135" i="6"/>
  <c r="U64" i="6"/>
  <c r="U139" i="6"/>
  <c r="U183" i="6"/>
  <c r="U300" i="6"/>
  <c r="U390" i="6"/>
  <c r="U137" i="6"/>
  <c r="U399" i="6"/>
  <c r="U238" i="6"/>
  <c r="U96" i="6"/>
  <c r="U353" i="6"/>
  <c r="U17" i="6"/>
  <c r="U65" i="6"/>
  <c r="U168" i="6"/>
  <c r="U188" i="6"/>
  <c r="U142" i="6"/>
  <c r="U264" i="6"/>
  <c r="U301" i="6"/>
  <c r="U323" i="6"/>
  <c r="U366" i="6"/>
  <c r="U397" i="6"/>
  <c r="U273" i="6"/>
  <c r="U302" i="6"/>
  <c r="U368" i="6"/>
  <c r="U398" i="6"/>
  <c r="U194" i="6"/>
  <c r="U381" i="6"/>
  <c r="U26" i="6"/>
  <c r="U66" i="6"/>
  <c r="U128" i="6"/>
  <c r="U190" i="6"/>
  <c r="U158" i="6"/>
  <c r="U339" i="6"/>
  <c r="U28" i="6"/>
  <c r="U322" i="6"/>
  <c r="U165" i="6"/>
  <c r="U334" i="6"/>
  <c r="U281" i="6"/>
  <c r="U31" i="6"/>
  <c r="U82" i="6"/>
  <c r="U152" i="6"/>
  <c r="U192" i="6"/>
  <c r="U230" i="6"/>
  <c r="U275" i="6"/>
  <c r="U311" i="6"/>
  <c r="U338" i="6"/>
  <c r="U401" i="6"/>
  <c r="U232" i="6"/>
  <c r="U253" i="6"/>
  <c r="U32" i="6"/>
  <c r="U85" i="6"/>
  <c r="U146" i="6"/>
  <c r="U193" i="6"/>
  <c r="U234" i="6"/>
  <c r="U278" i="6"/>
  <c r="U312" i="6"/>
  <c r="U321" i="6"/>
  <c r="U372" i="6"/>
  <c r="U333" i="6"/>
  <c r="U373" i="6"/>
  <c r="U351" i="6"/>
  <c r="U348" i="6"/>
  <c r="U210" i="6"/>
  <c r="U246" i="6"/>
  <c r="U257" i="6"/>
  <c r="F5" i="6"/>
  <c r="G5" i="6"/>
  <c r="E5" i="6"/>
  <c r="H4" i="6"/>
  <c r="H3" i="6"/>
  <c r="T5" i="6"/>
  <c r="V28" i="6"/>
  <c r="V282" i="6"/>
  <c r="V164" i="6"/>
  <c r="V13" i="6"/>
  <c r="V315" i="6"/>
  <c r="V222" i="6"/>
  <c r="V38" i="6"/>
  <c r="V303" i="6"/>
  <c r="V126" i="6"/>
  <c r="V376" i="6"/>
  <c r="V257" i="6"/>
  <c r="V94" i="6"/>
  <c r="V306" i="6"/>
  <c r="V179" i="6"/>
  <c r="V428" i="6"/>
  <c r="V228" i="6"/>
  <c r="V18" i="6"/>
  <c r="V277" i="6"/>
  <c r="V67" i="6"/>
  <c r="V344" i="6"/>
  <c r="V134" i="6"/>
  <c r="V384" i="6"/>
  <c r="V233" i="6"/>
  <c r="V349" i="6"/>
  <c r="V454" i="6"/>
  <c r="V185" i="6"/>
  <c r="V372" i="6"/>
  <c r="V138" i="6"/>
  <c r="V311" i="6"/>
  <c r="V444" i="6" l="1"/>
  <c r="V369" i="6"/>
  <c r="V370" i="6"/>
  <c r="V371" i="6"/>
  <c r="V455" i="6"/>
  <c r="V91" i="6"/>
  <c r="V92" i="6"/>
  <c r="V93" i="6"/>
  <c r="V151" i="6"/>
  <c r="V409" i="6"/>
  <c r="V199" i="6"/>
  <c r="V460" i="6"/>
  <c r="V347" i="6"/>
  <c r="V246" i="6"/>
  <c r="V72" i="6"/>
  <c r="V352" i="6"/>
  <c r="V102" i="6"/>
  <c r="V382" i="6"/>
  <c r="V132" i="6"/>
  <c r="V247" i="6"/>
  <c r="V446" i="6"/>
  <c r="V196" i="6"/>
  <c r="V249" i="6"/>
  <c r="V55" i="6"/>
  <c r="V274" i="6"/>
  <c r="V12" i="6"/>
  <c r="V225" i="6"/>
  <c r="V337" i="6"/>
  <c r="V51" i="6"/>
  <c r="V271" i="6"/>
  <c r="V439" i="6"/>
  <c r="V190" i="6"/>
  <c r="V285" i="6"/>
  <c r="V34" i="6"/>
  <c r="V153" i="6"/>
  <c r="V244" i="6"/>
  <c r="V32" i="6"/>
  <c r="V385" i="6"/>
  <c r="V122" i="6"/>
  <c r="V430" i="6"/>
  <c r="V351" i="6"/>
  <c r="V64" i="6"/>
  <c r="V447" i="6"/>
  <c r="V340" i="6"/>
  <c r="V35" i="6"/>
  <c r="V365" i="6"/>
  <c r="V116" i="6"/>
  <c r="V229" i="6"/>
  <c r="V429" i="6"/>
  <c r="V180" i="6"/>
  <c r="V395" i="6"/>
  <c r="V145" i="6"/>
  <c r="V258" i="6"/>
  <c r="V461" i="6"/>
  <c r="V209" i="6"/>
  <c r="V318" i="6"/>
  <c r="V19" i="6"/>
  <c r="V255" i="6"/>
  <c r="V423" i="6"/>
  <c r="V174" i="6"/>
  <c r="V269" i="6"/>
  <c r="V387" i="6"/>
  <c r="V137" i="6"/>
  <c r="V234" i="6"/>
  <c r="V261" i="6"/>
  <c r="V441" i="6"/>
  <c r="V295" i="6"/>
  <c r="V465" i="6"/>
  <c r="V9" i="6"/>
  <c r="V242" i="6"/>
  <c r="V87" i="6"/>
  <c r="V418" i="6"/>
  <c r="V312" i="6"/>
  <c r="V65" i="6"/>
  <c r="V350" i="6"/>
  <c r="V100" i="6"/>
  <c r="V213" i="6"/>
  <c r="V413" i="6"/>
  <c r="V168" i="6"/>
  <c r="V379" i="6"/>
  <c r="V129" i="6"/>
  <c r="V79" i="6"/>
  <c r="V442" i="6"/>
  <c r="V193" i="6"/>
  <c r="V304" i="6"/>
  <c r="V78" i="6"/>
  <c r="V239" i="6"/>
  <c r="W7" i="6"/>
  <c r="W312" i="6" s="1"/>
  <c r="V90" i="6"/>
  <c r="V253" i="6"/>
  <c r="V121" i="6"/>
  <c r="V218" i="6"/>
  <c r="V464" i="6"/>
  <c r="V414" i="6"/>
  <c r="V204" i="6"/>
  <c r="V434" i="6"/>
  <c r="V356" i="6"/>
  <c r="V165" i="6"/>
  <c r="V451" i="6"/>
  <c r="V403" i="6"/>
  <c r="V296" i="6"/>
  <c r="V66" i="6"/>
  <c r="V341" i="6"/>
  <c r="V31" i="6"/>
  <c r="V197" i="6"/>
  <c r="V330" i="6"/>
  <c r="V80" i="6"/>
  <c r="V362" i="6"/>
  <c r="V113" i="6"/>
  <c r="V226" i="6"/>
  <c r="V426" i="6"/>
  <c r="V177" i="6"/>
  <c r="V288" i="6"/>
  <c r="V40" i="6"/>
  <c r="V223" i="6"/>
  <c r="V406" i="6"/>
  <c r="V156" i="6"/>
  <c r="V237" i="6"/>
  <c r="V355" i="6"/>
  <c r="V105" i="6"/>
  <c r="V202" i="6"/>
  <c r="V437" i="6"/>
  <c r="V248" i="6"/>
  <c r="V398" i="6"/>
  <c r="V169" i="6"/>
  <c r="V359" i="6"/>
  <c r="V301" i="6"/>
  <c r="V399" i="6"/>
  <c r="V135" i="6"/>
  <c r="V10" i="6"/>
  <c r="V265" i="6"/>
  <c r="V43" i="6"/>
  <c r="V420" i="6"/>
  <c r="V313" i="6"/>
  <c r="V280" i="6"/>
  <c r="V24" i="6"/>
  <c r="V310" i="6"/>
  <c r="V84" i="6"/>
  <c r="V181" i="6"/>
  <c r="V396" i="6"/>
  <c r="V146" i="6"/>
  <c r="V335" i="6"/>
  <c r="V77" i="6"/>
  <c r="V210" i="6"/>
  <c r="V410" i="6"/>
  <c r="V89" i="6"/>
  <c r="V272" i="6"/>
  <c r="V459" i="6"/>
  <c r="V207" i="6"/>
  <c r="V390" i="6"/>
  <c r="V140" i="6"/>
  <c r="V221" i="6"/>
  <c r="V339" i="6"/>
  <c r="V41" i="6"/>
  <c r="V186" i="6"/>
  <c r="V75" i="6"/>
  <c r="V300" i="6"/>
  <c r="V436" i="6"/>
  <c r="V368" i="6"/>
  <c r="V183" i="6"/>
  <c r="V453" i="6"/>
  <c r="V405" i="6"/>
  <c r="V231" i="6"/>
  <c r="V264" i="6"/>
  <c r="V101" i="6"/>
  <c r="V294" i="6"/>
  <c r="V52" i="6"/>
  <c r="V167" i="6"/>
  <c r="V380" i="6"/>
  <c r="V130" i="6"/>
  <c r="V326" i="6"/>
  <c r="V25" i="6"/>
  <c r="V194" i="6"/>
  <c r="V332" i="6"/>
  <c r="V159" i="6"/>
  <c r="V256" i="6"/>
  <c r="V440" i="6"/>
  <c r="V191" i="6"/>
  <c r="V374" i="6"/>
  <c r="V124" i="6"/>
  <c r="V205" i="6"/>
  <c r="V252" i="6"/>
  <c r="V95" i="6"/>
  <c r="V59" i="6"/>
  <c r="V74" i="6"/>
  <c r="V217" i="6"/>
  <c r="V346" i="6"/>
  <c r="V279" i="6"/>
  <c r="V106" i="6"/>
  <c r="V422" i="6"/>
  <c r="V324" i="6"/>
  <c r="V154" i="6"/>
  <c r="V163" i="6"/>
  <c r="V33" i="6"/>
  <c r="V278" i="6"/>
  <c r="V20" i="6"/>
  <c r="V363" i="6"/>
  <c r="V114" i="6"/>
  <c r="V307" i="6"/>
  <c r="V58" i="6"/>
  <c r="V178" i="6"/>
  <c r="V393" i="6"/>
  <c r="V143" i="6"/>
  <c r="V240" i="6"/>
  <c r="V424" i="6"/>
  <c r="V175" i="6"/>
  <c r="V357" i="6"/>
  <c r="V108" i="6"/>
  <c r="V189" i="6"/>
  <c r="V299" i="6"/>
  <c r="V30" i="6"/>
  <c r="V70" i="6"/>
  <c r="V149" i="6"/>
  <c r="V383" i="6"/>
  <c r="V188" i="6"/>
  <c r="V456" i="6"/>
  <c r="V348" i="6"/>
  <c r="V236" i="6"/>
  <c r="V69" i="6"/>
  <c r="V232" i="6"/>
  <c r="V60" i="6"/>
  <c r="V262" i="6"/>
  <c r="V397" i="6"/>
  <c r="V147" i="6"/>
  <c r="V319" i="6"/>
  <c r="V98" i="6"/>
  <c r="V291" i="6"/>
  <c r="V46" i="6"/>
  <c r="V161" i="6"/>
  <c r="V377" i="6"/>
  <c r="V127" i="6"/>
  <c r="V224" i="6"/>
  <c r="V328" i="6"/>
  <c r="V61" i="6"/>
  <c r="V250" i="6"/>
  <c r="V47" i="6"/>
  <c r="V173" i="6"/>
  <c r="V283" i="6"/>
  <c r="V402" i="6"/>
  <c r="V152" i="6"/>
  <c r="V26" i="6"/>
  <c r="V284" i="6"/>
  <c r="V119" i="6"/>
  <c r="V427" i="6"/>
  <c r="V322" i="6"/>
  <c r="V57" i="6"/>
  <c r="V408" i="6"/>
  <c r="V216" i="6"/>
  <c r="V54" i="6"/>
  <c r="V171" i="6"/>
  <c r="V381" i="6"/>
  <c r="V131" i="6"/>
  <c r="V342" i="6"/>
  <c r="V27" i="6"/>
  <c r="V275" i="6"/>
  <c r="V14" i="6"/>
  <c r="V160" i="6"/>
  <c r="V360" i="6"/>
  <c r="V111" i="6"/>
  <c r="V208" i="6"/>
  <c r="V333" i="6"/>
  <c r="V157" i="6"/>
  <c r="V316" i="6"/>
  <c r="V15" i="6"/>
  <c r="V73" i="6"/>
  <c r="V267" i="6"/>
  <c r="V386" i="6"/>
  <c r="V136" i="6"/>
  <c r="V438" i="6"/>
  <c r="V201" i="6"/>
  <c r="V462" i="6"/>
  <c r="V11" i="6"/>
  <c r="V245" i="6"/>
  <c r="V71" i="6"/>
  <c r="V450" i="6"/>
  <c r="V200" i="6"/>
  <c r="V22" i="6"/>
  <c r="V230" i="6"/>
  <c r="V364" i="6"/>
  <c r="V115" i="6"/>
  <c r="V308" i="6"/>
  <c r="V81" i="6"/>
  <c r="V259" i="6"/>
  <c r="V394" i="6"/>
  <c r="V144" i="6"/>
  <c r="V320" i="6"/>
  <c r="V53" i="6"/>
  <c r="V192" i="6"/>
  <c r="V391" i="6"/>
  <c r="V141" i="6"/>
  <c r="V302" i="6"/>
  <c r="V63" i="6"/>
  <c r="V155" i="6"/>
  <c r="V243" i="6"/>
  <c r="V120" i="6"/>
  <c r="V281" i="6"/>
  <c r="V83" i="6"/>
  <c r="V148" i="6"/>
  <c r="V290" i="6"/>
  <c r="V110" i="6"/>
  <c r="V56" i="6"/>
  <c r="V411" i="6"/>
  <c r="V133" i="6"/>
  <c r="V432" i="6"/>
  <c r="V353" i="6"/>
  <c r="V96" i="6"/>
  <c r="V449" i="6"/>
  <c r="V433" i="6"/>
  <c r="V184" i="6"/>
  <c r="V407" i="6"/>
  <c r="V214" i="6"/>
  <c r="V334" i="6"/>
  <c r="V99" i="6"/>
  <c r="V292" i="6"/>
  <c r="V48" i="6"/>
  <c r="V162" i="6"/>
  <c r="V378" i="6"/>
  <c r="V128" i="6"/>
  <c r="V327" i="6"/>
  <c r="V21" i="6"/>
  <c r="V176" i="6"/>
  <c r="V375" i="6"/>
  <c r="V125" i="6"/>
  <c r="V286" i="6"/>
  <c r="V36" i="6"/>
  <c r="V139" i="6"/>
  <c r="V235" i="6"/>
  <c r="V354" i="6"/>
  <c r="V104" i="6"/>
  <c r="V220" i="6"/>
  <c r="V425" i="6"/>
  <c r="V118" i="6"/>
  <c r="V412" i="6"/>
  <c r="V241" i="6"/>
  <c r="V457" i="6"/>
  <c r="V86" i="6"/>
  <c r="V443" i="6"/>
  <c r="V388" i="6"/>
  <c r="V345" i="6"/>
  <c r="V8" i="6"/>
  <c r="V263" i="6"/>
  <c r="V37" i="6"/>
  <c r="V419" i="6"/>
  <c r="V417" i="6"/>
  <c r="V166" i="6"/>
  <c r="V448" i="6"/>
  <c r="V198" i="6"/>
  <c r="V325" i="6"/>
  <c r="V29" i="6"/>
  <c r="V276" i="6"/>
  <c r="V16" i="6"/>
  <c r="V227" i="6"/>
  <c r="V361" i="6"/>
  <c r="V112" i="6"/>
  <c r="V305" i="6"/>
  <c r="V88" i="6"/>
  <c r="V82" i="6"/>
  <c r="V358" i="6"/>
  <c r="V109" i="6"/>
  <c r="V270" i="6"/>
  <c r="V389" i="6"/>
  <c r="V123" i="6"/>
  <c r="V219" i="6"/>
  <c r="V323" i="6"/>
  <c r="V39" i="6"/>
  <c r="V416" i="6"/>
  <c r="V297" i="6"/>
  <c r="V435" i="6"/>
  <c r="V366" i="6"/>
  <c r="V172" i="6"/>
  <c r="V452" i="6"/>
  <c r="V404" i="6"/>
  <c r="V329" i="6"/>
  <c r="V97" i="6"/>
  <c r="V431" i="6"/>
  <c r="V182" i="6"/>
  <c r="V309" i="6"/>
  <c r="V68" i="6"/>
  <c r="V260" i="6"/>
  <c r="V463" i="6"/>
  <c r="V211" i="6"/>
  <c r="V336" i="6"/>
  <c r="V62" i="6"/>
  <c r="V289" i="6"/>
  <c r="V42" i="6"/>
  <c r="V158" i="6"/>
  <c r="V321" i="6"/>
  <c r="V49" i="6"/>
  <c r="V254" i="6"/>
  <c r="V373" i="6"/>
  <c r="V107" i="6"/>
  <c r="V203" i="6"/>
  <c r="V314" i="6"/>
  <c r="V117" i="6"/>
  <c r="V367" i="6"/>
  <c r="V212" i="6"/>
  <c r="V44" i="6"/>
  <c r="V287" i="6"/>
  <c r="V206" i="6"/>
  <c r="V266" i="6"/>
  <c r="V401" i="6"/>
  <c r="V215" i="6"/>
  <c r="V331" i="6"/>
  <c r="V268" i="6"/>
  <c r="V103" i="6"/>
  <c r="V421" i="6"/>
  <c r="V251" i="6"/>
  <c r="V400" i="6"/>
  <c r="V150" i="6"/>
  <c r="V415" i="6"/>
  <c r="V76" i="6"/>
  <c r="V293" i="6"/>
  <c r="V50" i="6"/>
  <c r="V170" i="6"/>
  <c r="V445" i="6"/>
  <c r="V195" i="6"/>
  <c r="V343" i="6"/>
  <c r="V23" i="6"/>
  <c r="V273" i="6"/>
  <c r="V392" i="6"/>
  <c r="V142" i="6"/>
  <c r="V317" i="6"/>
  <c r="V17" i="6"/>
  <c r="V238" i="6"/>
  <c r="V338" i="6"/>
  <c r="V45" i="6"/>
  <c r="V187" i="6"/>
  <c r="V298" i="6"/>
  <c r="V85" i="6"/>
  <c r="U5" i="6"/>
  <c r="H5" i="6"/>
  <c r="W17" i="6"/>
  <c r="W123" i="6"/>
  <c r="W395" i="6"/>
  <c r="W194" i="6"/>
  <c r="W422" i="6"/>
  <c r="W272" i="6"/>
  <c r="W59" i="6"/>
  <c r="W352" i="6"/>
  <c r="W182" i="6"/>
  <c r="W245" i="6"/>
  <c r="W96" i="6"/>
  <c r="W145" i="6"/>
  <c r="W116" i="6"/>
  <c r="W85" i="6"/>
  <c r="W60" i="6"/>
  <c r="W35" i="6"/>
  <c r="W37" i="6"/>
  <c r="W12" i="6"/>
  <c r="W411" i="6"/>
  <c r="W464" i="6"/>
  <c r="W8" i="6"/>
  <c r="W402" i="6"/>
  <c r="W349" i="6"/>
  <c r="W52" i="6" l="1"/>
  <c r="W61" i="6"/>
  <c r="W66" i="6"/>
  <c r="W32" i="6"/>
  <c r="W444" i="6"/>
  <c r="W369" i="6"/>
  <c r="W370" i="6"/>
  <c r="W371" i="6"/>
  <c r="W296" i="6"/>
  <c r="W33" i="6"/>
  <c r="W91" i="6"/>
  <c r="W92" i="6"/>
  <c r="W93" i="6"/>
  <c r="V5" i="6"/>
  <c r="W372" i="6"/>
  <c r="W397" i="6"/>
  <c r="W394" i="6"/>
  <c r="W403" i="6"/>
  <c r="W413" i="6"/>
  <c r="W460" i="6"/>
  <c r="W441" i="6"/>
  <c r="W425" i="6"/>
  <c r="W414" i="6"/>
  <c r="W31" i="6"/>
  <c r="W30" i="6"/>
  <c r="W58" i="6"/>
  <c r="W83" i="6"/>
  <c r="W115" i="6"/>
  <c r="W143" i="6"/>
  <c r="W160" i="6"/>
  <c r="W238" i="6"/>
  <c r="W176" i="6"/>
  <c r="W43" i="6"/>
  <c r="W256" i="6"/>
  <c r="W446" i="6"/>
  <c r="W165" i="6"/>
  <c r="W379" i="6"/>
  <c r="W107" i="6"/>
  <c r="W203" i="6"/>
  <c r="W36" i="6"/>
  <c r="W50" i="6"/>
  <c r="W280" i="6"/>
  <c r="W335" i="6"/>
  <c r="W392" i="6"/>
  <c r="W329" i="6"/>
  <c r="W410" i="6"/>
  <c r="W457" i="6"/>
  <c r="W423" i="6"/>
  <c r="W249" i="6"/>
  <c r="W459" i="6"/>
  <c r="W440" i="6"/>
  <c r="W29" i="6"/>
  <c r="W56" i="6"/>
  <c r="W80" i="6"/>
  <c r="W114" i="6"/>
  <c r="W141" i="6"/>
  <c r="W161" i="6"/>
  <c r="W327" i="6"/>
  <c r="W27" i="6"/>
  <c r="W217" i="6"/>
  <c r="W433" i="6"/>
  <c r="W156" i="6"/>
  <c r="W362" i="6"/>
  <c r="W86" i="6"/>
  <c r="W299" i="6"/>
  <c r="W20" i="6"/>
  <c r="W34" i="6"/>
  <c r="W264" i="6"/>
  <c r="W75" i="6"/>
  <c r="W184" i="6"/>
  <c r="W224" i="6"/>
  <c r="W336" i="6"/>
  <c r="W368" i="6"/>
  <c r="W391" i="6"/>
  <c r="W313" i="6"/>
  <c r="W404" i="6"/>
  <c r="W347" i="6"/>
  <c r="W461" i="6"/>
  <c r="W438" i="6"/>
  <c r="W452" i="6"/>
  <c r="W424" i="6"/>
  <c r="W28" i="6"/>
  <c r="W53" i="6"/>
  <c r="W79" i="6"/>
  <c r="W113" i="6"/>
  <c r="W138" i="6"/>
  <c r="W306" i="6"/>
  <c r="W448" i="6"/>
  <c r="W242" i="6"/>
  <c r="W405" i="6"/>
  <c r="W140" i="6"/>
  <c r="W314" i="6"/>
  <c r="W70" i="6"/>
  <c r="W283" i="6"/>
  <c r="W297" i="6"/>
  <c r="W18" i="6"/>
  <c r="W222" i="6"/>
  <c r="W74" i="6"/>
  <c r="W343" i="6"/>
  <c r="W344" i="6"/>
  <c r="W200" i="6"/>
  <c r="W366" i="6"/>
  <c r="W389" i="6"/>
  <c r="W388" i="6"/>
  <c r="W387" i="6"/>
  <c r="W318" i="6"/>
  <c r="W442" i="6"/>
  <c r="W453" i="6"/>
  <c r="W419" i="6"/>
  <c r="W465" i="6"/>
  <c r="W26" i="6"/>
  <c r="W51" i="6"/>
  <c r="W78" i="6"/>
  <c r="W111" i="6"/>
  <c r="W290" i="6"/>
  <c r="W456" i="6"/>
  <c r="W210" i="6"/>
  <c r="W396" i="6"/>
  <c r="W124" i="6"/>
  <c r="W340" i="6"/>
  <c r="W54" i="6"/>
  <c r="W267" i="6"/>
  <c r="W281" i="6"/>
  <c r="X7" i="6"/>
  <c r="X265" i="6" s="1"/>
  <c r="W233" i="6"/>
  <c r="W455" i="6"/>
  <c r="W294" i="6"/>
  <c r="W293" i="6"/>
  <c r="W251" i="6"/>
  <c r="W337" i="6"/>
  <c r="W364" i="6"/>
  <c r="W361" i="6"/>
  <c r="W359" i="6"/>
  <c r="W386" i="6"/>
  <c r="W406" i="6"/>
  <c r="W399" i="6"/>
  <c r="W436" i="6"/>
  <c r="W462" i="6"/>
  <c r="W443" i="6"/>
  <c r="W24" i="6"/>
  <c r="W48" i="6"/>
  <c r="W77" i="6"/>
  <c r="W274" i="6"/>
  <c r="W421" i="6"/>
  <c r="W248" i="6"/>
  <c r="W380" i="6"/>
  <c r="W108" i="6"/>
  <c r="W219" i="6"/>
  <c r="W38" i="6"/>
  <c r="W236" i="6"/>
  <c r="W265" i="6"/>
  <c r="W412" i="6"/>
  <c r="W175" i="6"/>
  <c r="W458" i="6"/>
  <c r="W266" i="6"/>
  <c r="W263" i="6"/>
  <c r="W292" i="6"/>
  <c r="W211" i="6"/>
  <c r="W321" i="6"/>
  <c r="W315" i="6"/>
  <c r="W250" i="6"/>
  <c r="W358" i="6"/>
  <c r="W385" i="6"/>
  <c r="W383" i="6"/>
  <c r="W407" i="6"/>
  <c r="W427" i="6"/>
  <c r="W454" i="6"/>
  <c r="W434" i="6"/>
  <c r="W21" i="6"/>
  <c r="W47" i="6"/>
  <c r="W258" i="6"/>
  <c r="W451" i="6"/>
  <c r="W158" i="6"/>
  <c r="W363" i="6"/>
  <c r="W87" i="6"/>
  <c r="W301" i="6"/>
  <c r="W22" i="6"/>
  <c r="W177" i="6"/>
  <c r="W228" i="6"/>
  <c r="W10" i="6"/>
  <c r="W171" i="6"/>
  <c r="W209" i="6"/>
  <c r="W185" i="6"/>
  <c r="W262" i="6"/>
  <c r="W291" i="6"/>
  <c r="W195" i="6"/>
  <c r="W187" i="6"/>
  <c r="W252" i="6"/>
  <c r="W338" i="6"/>
  <c r="W339" i="6"/>
  <c r="W356" i="6"/>
  <c r="W381" i="6"/>
  <c r="W345" i="6"/>
  <c r="W450" i="6"/>
  <c r="W437" i="6"/>
  <c r="W431" i="6"/>
  <c r="W19" i="6"/>
  <c r="W172" i="6"/>
  <c r="W398" i="6"/>
  <c r="W142" i="6"/>
  <c r="W319" i="6"/>
  <c r="W71" i="6"/>
  <c r="W285" i="6"/>
  <c r="W463" i="6"/>
  <c r="W199" i="6"/>
  <c r="W237" i="6"/>
  <c r="W439" i="6"/>
  <c r="W169" i="6"/>
  <c r="W225" i="6"/>
  <c r="W90" i="6"/>
  <c r="W230" i="6"/>
  <c r="W218" i="6"/>
  <c r="W241" i="6"/>
  <c r="W261" i="6"/>
  <c r="W289" i="6"/>
  <c r="W287" i="6"/>
  <c r="W284" i="6"/>
  <c r="W174" i="6"/>
  <c r="W309" i="6"/>
  <c r="W324" i="6"/>
  <c r="W355" i="6"/>
  <c r="W378" i="6"/>
  <c r="W330" i="6"/>
  <c r="W9" i="6"/>
  <c r="W449" i="6"/>
  <c r="W348" i="6"/>
  <c r="W188" i="6"/>
  <c r="W333" i="6"/>
  <c r="W126" i="6"/>
  <c r="W323" i="6"/>
  <c r="W55" i="6"/>
  <c r="W269" i="6"/>
  <c r="W435" i="6"/>
  <c r="W173" i="6"/>
  <c r="W183" i="6"/>
  <c r="W235" i="6"/>
  <c r="W150" i="6"/>
  <c r="W295" i="6"/>
  <c r="W234" i="6"/>
  <c r="W136" i="6"/>
  <c r="W170" i="6"/>
  <c r="W162" i="6"/>
  <c r="W202" i="6"/>
  <c r="W229" i="6"/>
  <c r="W260" i="6"/>
  <c r="W259" i="6"/>
  <c r="W257" i="6"/>
  <c r="W282" i="6"/>
  <c r="W279" i="6"/>
  <c r="W308" i="6"/>
  <c r="W341" i="6"/>
  <c r="W354" i="6"/>
  <c r="W376" i="6"/>
  <c r="W331" i="6"/>
  <c r="W401" i="6"/>
  <c r="W409" i="6"/>
  <c r="W226" i="6"/>
  <c r="W382" i="6"/>
  <c r="W110" i="6"/>
  <c r="W227" i="6"/>
  <c r="W39" i="6"/>
  <c r="W253" i="6"/>
  <c r="W426" i="6"/>
  <c r="W167" i="6"/>
  <c r="W246" i="6"/>
  <c r="W216" i="6"/>
  <c r="W134" i="6"/>
  <c r="W268" i="6"/>
  <c r="W109" i="6"/>
  <c r="W133" i="6"/>
  <c r="W132" i="6"/>
  <c r="W97" i="6"/>
  <c r="W178" i="6"/>
  <c r="W220" i="6"/>
  <c r="W212" i="6"/>
  <c r="W204" i="6"/>
  <c r="W255" i="6"/>
  <c r="W240" i="6"/>
  <c r="W278" i="6"/>
  <c r="W307" i="6"/>
  <c r="W325" i="6"/>
  <c r="W353" i="6"/>
  <c r="W375" i="6"/>
  <c r="W239" i="6"/>
  <c r="W430" i="6"/>
  <c r="W189" i="6"/>
  <c r="W365" i="6"/>
  <c r="W89" i="6"/>
  <c r="W302" i="6"/>
  <c r="W23" i="6"/>
  <c r="W193" i="6"/>
  <c r="W231" i="6"/>
  <c r="W153" i="6"/>
  <c r="W168" i="6"/>
  <c r="W390" i="6"/>
  <c r="W118" i="6"/>
  <c r="W76" i="6"/>
  <c r="W106" i="6"/>
  <c r="W104" i="6"/>
  <c r="W131" i="6"/>
  <c r="W159" i="6"/>
  <c r="W163" i="6"/>
  <c r="W247" i="6"/>
  <c r="W221" i="6"/>
  <c r="W196" i="6"/>
  <c r="W180" i="6"/>
  <c r="W232" i="6"/>
  <c r="W277" i="6"/>
  <c r="W305" i="6"/>
  <c r="W208" i="6"/>
  <c r="W351" i="6"/>
  <c r="W373" i="6"/>
  <c r="W420" i="6"/>
  <c r="W350" i="6"/>
  <c r="W73" i="6"/>
  <c r="W286" i="6"/>
  <c r="W418" i="6"/>
  <c r="W215" i="6"/>
  <c r="W11" i="6"/>
  <c r="W137" i="6"/>
  <c r="W151" i="6"/>
  <c r="W374" i="6"/>
  <c r="W102" i="6"/>
  <c r="W46" i="6"/>
  <c r="W45" i="6"/>
  <c r="W72" i="6"/>
  <c r="W101" i="6"/>
  <c r="W130" i="6"/>
  <c r="W157" i="6"/>
  <c r="W154" i="6"/>
  <c r="W152" i="6"/>
  <c r="W213" i="6"/>
  <c r="W205" i="6"/>
  <c r="W243" i="6"/>
  <c r="W214" i="6"/>
  <c r="W276" i="6"/>
  <c r="W303" i="6"/>
  <c r="W342" i="6"/>
  <c r="W334" i="6"/>
  <c r="W317" i="6"/>
  <c r="W144" i="6"/>
  <c r="W322" i="6"/>
  <c r="W57" i="6"/>
  <c r="W270" i="6"/>
  <c r="W310" i="6"/>
  <c r="W186" i="6"/>
  <c r="W393" i="6"/>
  <c r="W121" i="6"/>
  <c r="W135" i="6"/>
  <c r="W357" i="6"/>
  <c r="W81" i="6"/>
  <c r="W16" i="6"/>
  <c r="W15" i="6"/>
  <c r="W44" i="6"/>
  <c r="W69" i="6"/>
  <c r="W100" i="6"/>
  <c r="W129" i="6"/>
  <c r="W127" i="6"/>
  <c r="W125" i="6"/>
  <c r="W149" i="6"/>
  <c r="W148" i="6"/>
  <c r="W197" i="6"/>
  <c r="W207" i="6"/>
  <c r="W206" i="6"/>
  <c r="W275" i="6"/>
  <c r="W300" i="6"/>
  <c r="W326" i="6"/>
  <c r="W192" i="6"/>
  <c r="W128" i="6"/>
  <c r="W328" i="6"/>
  <c r="W41" i="6"/>
  <c r="W254" i="6"/>
  <c r="W429" i="6"/>
  <c r="W166" i="6"/>
  <c r="W377" i="6"/>
  <c r="W105" i="6"/>
  <c r="W119" i="6"/>
  <c r="W320" i="6"/>
  <c r="W65" i="6"/>
  <c r="W432" i="6"/>
  <c r="W428" i="6"/>
  <c r="W14" i="6"/>
  <c r="W42" i="6"/>
  <c r="W67" i="6"/>
  <c r="W99" i="6"/>
  <c r="W98" i="6"/>
  <c r="W122" i="6"/>
  <c r="W120" i="6"/>
  <c r="W147" i="6"/>
  <c r="W181" i="6"/>
  <c r="W191" i="6"/>
  <c r="W198" i="6"/>
  <c r="W273" i="6"/>
  <c r="W298" i="6"/>
  <c r="W384" i="6"/>
  <c r="W112" i="6"/>
  <c r="W304" i="6"/>
  <c r="W25" i="6"/>
  <c r="W201" i="6"/>
  <c r="W417" i="6"/>
  <c r="W155" i="6"/>
  <c r="W360" i="6"/>
  <c r="W84" i="6"/>
  <c r="W103" i="6"/>
  <c r="W316" i="6"/>
  <c r="W49" i="6"/>
  <c r="W400" i="6"/>
  <c r="W445" i="6"/>
  <c r="W346" i="6"/>
  <c r="W416" i="6"/>
  <c r="W408" i="6"/>
  <c r="W447" i="6"/>
  <c r="W13" i="6"/>
  <c r="W40" i="6"/>
  <c r="W64" i="6"/>
  <c r="W63" i="6"/>
  <c r="W62" i="6"/>
  <c r="W95" i="6"/>
  <c r="W88" i="6"/>
  <c r="W117" i="6"/>
  <c r="W146" i="6"/>
  <c r="W164" i="6"/>
  <c r="W244" i="6"/>
  <c r="W190" i="6"/>
  <c r="W271" i="6"/>
  <c r="W367" i="6"/>
  <c r="W94" i="6"/>
  <c r="W288" i="6"/>
  <c r="W415" i="6"/>
  <c r="W223" i="6"/>
  <c r="W332" i="6"/>
  <c r="W139" i="6"/>
  <c r="W311" i="6"/>
  <c r="W68" i="6"/>
  <c r="W82" i="6"/>
  <c r="W179" i="6"/>
  <c r="X378" i="6" l="1"/>
  <c r="X290" i="6"/>
  <c r="X163" i="6"/>
  <c r="X461" i="6"/>
  <c r="X315" i="6"/>
  <c r="X71" i="6"/>
  <c r="X347" i="6"/>
  <c r="X369" i="6"/>
  <c r="X370" i="6"/>
  <c r="X371" i="6"/>
  <c r="X264" i="6"/>
  <c r="X280" i="6"/>
  <c r="X434" i="6"/>
  <c r="X406" i="6"/>
  <c r="X77" i="6"/>
  <c r="X66" i="6"/>
  <c r="X13" i="6"/>
  <c r="X28" i="6"/>
  <c r="X444" i="6"/>
  <c r="X420" i="6"/>
  <c r="X79" i="6"/>
  <c r="X162" i="6"/>
  <c r="X26" i="6"/>
  <c r="X313" i="6"/>
  <c r="X244" i="6"/>
  <c r="X213" i="6"/>
  <c r="X437" i="6"/>
  <c r="X304" i="6"/>
  <c r="X80" i="6"/>
  <c r="X422" i="6"/>
  <c r="X409" i="6"/>
  <c r="X361" i="6"/>
  <c r="X220" i="6"/>
  <c r="X435" i="6"/>
  <c r="X245" i="6"/>
  <c r="X306" i="6"/>
  <c r="X319" i="6"/>
  <c r="X176" i="6"/>
  <c r="X85" i="6"/>
  <c r="X130" i="6"/>
  <c r="X387" i="6"/>
  <c r="X353" i="6"/>
  <c r="X147" i="6"/>
  <c r="X338" i="6"/>
  <c r="X284" i="6"/>
  <c r="X268" i="6"/>
  <c r="X188" i="6"/>
  <c r="X324" i="6"/>
  <c r="X346" i="6"/>
  <c r="X29" i="6"/>
  <c r="X91" i="6"/>
  <c r="X92" i="6"/>
  <c r="X93" i="6"/>
  <c r="X352" i="6"/>
  <c r="X166" i="6"/>
  <c r="X282" i="6"/>
  <c r="X90" i="6"/>
  <c r="X64" i="6"/>
  <c r="X69" i="6"/>
  <c r="X331" i="6"/>
  <c r="X150" i="6"/>
  <c r="X27" i="6"/>
  <c r="X398" i="6"/>
  <c r="X266" i="6"/>
  <c r="X82" i="6"/>
  <c r="X460" i="6"/>
  <c r="X281" i="6"/>
  <c r="X165" i="6"/>
  <c r="X87" i="6"/>
  <c r="W5" i="6"/>
  <c r="X462" i="6"/>
  <c r="X417" i="6"/>
  <c r="X99" i="6"/>
  <c r="X342" i="6"/>
  <c r="X375" i="6"/>
  <c r="X10" i="6"/>
  <c r="X425" i="6"/>
  <c r="X259" i="6"/>
  <c r="X322" i="6"/>
  <c r="X240" i="6"/>
  <c r="X174" i="6"/>
  <c r="X43" i="6"/>
  <c r="X232" i="6"/>
  <c r="X228" i="6"/>
  <c r="X222" i="6"/>
  <c r="X426" i="6"/>
  <c r="X184" i="6"/>
  <c r="X205" i="6"/>
  <c r="X390" i="6"/>
  <c r="X134" i="6"/>
  <c r="X149" i="6"/>
  <c r="X402" i="6"/>
  <c r="X146" i="6"/>
  <c r="X328" i="6"/>
  <c r="X51" i="6"/>
  <c r="X49" i="6"/>
  <c r="X48" i="6"/>
  <c r="X46" i="6"/>
  <c r="X75" i="6"/>
  <c r="X301" i="6"/>
  <c r="X410" i="6"/>
  <c r="X185" i="6"/>
  <c r="X22" i="6"/>
  <c r="X237" i="6"/>
  <c r="X133" i="6"/>
  <c r="X25" i="6"/>
  <c r="X24" i="6"/>
  <c r="X74" i="6"/>
  <c r="X451" i="6"/>
  <c r="X383" i="6"/>
  <c r="X416" i="6"/>
  <c r="X181" i="6"/>
  <c r="X343" i="6"/>
  <c r="X372" i="6"/>
  <c r="Y7" i="6"/>
  <c r="Y224" i="6" s="1"/>
  <c r="X456" i="6"/>
  <c r="X182" i="6"/>
  <c r="X207" i="6"/>
  <c r="X283" i="6"/>
  <c r="X348" i="6"/>
  <c r="X191" i="6"/>
  <c r="X183" i="6"/>
  <c r="X175" i="6"/>
  <c r="X408" i="6"/>
  <c r="X152" i="6"/>
  <c r="X167" i="6"/>
  <c r="X357" i="6"/>
  <c r="X102" i="6"/>
  <c r="X117" i="6"/>
  <c r="X114" i="6"/>
  <c r="X288" i="6"/>
  <c r="X287" i="6"/>
  <c r="X286" i="6"/>
  <c r="X285" i="6"/>
  <c r="X52" i="6"/>
  <c r="X455" i="6"/>
  <c r="X9" i="6"/>
  <c r="X358" i="6"/>
  <c r="X447" i="6"/>
  <c r="X415" i="6"/>
  <c r="X297" i="6"/>
  <c r="X252" i="6"/>
  <c r="X393" i="6"/>
  <c r="X436" i="6"/>
  <c r="X116" i="6"/>
  <c r="X178" i="6"/>
  <c r="X267" i="6"/>
  <c r="X459" i="6"/>
  <c r="X246" i="6"/>
  <c r="X247" i="6"/>
  <c r="X221" i="6"/>
  <c r="X392" i="6"/>
  <c r="X136" i="6"/>
  <c r="X151" i="6"/>
  <c r="X337" i="6"/>
  <c r="X78" i="6"/>
  <c r="X101" i="6"/>
  <c r="X354" i="6"/>
  <c r="X98" i="6"/>
  <c r="X272" i="6"/>
  <c r="X271" i="6"/>
  <c r="X270" i="6"/>
  <c r="X269" i="6"/>
  <c r="X36" i="6"/>
  <c r="X458" i="6"/>
  <c r="X404" i="6"/>
  <c r="X323" i="6"/>
  <c r="X403" i="6"/>
  <c r="X464" i="6"/>
  <c r="X73" i="6"/>
  <c r="X251" i="6"/>
  <c r="X367" i="6"/>
  <c r="X11" i="6"/>
  <c r="X454" i="6"/>
  <c r="X224" i="6"/>
  <c r="X236" i="6"/>
  <c r="X413" i="6"/>
  <c r="X208" i="6"/>
  <c r="X200" i="6"/>
  <c r="X192" i="6"/>
  <c r="X376" i="6"/>
  <c r="X120" i="6"/>
  <c r="X135" i="6"/>
  <c r="X326" i="6"/>
  <c r="X57" i="6"/>
  <c r="X56" i="6"/>
  <c r="X187" i="6"/>
  <c r="X89" i="6"/>
  <c r="X256" i="6"/>
  <c r="X255" i="6"/>
  <c r="X254" i="6"/>
  <c r="X253" i="6"/>
  <c r="X20" i="6"/>
  <c r="X391" i="6"/>
  <c r="X307" i="6"/>
  <c r="X380" i="6"/>
  <c r="X333" i="6"/>
  <c r="X412" i="6"/>
  <c r="X291" i="6"/>
  <c r="X211" i="6"/>
  <c r="X388" i="6"/>
  <c r="X418" i="6"/>
  <c r="X83" i="6"/>
  <c r="X177" i="6"/>
  <c r="X465" i="6"/>
  <c r="X171" i="6"/>
  <c r="X170" i="6"/>
  <c r="X169" i="6"/>
  <c r="X359" i="6"/>
  <c r="X104" i="6"/>
  <c r="X119" i="6"/>
  <c r="X309" i="6"/>
  <c r="X37" i="6"/>
  <c r="X35" i="6"/>
  <c r="X344" i="6"/>
  <c r="X53" i="6"/>
  <c r="X217" i="6"/>
  <c r="X209" i="6"/>
  <c r="X201" i="6"/>
  <c r="X193" i="6"/>
  <c r="X50" i="6"/>
  <c r="X423" i="6"/>
  <c r="X396" i="6"/>
  <c r="X132" i="6"/>
  <c r="X299" i="6"/>
  <c r="X233" i="6"/>
  <c r="X381" i="6"/>
  <c r="X196" i="6"/>
  <c r="X355" i="6"/>
  <c r="X399" i="6"/>
  <c r="X429" i="6"/>
  <c r="X164" i="6"/>
  <c r="X329" i="6"/>
  <c r="X364" i="6"/>
  <c r="X433" i="6"/>
  <c r="X157" i="6"/>
  <c r="X199" i="6"/>
  <c r="X332" i="6"/>
  <c r="X155" i="6"/>
  <c r="X154" i="6"/>
  <c r="X153" i="6"/>
  <c r="X320" i="6"/>
  <c r="X81" i="6"/>
  <c r="X103" i="6"/>
  <c r="X293" i="6"/>
  <c r="X12" i="6"/>
  <c r="X95" i="6"/>
  <c r="X305" i="6"/>
  <c r="X30" i="6"/>
  <c r="X242" i="6"/>
  <c r="X243" i="6"/>
  <c r="X223" i="6"/>
  <c r="X215" i="6"/>
  <c r="X34" i="6"/>
  <c r="X350" i="6"/>
  <c r="X118" i="6"/>
  <c r="X366" i="6"/>
  <c r="X100" i="6"/>
  <c r="X316" i="6"/>
  <c r="X377" i="6"/>
  <c r="X349" i="6"/>
  <c r="X441" i="6"/>
  <c r="X275" i="6"/>
  <c r="X250" i="6"/>
  <c r="X179" i="6"/>
  <c r="X141" i="6"/>
  <c r="X173" i="6"/>
  <c r="X395" i="6"/>
  <c r="X139" i="6"/>
  <c r="X138" i="6"/>
  <c r="X137" i="6"/>
  <c r="X219" i="6"/>
  <c r="X59" i="6"/>
  <c r="X88" i="6"/>
  <c r="X277" i="6"/>
  <c r="X292" i="6"/>
  <c r="X55" i="6"/>
  <c r="X289" i="6"/>
  <c r="X428" i="6"/>
  <c r="X210" i="6"/>
  <c r="X202" i="6"/>
  <c r="X194" i="6"/>
  <c r="X186" i="6"/>
  <c r="X18" i="6"/>
  <c r="X407" i="6"/>
  <c r="X374" i="6"/>
  <c r="X356" i="6"/>
  <c r="X421" i="6"/>
  <c r="X302" i="6"/>
  <c r="X351" i="6"/>
  <c r="X397" i="6"/>
  <c r="X442" i="6"/>
  <c r="X148" i="6"/>
  <c r="X312" i="6"/>
  <c r="X384" i="6"/>
  <c r="X125" i="6"/>
  <c r="X216" i="6"/>
  <c r="X379" i="6"/>
  <c r="X123" i="6"/>
  <c r="X122" i="6"/>
  <c r="X121" i="6"/>
  <c r="X311" i="6"/>
  <c r="X39" i="6"/>
  <c r="X58" i="6"/>
  <c r="X261" i="6"/>
  <c r="X276" i="6"/>
  <c r="X33" i="6"/>
  <c r="X273" i="6"/>
  <c r="X432" i="6"/>
  <c r="X239" i="6"/>
  <c r="X235" i="6"/>
  <c r="X231" i="6"/>
  <c r="X227" i="6"/>
  <c r="X63" i="6"/>
  <c r="X386" i="6"/>
  <c r="X321" i="6"/>
  <c r="X419" i="6"/>
  <c r="X226" i="6"/>
  <c r="X195" i="6"/>
  <c r="X373" i="6"/>
  <c r="X8" i="6"/>
  <c r="X427" i="6"/>
  <c r="X258" i="6"/>
  <c r="X360" i="6"/>
  <c r="X109" i="6"/>
  <c r="X67" i="6"/>
  <c r="X362" i="6"/>
  <c r="X107" i="6"/>
  <c r="X106" i="6"/>
  <c r="X105" i="6"/>
  <c r="X295" i="6"/>
  <c r="X16" i="6"/>
  <c r="X38" i="6"/>
  <c r="X198" i="6"/>
  <c r="X260" i="6"/>
  <c r="X72" i="6"/>
  <c r="X257" i="6"/>
  <c r="X457" i="6"/>
  <c r="X97" i="6"/>
  <c r="X86" i="6"/>
  <c r="X70" i="6"/>
  <c r="X47" i="6"/>
  <c r="X325" i="6"/>
  <c r="X440" i="6"/>
  <c r="X448" i="6"/>
  <c r="X300" i="6"/>
  <c r="X334" i="6"/>
  <c r="X394" i="6"/>
  <c r="X453" i="6"/>
  <c r="X131" i="6"/>
  <c r="X339" i="6"/>
  <c r="X65" i="6"/>
  <c r="X156" i="6"/>
  <c r="X335" i="6"/>
  <c r="X84" i="6"/>
  <c r="X68" i="6"/>
  <c r="X94" i="6"/>
  <c r="X279" i="6"/>
  <c r="X294" i="6"/>
  <c r="X14" i="6"/>
  <c r="X212" i="6"/>
  <c r="X190" i="6"/>
  <c r="X54" i="6"/>
  <c r="X225" i="6"/>
  <c r="X203" i="6"/>
  <c r="X161" i="6"/>
  <c r="X160" i="6"/>
  <c r="X159" i="6"/>
  <c r="X158" i="6"/>
  <c r="X31" i="6"/>
  <c r="X241" i="6"/>
  <c r="X317" i="6"/>
  <c r="X405" i="6"/>
  <c r="X443" i="6"/>
  <c r="X248" i="6"/>
  <c r="X327" i="6"/>
  <c r="X330" i="6"/>
  <c r="X438" i="6"/>
  <c r="X308" i="6"/>
  <c r="X44" i="6"/>
  <c r="X140" i="6"/>
  <c r="X341" i="6"/>
  <c r="X62" i="6"/>
  <c r="X61" i="6"/>
  <c r="X60" i="6"/>
  <c r="X263" i="6"/>
  <c r="X278" i="6"/>
  <c r="X431" i="6"/>
  <c r="X238" i="6"/>
  <c r="X204" i="6"/>
  <c r="X32" i="6"/>
  <c r="X180" i="6"/>
  <c r="X401" i="6"/>
  <c r="X145" i="6"/>
  <c r="X144" i="6"/>
  <c r="X143" i="6"/>
  <c r="X142" i="6"/>
  <c r="X15" i="6"/>
  <c r="X424" i="6"/>
  <c r="X310" i="6"/>
  <c r="X414" i="6"/>
  <c r="X411" i="6"/>
  <c r="X303" i="6"/>
  <c r="X382" i="6"/>
  <c r="X430" i="6"/>
  <c r="X445" i="6"/>
  <c r="X296" i="6"/>
  <c r="X336" i="6"/>
  <c r="X389" i="6"/>
  <c r="X450" i="6"/>
  <c r="X172" i="6"/>
  <c r="X23" i="6"/>
  <c r="X124" i="6"/>
  <c r="X314" i="6"/>
  <c r="X42" i="6"/>
  <c r="X41" i="6"/>
  <c r="X40" i="6"/>
  <c r="X214" i="6"/>
  <c r="X262" i="6"/>
  <c r="X452" i="6"/>
  <c r="X197" i="6"/>
  <c r="X234" i="6"/>
  <c r="X463" i="6"/>
  <c r="X218" i="6"/>
  <c r="X385" i="6"/>
  <c r="X129" i="6"/>
  <c r="X128" i="6"/>
  <c r="X127" i="6"/>
  <c r="X126" i="6"/>
  <c r="X45" i="6"/>
  <c r="X168" i="6"/>
  <c r="X230" i="6"/>
  <c r="X274" i="6"/>
  <c r="X340" i="6"/>
  <c r="X400" i="6"/>
  <c r="X446" i="6"/>
  <c r="X96" i="6"/>
  <c r="X345" i="6"/>
  <c r="X365" i="6"/>
  <c r="X318" i="6"/>
  <c r="X115" i="6"/>
  <c r="X363" i="6"/>
  <c r="X108" i="6"/>
  <c r="X298" i="6"/>
  <c r="X21" i="6"/>
  <c r="X19" i="6"/>
  <c r="X17" i="6"/>
  <c r="X229" i="6"/>
  <c r="X206" i="6"/>
  <c r="X439" i="6"/>
  <c r="X76" i="6"/>
  <c r="X189" i="6"/>
  <c r="X449" i="6"/>
  <c r="X249" i="6"/>
  <c r="X368" i="6"/>
  <c r="X113" i="6"/>
  <c r="X112" i="6"/>
  <c r="X111" i="6"/>
  <c r="X110" i="6"/>
  <c r="Y14" i="6"/>
  <c r="Y99" i="6"/>
  <c r="Y115" i="6"/>
  <c r="Y100" i="6"/>
  <c r="Y193" i="6"/>
  <c r="Y307" i="6"/>
  <c r="Y120" i="6"/>
  <c r="Y213" i="6"/>
  <c r="Y235" i="6"/>
  <c r="Y106" i="6"/>
  <c r="Y199" i="6"/>
  <c r="Y215" i="6"/>
  <c r="Y56" i="6"/>
  <c r="Y125" i="6"/>
  <c r="Y141" i="6"/>
  <c r="Y347" i="6"/>
  <c r="Y34" i="6"/>
  <c r="Y133" i="6"/>
  <c r="Y12" i="6"/>
  <c r="Y82" i="6"/>
  <c r="Y111" i="6"/>
  <c r="Y388" i="6"/>
  <c r="Y60" i="6"/>
  <c r="Y84" i="6"/>
  <c r="Y265" i="6"/>
  <c r="Y61" i="6"/>
  <c r="Y96" i="6"/>
  <c r="Y456" i="6"/>
  <c r="Y18" i="6"/>
  <c r="Y42" i="6"/>
  <c r="Y142" i="6"/>
  <c r="Y283" i="6"/>
  <c r="Y269" i="6"/>
  <c r="Y119" i="6"/>
  <c r="Y210" i="6"/>
  <c r="Y247" i="6"/>
  <c r="Y144" i="6"/>
  <c r="Y211" i="6"/>
  <c r="Y226" i="6"/>
  <c r="Y71" i="6"/>
  <c r="Y145" i="6"/>
  <c r="Y168" i="6"/>
  <c r="Y331" i="6"/>
  <c r="Y73" i="6"/>
  <c r="Y101" i="6"/>
  <c r="Y262" i="6"/>
  <c r="Y359" i="6"/>
  <c r="Y27" i="6"/>
  <c r="Y421" i="6"/>
  <c r="Y390" i="6"/>
  <c r="Y393" i="6"/>
  <c r="Y338" i="6"/>
  <c r="Y447" i="6"/>
  <c r="Y297" i="6"/>
  <c r="Y80" i="6"/>
  <c r="Y155" i="6"/>
  <c r="Y174" i="6"/>
  <c r="Y400" i="6"/>
  <c r="Y340" i="6"/>
  <c r="Y459" i="6"/>
  <c r="Y64" i="6"/>
  <c r="Y357" i="6"/>
  <c r="Y76" i="6"/>
  <c r="Y411" i="6"/>
  <c r="Y275" i="6"/>
  <c r="Y413" i="6"/>
  <c r="Y172" i="6"/>
  <c r="Y349" i="6"/>
  <c r="Y182" i="6"/>
  <c r="Y436" i="6" l="1"/>
  <c r="Y128" i="6"/>
  <c r="Y320" i="6"/>
  <c r="Y196" i="6"/>
  <c r="Y130" i="6"/>
  <c r="Y422" i="6"/>
  <c r="Y407" i="6"/>
  <c r="Y385" i="6"/>
  <c r="Y49" i="6"/>
  <c r="Y123" i="6"/>
  <c r="Y188" i="6"/>
  <c r="Y187" i="6"/>
  <c r="Y207" i="6"/>
  <c r="Y305" i="6"/>
  <c r="Y16" i="6"/>
  <c r="Y38" i="6"/>
  <c r="Y59" i="6"/>
  <c r="Y9" i="6"/>
  <c r="Y109" i="6"/>
  <c r="Y183" i="6"/>
  <c r="Y197" i="6"/>
  <c r="Y177" i="6"/>
  <c r="Y46" i="6"/>
  <c r="Y253" i="6"/>
  <c r="Y319" i="6"/>
  <c r="Y231" i="6"/>
  <c r="Y17" i="6"/>
  <c r="Y108" i="6"/>
  <c r="Y362" i="6"/>
  <c r="Y446" i="6"/>
  <c r="Y386" i="6"/>
  <c r="Y26" i="6"/>
  <c r="Y98" i="6"/>
  <c r="Y161" i="6"/>
  <c r="Y86" i="6"/>
  <c r="Y185" i="6"/>
  <c r="Y354" i="6"/>
  <c r="Y270" i="6"/>
  <c r="Y13" i="6"/>
  <c r="Y36" i="6"/>
  <c r="Y389" i="6"/>
  <c r="Y72" i="6"/>
  <c r="Y167" i="6"/>
  <c r="Y152" i="6"/>
  <c r="Y162" i="6"/>
  <c r="Y30" i="6"/>
  <c r="Y380" i="6"/>
  <c r="Y267" i="6"/>
  <c r="Y399" i="6"/>
  <c r="Y8" i="6"/>
  <c r="Y57" i="6"/>
  <c r="Y240" i="6"/>
  <c r="Y358" i="6"/>
  <c r="Y443" i="6"/>
  <c r="Y381" i="6"/>
  <c r="Y48" i="6"/>
  <c r="Y121" i="6"/>
  <c r="Y68" i="6"/>
  <c r="Y118" i="6"/>
  <c r="Y432" i="6"/>
  <c r="Y332" i="6"/>
  <c r="Y334" i="6"/>
  <c r="Y356" i="6"/>
  <c r="Y350" i="6"/>
  <c r="Y40" i="6"/>
  <c r="Y69" i="6"/>
  <c r="Y104" i="6"/>
  <c r="Y79" i="6"/>
  <c r="Y75" i="6"/>
  <c r="Y251" i="6"/>
  <c r="Y94" i="6"/>
  <c r="Y254" i="6"/>
  <c r="Y367" i="6"/>
  <c r="Y463" i="6"/>
  <c r="Y24" i="6"/>
  <c r="Y37" i="6"/>
  <c r="Y83" i="6"/>
  <c r="Y47" i="6"/>
  <c r="Y74" i="6"/>
  <c r="Y220" i="6"/>
  <c r="Y372" i="6"/>
  <c r="Y33" i="6"/>
  <c r="Y406" i="6"/>
  <c r="Y22" i="6"/>
  <c r="Y377" i="6"/>
  <c r="Y54" i="6"/>
  <c r="Y295" i="6"/>
  <c r="Y43" i="6"/>
  <c r="Y429" i="6"/>
  <c r="Y428" i="6"/>
  <c r="Y425" i="6"/>
  <c r="Y368" i="6"/>
  <c r="Y51" i="6"/>
  <c r="Y458" i="6"/>
  <c r="Y337" i="6"/>
  <c r="Y303" i="6"/>
  <c r="Y44" i="6"/>
  <c r="Y343" i="6"/>
  <c r="Y245" i="6"/>
  <c r="Y373" i="6"/>
  <c r="Y300" i="6"/>
  <c r="Y451" i="6"/>
  <c r="Y455" i="6"/>
  <c r="Y229" i="6"/>
  <c r="Y329" i="6"/>
  <c r="Y364" i="6"/>
  <c r="Y306" i="6"/>
  <c r="Y15" i="6"/>
  <c r="Y289" i="6"/>
  <c r="Y426" i="6"/>
  <c r="Y105" i="6"/>
  <c r="Y302" i="6"/>
  <c r="Y427" i="6"/>
  <c r="Y129" i="6"/>
  <c r="Y194" i="6"/>
  <c r="Y238" i="6"/>
  <c r="Y346" i="6"/>
  <c r="Y348" i="6"/>
  <c r="Y465" i="6"/>
  <c r="Y464" i="6"/>
  <c r="Y360" i="6"/>
  <c r="Y20" i="6"/>
  <c r="Y327" i="6"/>
  <c r="Y292" i="6"/>
  <c r="Y284" i="6"/>
  <c r="Y387" i="6"/>
  <c r="Y260" i="6"/>
  <c r="Y409" i="6"/>
  <c r="Y394" i="6"/>
  <c r="Y35" i="6"/>
  <c r="Y434" i="6"/>
  <c r="Y420" i="6"/>
  <c r="Y355" i="6"/>
  <c r="Y445" i="6"/>
  <c r="Y217" i="6"/>
  <c r="Y402" i="6"/>
  <c r="Y449" i="6"/>
  <c r="Y107" i="6"/>
  <c r="Y287" i="6"/>
  <c r="Y438" i="6"/>
  <c r="Y365" i="6"/>
  <c r="Y298" i="6"/>
  <c r="Y282" i="6"/>
  <c r="Y276" i="6"/>
  <c r="Y301" i="6"/>
  <c r="Y333" i="6"/>
  <c r="Y352" i="6"/>
  <c r="Y281" i="6"/>
  <c r="Y418" i="6"/>
  <c r="Y382" i="6"/>
  <c r="Y410" i="6"/>
  <c r="Y398" i="6"/>
  <c r="Y342" i="6"/>
  <c r="Y257" i="6"/>
  <c r="Y431" i="6"/>
  <c r="Y67" i="6"/>
  <c r="Y450" i="6"/>
  <c r="Y374" i="6"/>
  <c r="Y430" i="6"/>
  <c r="Y294" i="6"/>
  <c r="Y383" i="6"/>
  <c r="Y191" i="6"/>
  <c r="Y440" i="6"/>
  <c r="Y206" i="6"/>
  <c r="Y151" i="6"/>
  <c r="Y219" i="6"/>
  <c r="Y77" i="6"/>
  <c r="Y127" i="6"/>
  <c r="Y165" i="6"/>
  <c r="Y214" i="6"/>
  <c r="Y309" i="6"/>
  <c r="Y416" i="6"/>
  <c r="Y415" i="6"/>
  <c r="Y462" i="6"/>
  <c r="Y184" i="6"/>
  <c r="Y227" i="6"/>
  <c r="Y304" i="6"/>
  <c r="Y296" i="6"/>
  <c r="Y288" i="6"/>
  <c r="Y264" i="6"/>
  <c r="Y315" i="6"/>
  <c r="Y457" i="6"/>
  <c r="Y452" i="6"/>
  <c r="Y271" i="6"/>
  <c r="Y114" i="6"/>
  <c r="Y25" i="6"/>
  <c r="Y454" i="6"/>
  <c r="Y173" i="6"/>
  <c r="Y10" i="6"/>
  <c r="Y66" i="6"/>
  <c r="Y453" i="6"/>
  <c r="Y31" i="6"/>
  <c r="Y11" i="6"/>
  <c r="Y153" i="6"/>
  <c r="Y417" i="6"/>
  <c r="Y408" i="6"/>
  <c r="Y272" i="6"/>
  <c r="Y321" i="6"/>
  <c r="Y171" i="6"/>
  <c r="Y234" i="6"/>
  <c r="Y259" i="6"/>
  <c r="Y341" i="6"/>
  <c r="Y366" i="6"/>
  <c r="Y268" i="6"/>
  <c r="Y195" i="6"/>
  <c r="Y403" i="6"/>
  <c r="Y242" i="6"/>
  <c r="Y41" i="6"/>
  <c r="Y258" i="6"/>
  <c r="Y32" i="6"/>
  <c r="Y103" i="6"/>
  <c r="Y149" i="6"/>
  <c r="Y190" i="6"/>
  <c r="Y330" i="6"/>
  <c r="Y310" i="6"/>
  <c r="Y335" i="6"/>
  <c r="Y437" i="6"/>
  <c r="Y90" i="6"/>
  <c r="Y204" i="6"/>
  <c r="Y250" i="6"/>
  <c r="Y228" i="6"/>
  <c r="Y222" i="6"/>
  <c r="Y202" i="6"/>
  <c r="Y290" i="6"/>
  <c r="Y439" i="6"/>
  <c r="Y435" i="6"/>
  <c r="Y316" i="6"/>
  <c r="Y89" i="6"/>
  <c r="Y140" i="6"/>
  <c r="Y244" i="6"/>
  <c r="Y433" i="6"/>
  <c r="Y233" i="6"/>
  <c r="Y166" i="6"/>
  <c r="Y255" i="6"/>
  <c r="Y201" i="6"/>
  <c r="Y448" i="6"/>
  <c r="Y28" i="6"/>
  <c r="Y117" i="6"/>
  <c r="Y164" i="6"/>
  <c r="Y404" i="6"/>
  <c r="Y23" i="6"/>
  <c r="Y318" i="6"/>
  <c r="Y424" i="6"/>
  <c r="Y461" i="6"/>
  <c r="Y384" i="6"/>
  <c r="Y52" i="6"/>
  <c r="Y126" i="6"/>
  <c r="Y230" i="6"/>
  <c r="Y263" i="6"/>
  <c r="Y414" i="6"/>
  <c r="Y180" i="6"/>
  <c r="Y203" i="6"/>
  <c r="Y200" i="6"/>
  <c r="Y186" i="6"/>
  <c r="Y345" i="6"/>
  <c r="Y423" i="6"/>
  <c r="Y379" i="6"/>
  <c r="Y256" i="6"/>
  <c r="Y361" i="6"/>
  <c r="Y205" i="6"/>
  <c r="Y221" i="6"/>
  <c r="Y397" i="6"/>
  <c r="Y102" i="6"/>
  <c r="Y146" i="6"/>
  <c r="Y212" i="6"/>
  <c r="Y293" i="6"/>
  <c r="Y285" i="6"/>
  <c r="Y252" i="6"/>
  <c r="Y137" i="6"/>
  <c r="Y179" i="6"/>
  <c r="Y158" i="6"/>
  <c r="Y175" i="6"/>
  <c r="Y163" i="6"/>
  <c r="Y395" i="6"/>
  <c r="Y311" i="6"/>
  <c r="Y97" i="6"/>
  <c r="Y312" i="6"/>
  <c r="Y139" i="6"/>
  <c r="Y239" i="6"/>
  <c r="Y29" i="6"/>
  <c r="Y198" i="6"/>
  <c r="Y405" i="6"/>
  <c r="Y363" i="6"/>
  <c r="Y50" i="6"/>
  <c r="Y124" i="6"/>
  <c r="Y189" i="6"/>
  <c r="Y313" i="6"/>
  <c r="Y291" i="6"/>
  <c r="Y339" i="6"/>
  <c r="Y88" i="6"/>
  <c r="Y113" i="6"/>
  <c r="Y135" i="6"/>
  <c r="Y134" i="6"/>
  <c r="Y156" i="6"/>
  <c r="Y157" i="6"/>
  <c r="Y249" i="6"/>
  <c r="Y237" i="6"/>
  <c r="Y279" i="6"/>
  <c r="Y131" i="6"/>
  <c r="Y325" i="6"/>
  <c r="Y328" i="6"/>
  <c r="Y159" i="6"/>
  <c r="Y223" i="6"/>
  <c r="Y266" i="6"/>
  <c r="Y351" i="6"/>
  <c r="Y401" i="6"/>
  <c r="Y85" i="6"/>
  <c r="Y169" i="6"/>
  <c r="Y344" i="6"/>
  <c r="Y299" i="6"/>
  <c r="Y336" i="6"/>
  <c r="Y323" i="6"/>
  <c r="Y280" i="6"/>
  <c r="Y55" i="6"/>
  <c r="Y150" i="6"/>
  <c r="Y216" i="6"/>
  <c r="Y326" i="6"/>
  <c r="Y442" i="6"/>
  <c r="Y278" i="6"/>
  <c r="Y45" i="6"/>
  <c r="Y87" i="6"/>
  <c r="Y170" i="6"/>
  <c r="Y286" i="6"/>
  <c r="Y39" i="6"/>
  <c r="Y112" i="6"/>
  <c r="Y178" i="6"/>
  <c r="Y241" i="6"/>
  <c r="Y324" i="6"/>
  <c r="Y441" i="6"/>
  <c r="Y53" i="6"/>
  <c r="Y136" i="6"/>
  <c r="Y243" i="6"/>
  <c r="Y444" i="6"/>
  <c r="Y369" i="6"/>
  <c r="Y370" i="6"/>
  <c r="Y371" i="6"/>
  <c r="Y110" i="6"/>
  <c r="Y236" i="6"/>
  <c r="Y273" i="6"/>
  <c r="Y154" i="6"/>
  <c r="Y314" i="6"/>
  <c r="Y376" i="6"/>
  <c r="Y148" i="6"/>
  <c r="Y208" i="6"/>
  <c r="Y81" i="6"/>
  <c r="Y246" i="6"/>
  <c r="Y392" i="6"/>
  <c r="Y138" i="6"/>
  <c r="Y322" i="6"/>
  <c r="Y353" i="6"/>
  <c r="Y132" i="6"/>
  <c r="Y192" i="6"/>
  <c r="Y70" i="6"/>
  <c r="Y143" i="6"/>
  <c r="Y248" i="6"/>
  <c r="Y65" i="6"/>
  <c r="Y160" i="6"/>
  <c r="Y232" i="6"/>
  <c r="Y391" i="6"/>
  <c r="Z7" i="6"/>
  <c r="Z12" i="6" s="1"/>
  <c r="Y58" i="6"/>
  <c r="Y218" i="6"/>
  <c r="Y460" i="6"/>
  <c r="Y122" i="6"/>
  <c r="Y274" i="6"/>
  <c r="Y378" i="6"/>
  <c r="Y116" i="6"/>
  <c r="Y176" i="6"/>
  <c r="X5" i="6"/>
  <c r="Y62" i="6"/>
  <c r="Y91" i="6"/>
  <c r="Y92" i="6"/>
  <c r="Y93" i="6"/>
  <c r="Y412" i="6"/>
  <c r="Y95" i="6"/>
  <c r="Y277" i="6"/>
  <c r="Y21" i="6"/>
  <c r="Y181" i="6"/>
  <c r="Y419" i="6"/>
  <c r="Y63" i="6"/>
  <c r="Y147" i="6"/>
  <c r="Y261" i="6"/>
  <c r="Y19" i="6"/>
  <c r="Y225" i="6"/>
  <c r="Y375" i="6"/>
  <c r="Y78" i="6"/>
  <c r="Y317" i="6"/>
  <c r="Y396" i="6"/>
  <c r="Y209" i="6"/>
  <c r="Y308" i="6"/>
  <c r="Z455" i="6"/>
  <c r="Z74" i="6"/>
  <c r="Z13" i="6"/>
  <c r="Z32" i="6"/>
  <c r="Z436" i="6"/>
  <c r="Z131" i="6"/>
  <c r="Z163" i="6"/>
  <c r="Z178" i="6"/>
  <c r="Z194" i="6"/>
  <c r="Z156" i="6"/>
  <c r="Z358" i="6"/>
  <c r="Z430" i="6"/>
  <c r="Z265" i="6"/>
  <c r="Z375" i="6"/>
  <c r="Z418" i="6"/>
  <c r="Z337" i="6"/>
  <c r="Z438" i="6"/>
  <c r="Z336" i="6"/>
  <c r="Z295" i="6"/>
  <c r="Z302" i="6"/>
  <c r="Z140" i="6" l="1"/>
  <c r="Z458" i="6"/>
  <c r="Z133" i="6"/>
  <c r="Z42" i="6"/>
  <c r="Z150" i="6"/>
  <c r="Z124" i="6"/>
  <c r="Z60" i="6"/>
  <c r="Z376" i="6"/>
  <c r="Z23" i="6"/>
  <c r="Z81" i="6"/>
  <c r="Z8" i="6"/>
  <c r="Z449" i="6"/>
  <c r="Z349" i="6"/>
  <c r="Z416" i="6"/>
  <c r="Z310" i="6"/>
  <c r="Y5" i="6"/>
  <c r="Z383" i="6"/>
  <c r="Z241" i="6"/>
  <c r="Z50" i="6"/>
  <c r="Z112" i="6"/>
  <c r="Z340" i="6"/>
  <c r="Z155" i="6"/>
  <c r="Z64" i="6"/>
  <c r="Z285" i="6"/>
  <c r="Z62" i="6"/>
  <c r="Z85" i="6"/>
  <c r="Z338" i="6"/>
  <c r="Z291" i="6"/>
  <c r="Z123" i="6"/>
  <c r="Z143" i="6"/>
  <c r="Z275" i="6"/>
  <c r="Z244" i="6"/>
  <c r="Z342" i="6"/>
  <c r="Z86" i="6"/>
  <c r="Z457" i="6"/>
  <c r="Z236" i="6"/>
  <c r="Z227" i="6"/>
  <c r="Z274" i="6"/>
  <c r="Z251" i="6"/>
  <c r="Z300" i="6"/>
  <c r="Z401" i="6"/>
  <c r="Z255" i="6"/>
  <c r="Z398" i="6"/>
  <c r="Z204" i="6"/>
  <c r="Z385" i="6"/>
  <c r="Z343" i="6"/>
  <c r="Z250" i="6"/>
  <c r="Z266" i="6"/>
  <c r="Z335" i="6"/>
  <c r="Z231" i="6"/>
  <c r="Z403" i="6"/>
  <c r="Z130" i="6"/>
  <c r="Z367" i="6"/>
  <c r="Z114" i="6"/>
  <c r="Z268" i="6"/>
  <c r="Z83" i="6"/>
  <c r="Z319" i="6"/>
  <c r="Z322" i="6"/>
  <c r="Z328" i="6"/>
  <c r="Z243" i="6"/>
  <c r="Z247" i="6"/>
  <c r="Z462" i="6"/>
  <c r="Z420" i="6"/>
  <c r="Z117" i="6"/>
  <c r="Z37" i="6"/>
  <c r="Z139" i="6"/>
  <c r="Z441" i="6"/>
  <c r="Z230" i="6"/>
  <c r="Z359" i="6"/>
  <c r="Z326" i="6"/>
  <c r="Z237" i="6"/>
  <c r="Z347" i="6"/>
  <c r="Z352" i="6"/>
  <c r="Z305" i="6"/>
  <c r="Z110" i="6"/>
  <c r="Z61" i="6"/>
  <c r="Z287" i="6"/>
  <c r="Z389" i="6"/>
  <c r="Z465" i="6"/>
  <c r="Z43" i="6"/>
  <c r="Z333" i="6"/>
  <c r="Z368" i="6"/>
  <c r="Z196" i="6"/>
  <c r="Z332" i="6"/>
  <c r="Z447" i="6"/>
  <c r="Z25" i="6"/>
  <c r="Z254" i="6"/>
  <c r="Z51" i="6"/>
  <c r="Z353" i="6"/>
  <c r="Z433" i="6"/>
  <c r="Z278" i="6"/>
  <c r="Z206" i="6"/>
  <c r="Z423" i="6"/>
  <c r="Z55" i="6"/>
  <c r="Z341" i="6"/>
  <c r="Z357" i="6"/>
  <c r="Z173" i="6"/>
  <c r="Z391" i="6"/>
  <c r="Z303" i="6"/>
  <c r="Z31" i="6"/>
  <c r="Z220" i="6"/>
  <c r="Z414" i="6"/>
  <c r="Z108" i="6"/>
  <c r="Z107" i="6"/>
  <c r="Z280" i="6"/>
  <c r="Z272" i="6"/>
  <c r="Z314" i="6"/>
  <c r="Z215" i="6"/>
  <c r="Z214" i="6"/>
  <c r="Z211" i="6"/>
  <c r="Z454" i="6"/>
  <c r="Z147" i="6"/>
  <c r="Z281" i="6"/>
  <c r="Z72" i="6"/>
  <c r="Z307" i="6"/>
  <c r="Z105" i="6"/>
  <c r="Z52" i="6"/>
  <c r="Z374" i="6"/>
  <c r="Z427" i="6"/>
  <c r="Z69" i="6"/>
  <c r="Z306" i="6"/>
  <c r="Z390" i="6"/>
  <c r="Z189" i="6"/>
  <c r="Z409" i="6"/>
  <c r="Z29" i="6"/>
  <c r="Z269" i="6"/>
  <c r="Z327" i="6"/>
  <c r="Z360" i="6"/>
  <c r="Z188" i="6"/>
  <c r="Z311" i="6"/>
  <c r="Z90" i="6"/>
  <c r="Z79" i="6"/>
  <c r="Z316" i="6"/>
  <c r="Z315" i="6"/>
  <c r="Z402" i="6"/>
  <c r="Z183" i="6"/>
  <c r="Z182" i="6"/>
  <c r="Z179" i="6"/>
  <c r="Z421" i="6"/>
  <c r="Z115" i="6"/>
  <c r="Z282" i="6"/>
  <c r="Z34" i="6"/>
  <c r="Z240" i="6"/>
  <c r="Z82" i="6"/>
  <c r="Z92" i="6"/>
  <c r="Z94" i="6"/>
  <c r="Z199" i="6"/>
  <c r="Z195" i="6"/>
  <c r="Z276" i="6"/>
  <c r="Z382" i="6"/>
  <c r="Z172" i="6"/>
  <c r="Z45" i="6"/>
  <c r="Z44" i="6"/>
  <c r="Z233" i="6"/>
  <c r="Z232" i="6"/>
  <c r="Z361" i="6"/>
  <c r="Z168" i="6"/>
  <c r="Z167" i="6"/>
  <c r="Z164" i="6"/>
  <c r="Z387" i="6"/>
  <c r="Z98" i="6"/>
  <c r="Z253" i="6"/>
  <c r="Z15" i="6"/>
  <c r="Z224" i="6"/>
  <c r="Z49" i="6"/>
  <c r="Z91" i="6"/>
  <c r="Z71" i="6"/>
  <c r="Z242" i="6"/>
  <c r="Z228" i="6"/>
  <c r="Z271" i="6"/>
  <c r="Z407" i="6"/>
  <c r="Z159" i="6"/>
  <c r="Z339" i="6"/>
  <c r="Z404" i="6"/>
  <c r="Z197" i="6"/>
  <c r="Z417" i="6"/>
  <c r="Z47" i="6"/>
  <c r="Z293" i="6"/>
  <c r="Z350" i="6"/>
  <c r="Z165" i="6"/>
  <c r="Z248" i="6"/>
  <c r="Z262" i="6"/>
  <c r="Z157" i="6"/>
  <c r="Z312" i="6"/>
  <c r="Z27" i="6"/>
  <c r="Z26" i="6"/>
  <c r="Z217" i="6"/>
  <c r="Z216" i="6"/>
  <c r="Z461" i="6"/>
  <c r="Z152" i="6"/>
  <c r="Z151" i="6"/>
  <c r="Z148" i="6"/>
  <c r="Z289" i="6"/>
  <c r="Z89" i="6"/>
  <c r="Z313" i="6"/>
  <c r="Z384" i="6"/>
  <c r="Z208" i="6"/>
  <c r="Z33" i="6"/>
  <c r="AA7" i="6"/>
  <c r="AA262" i="6" s="1"/>
  <c r="Z87" i="6"/>
  <c r="Z329" i="6"/>
  <c r="Z459" i="6"/>
  <c r="Z134" i="6"/>
  <c r="Z257" i="6"/>
  <c r="Z181" i="6"/>
  <c r="Z238" i="6"/>
  <c r="Z439" i="6"/>
  <c r="Z100" i="6"/>
  <c r="Z239" i="6"/>
  <c r="Z448" i="6"/>
  <c r="Z141" i="6"/>
  <c r="Z296" i="6"/>
  <c r="Z288" i="6"/>
  <c r="Z270" i="6"/>
  <c r="Z201" i="6"/>
  <c r="Z200" i="6"/>
  <c r="Z442" i="6"/>
  <c r="Z136" i="6"/>
  <c r="Z135" i="6"/>
  <c r="Z132" i="6"/>
  <c r="Z321" i="6"/>
  <c r="Z53" i="6"/>
  <c r="Z246" i="6"/>
  <c r="Z377" i="6"/>
  <c r="Z192" i="6"/>
  <c r="Z17" i="6"/>
  <c r="Z126" i="6"/>
  <c r="Z364" i="6"/>
  <c r="Z221" i="6"/>
  <c r="Z424" i="6"/>
  <c r="Z258" i="6"/>
  <c r="Z174" i="6"/>
  <c r="Z395" i="6"/>
  <c r="Z19" i="6"/>
  <c r="Z223" i="6"/>
  <c r="Z431" i="6"/>
  <c r="Z125" i="6"/>
  <c r="Z267" i="6"/>
  <c r="Z259" i="6"/>
  <c r="Z356" i="6"/>
  <c r="Z185" i="6"/>
  <c r="Z184" i="6"/>
  <c r="Z426" i="6"/>
  <c r="Z120" i="6"/>
  <c r="Z119" i="6"/>
  <c r="Z116" i="6"/>
  <c r="Z290" i="6"/>
  <c r="Z35" i="6"/>
  <c r="Z73" i="6"/>
  <c r="Z405" i="6"/>
  <c r="Z176" i="6"/>
  <c r="Z14" i="6"/>
  <c r="Z393" i="6"/>
  <c r="Z464" i="6"/>
  <c r="Z212" i="6"/>
  <c r="Z57" i="6"/>
  <c r="Z118" i="6"/>
  <c r="Z446" i="6"/>
  <c r="Z158" i="6"/>
  <c r="Z149" i="6"/>
  <c r="Z334" i="6"/>
  <c r="Z396" i="6"/>
  <c r="Z249" i="6"/>
  <c r="Z38" i="6"/>
  <c r="Z111" i="6"/>
  <c r="Z260" i="6"/>
  <c r="Z380" i="6"/>
  <c r="Z207" i="6"/>
  <c r="Z415" i="6"/>
  <c r="Z109" i="6"/>
  <c r="Z318" i="6"/>
  <c r="Z317" i="6"/>
  <c r="Z286" i="6"/>
  <c r="Z170" i="6"/>
  <c r="Z169" i="6"/>
  <c r="Z410" i="6"/>
  <c r="Z103" i="6"/>
  <c r="Z102" i="6"/>
  <c r="Z99" i="6"/>
  <c r="Z261" i="6"/>
  <c r="Z16" i="6"/>
  <c r="Z225" i="6"/>
  <c r="Z406" i="6"/>
  <c r="Z161" i="6"/>
  <c r="Z444" i="6"/>
  <c r="Z369" i="6"/>
  <c r="Z370" i="6"/>
  <c r="Z371" i="6"/>
  <c r="Z222" i="6"/>
  <c r="Z443" i="6"/>
  <c r="Z190" i="6"/>
  <c r="Z277" i="6"/>
  <c r="Z66" i="6"/>
  <c r="Z235" i="6"/>
  <c r="Z234" i="6"/>
  <c r="Z463" i="6"/>
  <c r="Z154" i="6"/>
  <c r="Z153" i="6"/>
  <c r="Z400" i="6"/>
  <c r="Z65" i="6"/>
  <c r="Z330" i="6"/>
  <c r="Z209" i="6"/>
  <c r="Z452" i="6"/>
  <c r="Z145" i="6"/>
  <c r="Z67" i="6"/>
  <c r="Z348" i="6"/>
  <c r="Z77" i="6"/>
  <c r="Z411" i="6"/>
  <c r="Z373" i="6"/>
  <c r="Z88" i="6"/>
  <c r="Z429" i="6"/>
  <c r="Z10" i="6"/>
  <c r="Z456" i="6"/>
  <c r="Z292" i="6"/>
  <c r="Z397" i="6"/>
  <c r="Z229" i="6"/>
  <c r="Z394" i="6"/>
  <c r="Z175" i="6"/>
  <c r="Z320" i="6"/>
  <c r="Z46" i="6"/>
  <c r="Z219" i="6"/>
  <c r="Z218" i="6"/>
  <c r="Z445" i="6"/>
  <c r="Z138" i="6"/>
  <c r="Z137" i="6"/>
  <c r="Z284" i="6"/>
  <c r="Z59" i="6"/>
  <c r="Z58" i="6"/>
  <c r="Z54" i="6"/>
  <c r="Z245" i="6"/>
  <c r="Z381" i="6"/>
  <c r="Z193" i="6"/>
  <c r="Z435" i="6"/>
  <c r="Z129" i="6"/>
  <c r="Z56" i="6"/>
  <c r="Z93" i="6"/>
  <c r="Z365" i="6"/>
  <c r="Z450" i="6"/>
  <c r="Z78" i="6"/>
  <c r="Z30" i="6"/>
  <c r="Z191" i="6"/>
  <c r="Z95" i="6"/>
  <c r="Z48" i="6"/>
  <c r="Z160" i="6"/>
  <c r="Z28" i="6"/>
  <c r="Z202" i="6"/>
  <c r="Z428" i="6"/>
  <c r="Z122" i="6"/>
  <c r="Z121" i="6"/>
  <c r="Z323" i="6"/>
  <c r="Z41" i="6"/>
  <c r="Z39" i="6"/>
  <c r="Z36" i="6"/>
  <c r="Z97" i="6"/>
  <c r="Z9" i="6"/>
  <c r="Z177" i="6"/>
  <c r="Z419" i="6"/>
  <c r="Z113" i="6"/>
  <c r="Z40" i="6"/>
  <c r="Z331" i="6"/>
  <c r="Z198" i="6"/>
  <c r="Z437" i="6"/>
  <c r="Z299" i="6"/>
  <c r="Z324" i="6"/>
  <c r="Z366" i="6"/>
  <c r="Z345" i="6"/>
  <c r="Z460" i="6"/>
  <c r="Z142" i="6"/>
  <c r="Z297" i="6"/>
  <c r="Z372" i="6"/>
  <c r="Z70" i="6"/>
  <c r="Z440" i="6"/>
  <c r="Z101" i="6"/>
  <c r="Z451" i="6"/>
  <c r="Z144" i="6"/>
  <c r="Z325" i="6"/>
  <c r="Z363" i="6"/>
  <c r="Z187" i="6"/>
  <c r="Z186" i="6"/>
  <c r="Z412" i="6"/>
  <c r="Z106" i="6"/>
  <c r="Z104" i="6"/>
  <c r="Z301" i="6"/>
  <c r="Z22" i="6"/>
  <c r="Z21" i="6"/>
  <c r="Z18" i="6"/>
  <c r="Z226" i="6"/>
  <c r="Z252" i="6"/>
  <c r="Z162" i="6"/>
  <c r="Z379" i="6"/>
  <c r="Z80" i="6"/>
  <c r="Z24" i="6"/>
  <c r="Z344" i="6"/>
  <c r="Z294" i="6"/>
  <c r="Z362" i="6"/>
  <c r="Z388" i="6"/>
  <c r="Z355" i="6"/>
  <c r="Z283" i="6"/>
  <c r="Z127" i="6"/>
  <c r="Z413" i="6"/>
  <c r="Z263" i="6"/>
  <c r="Z11" i="6"/>
  <c r="Z205" i="6"/>
  <c r="Z422" i="6"/>
  <c r="Z309" i="6"/>
  <c r="Z354" i="6"/>
  <c r="Z166" i="6"/>
  <c r="Z399" i="6"/>
  <c r="Z279" i="6"/>
  <c r="Z203" i="6"/>
  <c r="Z432" i="6"/>
  <c r="Z308" i="6"/>
  <c r="Z213" i="6"/>
  <c r="Z425" i="6"/>
  <c r="Z96" i="6"/>
  <c r="Z298" i="6"/>
  <c r="Z386" i="6"/>
  <c r="Z180" i="6"/>
  <c r="Z408" i="6"/>
  <c r="Z20" i="6"/>
  <c r="Z434" i="6"/>
  <c r="Z128" i="6"/>
  <c r="Z304" i="6"/>
  <c r="Z378" i="6"/>
  <c r="Z171" i="6"/>
  <c r="Z76" i="6"/>
  <c r="Z351" i="6"/>
  <c r="Z84" i="6"/>
  <c r="Z68" i="6"/>
  <c r="Z264" i="6"/>
  <c r="Z256" i="6"/>
  <c r="Z346" i="6"/>
  <c r="Z392" i="6"/>
  <c r="Z210" i="6"/>
  <c r="Z453" i="6"/>
  <c r="Z146" i="6"/>
  <c r="Z273" i="6"/>
  <c r="Z63" i="6"/>
  <c r="Z75" i="6"/>
  <c r="AA91" i="6"/>
  <c r="AA117" i="6"/>
  <c r="AA98" i="6"/>
  <c r="AA148" i="6"/>
  <c r="AA449" i="6"/>
  <c r="AA281" i="6"/>
  <c r="AA305" i="6"/>
  <c r="AA245" i="6"/>
  <c r="AA193" i="6"/>
  <c r="AA270" i="6"/>
  <c r="AA89" i="6"/>
  <c r="AA106" i="6"/>
  <c r="AA320" i="6"/>
  <c r="AA395" i="6"/>
  <c r="AA423" i="6"/>
  <c r="AA129" i="6"/>
  <c r="AA220" i="6"/>
  <c r="AA145" i="6"/>
  <c r="AA352" i="6"/>
  <c r="AA13" i="6"/>
  <c r="AA29" i="6"/>
  <c r="AA49" i="6"/>
  <c r="AA65" i="6"/>
  <c r="AA104" i="6"/>
  <c r="AA79" i="6"/>
  <c r="AA173" i="6"/>
  <c r="AA160" i="6"/>
  <c r="AA356" i="6"/>
  <c r="AA23" i="6"/>
  <c r="AA54" i="6"/>
  <c r="AA456" i="6"/>
  <c r="AA354" i="6"/>
  <c r="AA353" i="6"/>
  <c r="AA400" i="6"/>
  <c r="AA435" i="6"/>
  <c r="AA246" i="6"/>
  <c r="AA326" i="6"/>
  <c r="AA263" i="6"/>
  <c r="AA348" i="6"/>
  <c r="AA280" i="6"/>
  <c r="AA101" i="6"/>
  <c r="AA127" i="6"/>
  <c r="AA137" i="6"/>
  <c r="AA95" i="6"/>
  <c r="AA128" i="6"/>
  <c r="AA135" i="6"/>
  <c r="AA372" i="6"/>
  <c r="AA39" i="6"/>
  <c r="AA69" i="6"/>
  <c r="AA394" i="6"/>
  <c r="AA389" i="6"/>
  <c r="AA376" i="6"/>
  <c r="AA399" i="6"/>
  <c r="AA274" i="6"/>
  <c r="AA338" i="6"/>
  <c r="AA383" i="6"/>
  <c r="AA188" i="6"/>
  <c r="AA198" i="6"/>
  <c r="AA313" i="6"/>
  <c r="AA11" i="6"/>
  <c r="AA116" i="6"/>
  <c r="AA336" i="6"/>
  <c r="AA286" i="6"/>
  <c r="AA387" i="6"/>
  <c r="AA28" i="6"/>
  <c r="AA146" i="6"/>
  <c r="AA415" i="6"/>
  <c r="AA364" i="6"/>
  <c r="AA86" i="6"/>
  <c r="AA230" i="6"/>
  <c r="AA301" i="6"/>
  <c r="AA150" i="6"/>
  <c r="AA396" i="6"/>
  <c r="AA180" i="6"/>
  <c r="AA211" i="6"/>
  <c r="AA177" i="6" l="1"/>
  <c r="AA73" i="6"/>
  <c r="AA446" i="6"/>
  <c r="AA196" i="6"/>
  <c r="AA264" i="6"/>
  <c r="AA424" i="6"/>
  <c r="AA351" i="6"/>
  <c r="AA178" i="6"/>
  <c r="AA307" i="6"/>
  <c r="AA201" i="6"/>
  <c r="Z5" i="6"/>
  <c r="AA413" i="6"/>
  <c r="AA33" i="6"/>
  <c r="AA444" i="6"/>
  <c r="AA369" i="6"/>
  <c r="AA370" i="6"/>
  <c r="AA371" i="6"/>
  <c r="AA233" i="6"/>
  <c r="AA321" i="6"/>
  <c r="AA327" i="6"/>
  <c r="AA379" i="6"/>
  <c r="AA300" i="6"/>
  <c r="AA381" i="6"/>
  <c r="AA64" i="6"/>
  <c r="AA63" i="6"/>
  <c r="AA175" i="6"/>
  <c r="AA272" i="6"/>
  <c r="AA339" i="6"/>
  <c r="AA433" i="6"/>
  <c r="AA284" i="6"/>
  <c r="AA53" i="6"/>
  <c r="AA157" i="6"/>
  <c r="AA17" i="6"/>
  <c r="AA385" i="6"/>
  <c r="AA213" i="6"/>
  <c r="AA271" i="6"/>
  <c r="AA57" i="6"/>
  <c r="AA153" i="6"/>
  <c r="AA210" i="6"/>
  <c r="AA432" i="6"/>
  <c r="AA139" i="6"/>
  <c r="AA448" i="6"/>
  <c r="AA44" i="6"/>
  <c r="AA268" i="6"/>
  <c r="AA361" i="6"/>
  <c r="AA132" i="6"/>
  <c r="AA275" i="6"/>
  <c r="AA322" i="6"/>
  <c r="AA445" i="6"/>
  <c r="AA390" i="6"/>
  <c r="AA38" i="6"/>
  <c r="AA37" i="6"/>
  <c r="AA251" i="6"/>
  <c r="AA302" i="6"/>
  <c r="AA293" i="6"/>
  <c r="AA412" i="6"/>
  <c r="AA350" i="6"/>
  <c r="AA22" i="6"/>
  <c r="AA171" i="6"/>
  <c r="AA30" i="6"/>
  <c r="AA311" i="6"/>
  <c r="AA200" i="6"/>
  <c r="AA228" i="6"/>
  <c r="AA41" i="6"/>
  <c r="AA218" i="6"/>
  <c r="AA235" i="6"/>
  <c r="AA416" i="6"/>
  <c r="AA118" i="6"/>
  <c r="AA208" i="6"/>
  <c r="AA248" i="6"/>
  <c r="AA282" i="6"/>
  <c r="AA58" i="6"/>
  <c r="AA182" i="6"/>
  <c r="AA244" i="6"/>
  <c r="AA179" i="6"/>
  <c r="AA360" i="6"/>
  <c r="AA8" i="6"/>
  <c r="AA110" i="6"/>
  <c r="AA149" i="6"/>
  <c r="AA164" i="6"/>
  <c r="AA258" i="6"/>
  <c r="AA422" i="6"/>
  <c r="AA10" i="6"/>
  <c r="AA377" i="6"/>
  <c r="AA363" i="6"/>
  <c r="AA119" i="6"/>
  <c r="AA242" i="6"/>
  <c r="AA345" i="6"/>
  <c r="AA318" i="6"/>
  <c r="AA454" i="6"/>
  <c r="AA297" i="6"/>
  <c r="AA78" i="6"/>
  <c r="AA14" i="6"/>
  <c r="AA273" i="6"/>
  <c r="AA166" i="6"/>
  <c r="AA240" i="6"/>
  <c r="AA25" i="6"/>
  <c r="AA239" i="6"/>
  <c r="AA156" i="6"/>
  <c r="AA366" i="6"/>
  <c r="AA82" i="6"/>
  <c r="AA215" i="6"/>
  <c r="AA460" i="6"/>
  <c r="AA450" i="6"/>
  <c r="AA138" i="6"/>
  <c r="AA76" i="6"/>
  <c r="AA189" i="6"/>
  <c r="AA267" i="6"/>
  <c r="AA341" i="6"/>
  <c r="AA421" i="6"/>
  <c r="AA465" i="6"/>
  <c r="AA367" i="6"/>
  <c r="AA90" i="6"/>
  <c r="AA224" i="6"/>
  <c r="AA229" i="6"/>
  <c r="AA285" i="6"/>
  <c r="AA411" i="6"/>
  <c r="AA292" i="6"/>
  <c r="AA21" i="6"/>
  <c r="AA216" i="6"/>
  <c r="AA441" i="6"/>
  <c r="AA136" i="6"/>
  <c r="AA332" i="6"/>
  <c r="AA407" i="6"/>
  <c r="AA107" i="6"/>
  <c r="AA125" i="6"/>
  <c r="AA340" i="6"/>
  <c r="AA50" i="6"/>
  <c r="AA349" i="6"/>
  <c r="AA241" i="6"/>
  <c r="AA362" i="6"/>
  <c r="AA442" i="6"/>
  <c r="AA373" i="6"/>
  <c r="AA62" i="6"/>
  <c r="AA154" i="6"/>
  <c r="AA226" i="6"/>
  <c r="AA346" i="6"/>
  <c r="AA308" i="6"/>
  <c r="AA453" i="6"/>
  <c r="AA194" i="6"/>
  <c r="AA109" i="6"/>
  <c r="AA425" i="6"/>
  <c r="AA172" i="6"/>
  <c r="AA121" i="6"/>
  <c r="AA451" i="6"/>
  <c r="AA133" i="6"/>
  <c r="AA147" i="6"/>
  <c r="AA316" i="6"/>
  <c r="AA34" i="6"/>
  <c r="AA265" i="6"/>
  <c r="AA437" i="6"/>
  <c r="AA303" i="6"/>
  <c r="AA32" i="6"/>
  <c r="AA222" i="6"/>
  <c r="AA324" i="6"/>
  <c r="AA409" i="6"/>
  <c r="AA59" i="6"/>
  <c r="AA204" i="6"/>
  <c r="AA434" i="6"/>
  <c r="AA155" i="6"/>
  <c r="AA126" i="6"/>
  <c r="AA304" i="6"/>
  <c r="AA18" i="6"/>
  <c r="AA12" i="6"/>
  <c r="AA219" i="6"/>
  <c r="AA331" i="6"/>
  <c r="AA431" i="6"/>
  <c r="AA105" i="6"/>
  <c r="AA165" i="6"/>
  <c r="AA337" i="6"/>
  <c r="AA66" i="6"/>
  <c r="AA221" i="6"/>
  <c r="AA47" i="6"/>
  <c r="AA328" i="6"/>
  <c r="AA403" i="6"/>
  <c r="AA402" i="6"/>
  <c r="AA169" i="6"/>
  <c r="AA420" i="6"/>
  <c r="AA170" i="6"/>
  <c r="AA430" i="6"/>
  <c r="AA404" i="6"/>
  <c r="AA391" i="6"/>
  <c r="AA392" i="6"/>
  <c r="AA181" i="6"/>
  <c r="AA358" i="6"/>
  <c r="AA380" i="6"/>
  <c r="AA122" i="6"/>
  <c r="AA277" i="6"/>
  <c r="AA410" i="6"/>
  <c r="AA140" i="6"/>
  <c r="AA152" i="6"/>
  <c r="AA9" i="6"/>
  <c r="AA238" i="6"/>
  <c r="AA418" i="6"/>
  <c r="AA134" i="6"/>
  <c r="AA83" i="6"/>
  <c r="AA291" i="6"/>
  <c r="AA75" i="6"/>
  <c r="AA428" i="6"/>
  <c r="AA315" i="6"/>
  <c r="AA187" i="6"/>
  <c r="AA329" i="6"/>
  <c r="AA257" i="6"/>
  <c r="AA192" i="6"/>
  <c r="AA56" i="6"/>
  <c r="AA299" i="6"/>
  <c r="AA16" i="6"/>
  <c r="AA207" i="6"/>
  <c r="AA382" i="6"/>
  <c r="AA176" i="6"/>
  <c r="AA227" i="6"/>
  <c r="AA309" i="6"/>
  <c r="AA427" i="6"/>
  <c r="AB7" i="6"/>
  <c r="AB161" i="6" s="1"/>
  <c r="AA452" i="6"/>
  <c r="AA142" i="6"/>
  <c r="AA225" i="6"/>
  <c r="AA325" i="6"/>
  <c r="AA464" i="6"/>
  <c r="AA88" i="6"/>
  <c r="AA243" i="6"/>
  <c r="AA43" i="6"/>
  <c r="AA462" i="6"/>
  <c r="AA234" i="6"/>
  <c r="AA343" i="6"/>
  <c r="AA283" i="6"/>
  <c r="AA314" i="6"/>
  <c r="AA429" i="6"/>
  <c r="AA397" i="6"/>
  <c r="AA71" i="6"/>
  <c r="AA159" i="6"/>
  <c r="AA199" i="6"/>
  <c r="AA296" i="6"/>
  <c r="AA295" i="6"/>
  <c r="AA440" i="6"/>
  <c r="AA368" i="6"/>
  <c r="AA60" i="6"/>
  <c r="AA115" i="6"/>
  <c r="AA247" i="6"/>
  <c r="AA330" i="6"/>
  <c r="AA289" i="6"/>
  <c r="AA167" i="6"/>
  <c r="AA174" i="6"/>
  <c r="AA287" i="6"/>
  <c r="AA27" i="6"/>
  <c r="AA197" i="6"/>
  <c r="AA375" i="6"/>
  <c r="AA84" i="6"/>
  <c r="AA67" i="6"/>
  <c r="AA254" i="6"/>
  <c r="AA74" i="6"/>
  <c r="AA414" i="6"/>
  <c r="AA386" i="6"/>
  <c r="AA48" i="6"/>
  <c r="AA256" i="6"/>
  <c r="AA401" i="6"/>
  <c r="AA26" i="6"/>
  <c r="AA100" i="6"/>
  <c r="AA259" i="6"/>
  <c r="AA130" i="6"/>
  <c r="AA255" i="6"/>
  <c r="AA87" i="6"/>
  <c r="AA205" i="6"/>
  <c r="AA46" i="6"/>
  <c r="AA190" i="6"/>
  <c r="AA408" i="6"/>
  <c r="AA334" i="6"/>
  <c r="AA42" i="6"/>
  <c r="AA161" i="6"/>
  <c r="AA111" i="6"/>
  <c r="AA347" i="6"/>
  <c r="AA312" i="6"/>
  <c r="AA419" i="6"/>
  <c r="AA374" i="6"/>
  <c r="AA31" i="6"/>
  <c r="AA85" i="6"/>
  <c r="AA102" i="6"/>
  <c r="AA214" i="6"/>
  <c r="AA306" i="6"/>
  <c r="AA103" i="6"/>
  <c r="AA94" i="6"/>
  <c r="AA266" i="6"/>
  <c r="AA405" i="6"/>
  <c r="AA184" i="6"/>
  <c r="AA319" i="6"/>
  <c r="AA68" i="6"/>
  <c r="AA51" i="6"/>
  <c r="AA185" i="6"/>
  <c r="AA455" i="6"/>
  <c r="AA443" i="6"/>
  <c r="AA378" i="6"/>
  <c r="AA461" i="6"/>
  <c r="AA335" i="6"/>
  <c r="AA97" i="6"/>
  <c r="AA217" i="6"/>
  <c r="AA288" i="6"/>
  <c r="AA355" i="6"/>
  <c r="AA333" i="6"/>
  <c r="AA55" i="6"/>
  <c r="AA112" i="6"/>
  <c r="AA212" i="6"/>
  <c r="AA269" i="6"/>
  <c r="AA131" i="6"/>
  <c r="AA77" i="6"/>
  <c r="AA261" i="6"/>
  <c r="AA203" i="6"/>
  <c r="AA151" i="6"/>
  <c r="AA323" i="6"/>
  <c r="AA52" i="6"/>
  <c r="AA35" i="6"/>
  <c r="AA223" i="6"/>
  <c r="AA458" i="6"/>
  <c r="AA278" i="6"/>
  <c r="AA114" i="6"/>
  <c r="AA162" i="6"/>
  <c r="AA279" i="6"/>
  <c r="AA61" i="6"/>
  <c r="AA202" i="6"/>
  <c r="AA163" i="6"/>
  <c r="AA108" i="6"/>
  <c r="AA249" i="6"/>
  <c r="AA236" i="6"/>
  <c r="AA237" i="6"/>
  <c r="AA72" i="6"/>
  <c r="AA365" i="6"/>
  <c r="AA141" i="6"/>
  <c r="AA406" i="6"/>
  <c r="AA388" i="6"/>
  <c r="AA143" i="6"/>
  <c r="AA463" i="6"/>
  <c r="AA359" i="6"/>
  <c r="AA123" i="6"/>
  <c r="AA260" i="6"/>
  <c r="AA15" i="6"/>
  <c r="AA298" i="6"/>
  <c r="AA447" i="6"/>
  <c r="AA393" i="6"/>
  <c r="AA70" i="6"/>
  <c r="AA144" i="6"/>
  <c r="AA191" i="6"/>
  <c r="AA209" i="6"/>
  <c r="AA438" i="6"/>
  <c r="AA357" i="6"/>
  <c r="AA24" i="6"/>
  <c r="AA99" i="6"/>
  <c r="AA186" i="6"/>
  <c r="AA317" i="6"/>
  <c r="AA113" i="6"/>
  <c r="AA195" i="6"/>
  <c r="AA457" i="6"/>
  <c r="AA168" i="6"/>
  <c r="AA342" i="6"/>
  <c r="AA36" i="6"/>
  <c r="AA19" i="6"/>
  <c r="AA93" i="6"/>
  <c r="AA158" i="6"/>
  <c r="AA436" i="6"/>
  <c r="AA290" i="6"/>
  <c r="AA294" i="6"/>
  <c r="AA124" i="6"/>
  <c r="AA253" i="6"/>
  <c r="AA426" i="6"/>
  <c r="AA398" i="6"/>
  <c r="AA40" i="6"/>
  <c r="AA96" i="6"/>
  <c r="AA250" i="6"/>
  <c r="AA183" i="6"/>
  <c r="AA232" i="6"/>
  <c r="AA417" i="6"/>
  <c r="AA459" i="6"/>
  <c r="AA384" i="6"/>
  <c r="AA80" i="6"/>
  <c r="AA252" i="6"/>
  <c r="AA206" i="6"/>
  <c r="AA81" i="6"/>
  <c r="AA45" i="6"/>
  <c r="AA310" i="6"/>
  <c r="AA439" i="6"/>
  <c r="AA120" i="6"/>
  <c r="AA344" i="6"/>
  <c r="AA20" i="6"/>
  <c r="AA276" i="6"/>
  <c r="AA231" i="6"/>
  <c r="AA92" i="6"/>
  <c r="AB31" i="6"/>
  <c r="AB47" i="6"/>
  <c r="AB63" i="6"/>
  <c r="AB297" i="6"/>
  <c r="AB298" i="6"/>
  <c r="AB314" i="6"/>
  <c r="AB344" i="6"/>
  <c r="AB409" i="6"/>
  <c r="AB68" i="6"/>
  <c r="AB84" i="6"/>
  <c r="AB126" i="6"/>
  <c r="AB180" i="6"/>
  <c r="AB214" i="6"/>
  <c r="AB230" i="6"/>
  <c r="AB246" i="6"/>
  <c r="AB108" i="6"/>
  <c r="AB39" i="6"/>
  <c r="AB55" i="6"/>
  <c r="AB71" i="6"/>
  <c r="AB215" i="6"/>
  <c r="AB356" i="6"/>
  <c r="AB427" i="6"/>
  <c r="AB393" i="6"/>
  <c r="AB24" i="6"/>
  <c r="AB159" i="6"/>
  <c r="AB259" i="6"/>
  <c r="AB275" i="6"/>
  <c r="AB423" i="6"/>
  <c r="AB130" i="6"/>
  <c r="AB111" i="6"/>
  <c r="AB262" i="6"/>
  <c r="AB278" i="6"/>
  <c r="AB360" i="6"/>
  <c r="AB412" i="6"/>
  <c r="AB234" i="6"/>
  <c r="AB308" i="6"/>
  <c r="AB164" i="6"/>
  <c r="AB124" i="6"/>
  <c r="AB437" i="6"/>
  <c r="AB463" i="6"/>
  <c r="AB323" i="6"/>
  <c r="AB361" i="6"/>
  <c r="AB405" i="6"/>
  <c r="AB117" i="6"/>
  <c r="AB339" i="6"/>
  <c r="AB17" i="6"/>
  <c r="AB345" i="6"/>
  <c r="AB464" i="6"/>
  <c r="AB317" i="6" l="1"/>
  <c r="AB341" i="6"/>
  <c r="AB425" i="6"/>
  <c r="AB303" i="6"/>
  <c r="AB99" i="6"/>
  <c r="AB422" i="6"/>
  <c r="AB213" i="6"/>
  <c r="AB300" i="6"/>
  <c r="AB165" i="6"/>
  <c r="AB166" i="6"/>
  <c r="AB336" i="6"/>
  <c r="AB77" i="6"/>
  <c r="AB106" i="6"/>
  <c r="AB320" i="6"/>
  <c r="AB181" i="6"/>
  <c r="AB61" i="6"/>
  <c r="AB394" i="6"/>
  <c r="AB261" i="6"/>
  <c r="AB242" i="6"/>
  <c r="AB299" i="6"/>
  <c r="AB408" i="6"/>
  <c r="AB152" i="6"/>
  <c r="AB112" i="6"/>
  <c r="AB306" i="6"/>
  <c r="AB381" i="6"/>
  <c r="AB23" i="6"/>
  <c r="AB198" i="6"/>
  <c r="AB134" i="6"/>
  <c r="AB52" i="6"/>
  <c r="AB167" i="6"/>
  <c r="AB457" i="6"/>
  <c r="AB45" i="6"/>
  <c r="AB235" i="6"/>
  <c r="AB140" i="6"/>
  <c r="AB172" i="6"/>
  <c r="AB128" i="6"/>
  <c r="AB290" i="6"/>
  <c r="AB109" i="6"/>
  <c r="AB352" i="6"/>
  <c r="AB86" i="6"/>
  <c r="AB398" i="6"/>
  <c r="AB107" i="6"/>
  <c r="AB103" i="6"/>
  <c r="AB431" i="6"/>
  <c r="AB29" i="6"/>
  <c r="AB102" i="6"/>
  <c r="AB364" i="6"/>
  <c r="AB70" i="6"/>
  <c r="AB407" i="6"/>
  <c r="AB133" i="6"/>
  <c r="AB131" i="6"/>
  <c r="AB377" i="6"/>
  <c r="AB13" i="6"/>
  <c r="AB274" i="6"/>
  <c r="AB330" i="6"/>
  <c r="AB60" i="6"/>
  <c r="AB319" i="6"/>
  <c r="AB414" i="6"/>
  <c r="AB342" i="6"/>
  <c r="AB75" i="6"/>
  <c r="AB98" i="6"/>
  <c r="AB187" i="6"/>
  <c r="AB153" i="6"/>
  <c r="AB240" i="6"/>
  <c r="AB375" i="6"/>
  <c r="AB147" i="6"/>
  <c r="AB209" i="6"/>
  <c r="AB241" i="6"/>
  <c r="AB33" i="6"/>
  <c r="AB218" i="6"/>
  <c r="AB44" i="6"/>
  <c r="AB217" i="6"/>
  <c r="AB151" i="6"/>
  <c r="AB305" i="6"/>
  <c r="AB420" i="6"/>
  <c r="AB197" i="6"/>
  <c r="AB11" i="6"/>
  <c r="AB243" i="6"/>
  <c r="AB449" i="6"/>
  <c r="AB326" i="6"/>
  <c r="AB74" i="6"/>
  <c r="AB390" i="6"/>
  <c r="AB76" i="6"/>
  <c r="AB59" i="6"/>
  <c r="AB406" i="6"/>
  <c r="AB346" i="6"/>
  <c r="AB194" i="6"/>
  <c r="AB58" i="6"/>
  <c r="AB49" i="6"/>
  <c r="AB309" i="6"/>
  <c r="AB379" i="6"/>
  <c r="AB28" i="6"/>
  <c r="AB201" i="6"/>
  <c r="AB200" i="6"/>
  <c r="AB289" i="6"/>
  <c r="AB355" i="6"/>
  <c r="AB85" i="6"/>
  <c r="AB440" i="6"/>
  <c r="AB227" i="6"/>
  <c r="AB391" i="6"/>
  <c r="AB78" i="6"/>
  <c r="AB435" i="6"/>
  <c r="AB462" i="6"/>
  <c r="AB225" i="6"/>
  <c r="AB9" i="6"/>
  <c r="AB105" i="6"/>
  <c r="AB54" i="6"/>
  <c r="AB456" i="6"/>
  <c r="AB185" i="6"/>
  <c r="AB443" i="6"/>
  <c r="AB416" i="6"/>
  <c r="AB459" i="6"/>
  <c r="AB251" i="6"/>
  <c r="AB363" i="6"/>
  <c r="AB292" i="6"/>
  <c r="AB104" i="6"/>
  <c r="AB155" i="6"/>
  <c r="AB284" i="6"/>
  <c r="AB66" i="6"/>
  <c r="AB42" i="6"/>
  <c r="AB428" i="6"/>
  <c r="AB184" i="6"/>
  <c r="AB53" i="6"/>
  <c r="AB211" i="6"/>
  <c r="AB62" i="6"/>
  <c r="AB125" i="6"/>
  <c r="AB100" i="6"/>
  <c r="AB397" i="6"/>
  <c r="AB163" i="6"/>
  <c r="AB158" i="6"/>
  <c r="AB257" i="6"/>
  <c r="AB148" i="6"/>
  <c r="AB21" i="6"/>
  <c r="AB348" i="6"/>
  <c r="AB195" i="6"/>
  <c r="AB432" i="6"/>
  <c r="AB46" i="6"/>
  <c r="AB249" i="6"/>
  <c r="AB258" i="6"/>
  <c r="AB12" i="6"/>
  <c r="AB465" i="6"/>
  <c r="AB156" i="6"/>
  <c r="AB210" i="6"/>
  <c r="AB365" i="6"/>
  <c r="AB203" i="6"/>
  <c r="AB43" i="6"/>
  <c r="AB410" i="6"/>
  <c r="AB340" i="6"/>
  <c r="AB357" i="6"/>
  <c r="AB89" i="6"/>
  <c r="AB88" i="6"/>
  <c r="AB143" i="6"/>
  <c r="AB334" i="6"/>
  <c r="AB10" i="6"/>
  <c r="AB244" i="6"/>
  <c r="AB118" i="6"/>
  <c r="AB400" i="6"/>
  <c r="AB30" i="6"/>
  <c r="AB335" i="6"/>
  <c r="AB233" i="6"/>
  <c r="AB81" i="6"/>
  <c r="AB273" i="6"/>
  <c r="AB144" i="6"/>
  <c r="AB403" i="6"/>
  <c r="AB18" i="6"/>
  <c r="AB193" i="6"/>
  <c r="AB399" i="6"/>
  <c r="AB401" i="6"/>
  <c r="AB27" i="6"/>
  <c r="AB324" i="6"/>
  <c r="AB430" i="6"/>
  <c r="AB354" i="6"/>
  <c r="AB72" i="6"/>
  <c r="AB160" i="6"/>
  <c r="AB256" i="6"/>
  <c r="AB417" i="6"/>
  <c r="AB228" i="6"/>
  <c r="AB83" i="6"/>
  <c r="AB343" i="6"/>
  <c r="AB14" i="6"/>
  <c r="AB283" i="6"/>
  <c r="AB186" i="6"/>
  <c r="AB426" i="6"/>
  <c r="AB362" i="6"/>
  <c r="AB101" i="6"/>
  <c r="AB418" i="6"/>
  <c r="AB327" i="6"/>
  <c r="AB65" i="6"/>
  <c r="AB433" i="6"/>
  <c r="AB310" i="6"/>
  <c r="AB366" i="6"/>
  <c r="AB56" i="6"/>
  <c r="AB135" i="6"/>
  <c r="AB212" i="6"/>
  <c r="AB353" i="6"/>
  <c r="AB380" i="6"/>
  <c r="AB277" i="6"/>
  <c r="AB404" i="6"/>
  <c r="AB376" i="6"/>
  <c r="AB413" i="6"/>
  <c r="AB436" i="6"/>
  <c r="AB294" i="6"/>
  <c r="AB448" i="6"/>
  <c r="AB447" i="6"/>
  <c r="AB40" i="6"/>
  <c r="AB247" i="6"/>
  <c r="AB157" i="6"/>
  <c r="AB333" i="6"/>
  <c r="AB196" i="6"/>
  <c r="AB434" i="6"/>
  <c r="AB313" i="6"/>
  <c r="AB385" i="6"/>
  <c r="AB312" i="6"/>
  <c r="AB325" i="6"/>
  <c r="AB455" i="6"/>
  <c r="AB36" i="6"/>
  <c r="AB19" i="6"/>
  <c r="AB224" i="6"/>
  <c r="AB239" i="6"/>
  <c r="AB296" i="6"/>
  <c r="AB311" i="6"/>
  <c r="AB458" i="6"/>
  <c r="AB287" i="6"/>
  <c r="AB332" i="6"/>
  <c r="AB20" i="6"/>
  <c r="AB392" i="6"/>
  <c r="AB208" i="6"/>
  <c r="AB223" i="6"/>
  <c r="AB280" i="6"/>
  <c r="AB295" i="6"/>
  <c r="AB38" i="6"/>
  <c r="AB316" i="6"/>
  <c r="AB192" i="6"/>
  <c r="AB264" i="6"/>
  <c r="AB279" i="6"/>
  <c r="AB415" i="6"/>
  <c r="AB451" i="6"/>
  <c r="AB178" i="6"/>
  <c r="AB114" i="6"/>
  <c r="AB132" i="6"/>
  <c r="AB90" i="6"/>
  <c r="AB252" i="6"/>
  <c r="AB116" i="6"/>
  <c r="AB73" i="6"/>
  <c r="AB168" i="6"/>
  <c r="AB424" i="6"/>
  <c r="AB199" i="6"/>
  <c r="AB318" i="6"/>
  <c r="AB22" i="6"/>
  <c r="AB127" i="6"/>
  <c r="AB302" i="6"/>
  <c r="AB347" i="6"/>
  <c r="AB386" i="6"/>
  <c r="AB176" i="6"/>
  <c r="AB191" i="6"/>
  <c r="AB129" i="6"/>
  <c r="AB263" i="6"/>
  <c r="AB207" i="6"/>
  <c r="AB276" i="6"/>
  <c r="AB438" i="6"/>
  <c r="AB226" i="6"/>
  <c r="AB26" i="6"/>
  <c r="AB337" i="6"/>
  <c r="AB57" i="6"/>
  <c r="AB248" i="6"/>
  <c r="AB358" i="6"/>
  <c r="AB183" i="6"/>
  <c r="AB304" i="6"/>
  <c r="AB349" i="6"/>
  <c r="AB149" i="6"/>
  <c r="AB286" i="6"/>
  <c r="AB285" i="6"/>
  <c r="AB452" i="6"/>
  <c r="AB97" i="6"/>
  <c r="AB175" i="6"/>
  <c r="AB190" i="6"/>
  <c r="AB121" i="6"/>
  <c r="AA5" i="6"/>
  <c r="AB338" i="6"/>
  <c r="AB396" i="6"/>
  <c r="AB329" i="6"/>
  <c r="AB50" i="6"/>
  <c r="AB293" i="6"/>
  <c r="AB236" i="6"/>
  <c r="AB136" i="6"/>
  <c r="AB267" i="6"/>
  <c r="AB260" i="6"/>
  <c r="AB372" i="6"/>
  <c r="AB113" i="6"/>
  <c r="AB122" i="6"/>
  <c r="AB368" i="6"/>
  <c r="AB220" i="6"/>
  <c r="AB321" i="6"/>
  <c r="AB25" i="6"/>
  <c r="AB232" i="6"/>
  <c r="AB445" i="6"/>
  <c r="AB150" i="6"/>
  <c r="AB288" i="6"/>
  <c r="AB271" i="6"/>
  <c r="AB245" i="6"/>
  <c r="AB270" i="6"/>
  <c r="AB269" i="6"/>
  <c r="AB395" i="6"/>
  <c r="AB80" i="6"/>
  <c r="AB96" i="6"/>
  <c r="AB174" i="6"/>
  <c r="AB138" i="6"/>
  <c r="AB255" i="6"/>
  <c r="AB367" i="6"/>
  <c r="AB202" i="6"/>
  <c r="AB139" i="6"/>
  <c r="AB250" i="6"/>
  <c r="AB460" i="6"/>
  <c r="AB34" i="6"/>
  <c r="AB219" i="6"/>
  <c r="AB439" i="6"/>
  <c r="AB204" i="6"/>
  <c r="AB291" i="6"/>
  <c r="AB359" i="6"/>
  <c r="AB216" i="6"/>
  <c r="AB421" i="6"/>
  <c r="AB87" i="6"/>
  <c r="AB272" i="6"/>
  <c r="AB170" i="6"/>
  <c r="AB229" i="6"/>
  <c r="AB254" i="6"/>
  <c r="AB253" i="6"/>
  <c r="AB461" i="6"/>
  <c r="AB382" i="6"/>
  <c r="AB79" i="6"/>
  <c r="AB95" i="6"/>
  <c r="AB444" i="6"/>
  <c r="AB369" i="6"/>
  <c r="AB370" i="6"/>
  <c r="AB371" i="6"/>
  <c r="AB179" i="6"/>
  <c r="AB328" i="6"/>
  <c r="AB64" i="6"/>
  <c r="AB281" i="6"/>
  <c r="AB15" i="6"/>
  <c r="AB146" i="6"/>
  <c r="AB374" i="6"/>
  <c r="AB237" i="6"/>
  <c r="AB93" i="6"/>
  <c r="AB48" i="6"/>
  <c r="AB265" i="6"/>
  <c r="AB384" i="6"/>
  <c r="AB169" i="6"/>
  <c r="AB442" i="6"/>
  <c r="AB221" i="6"/>
  <c r="AB92" i="6"/>
  <c r="AB32" i="6"/>
  <c r="AB137" i="6"/>
  <c r="AB389" i="6"/>
  <c r="AB115" i="6"/>
  <c r="AB383" i="6"/>
  <c r="AB205" i="6"/>
  <c r="AB91" i="6"/>
  <c r="AB69" i="6"/>
  <c r="AB119" i="6"/>
  <c r="AB331" i="6"/>
  <c r="AB67" i="6"/>
  <c r="AB282" i="6"/>
  <c r="AB16" i="6"/>
  <c r="AB154" i="6"/>
  <c r="AB378" i="6"/>
  <c r="AB238" i="6"/>
  <c r="AB454" i="6"/>
  <c r="AB189" i="6"/>
  <c r="AB37" i="6"/>
  <c r="AB315" i="6"/>
  <c r="AB51" i="6"/>
  <c r="AB266" i="6"/>
  <c r="AB388" i="6"/>
  <c r="AB446" i="6"/>
  <c r="AB222" i="6"/>
  <c r="AB429" i="6"/>
  <c r="AB173" i="6"/>
  <c r="AB182" i="6"/>
  <c r="AB351" i="6"/>
  <c r="AB141" i="6"/>
  <c r="AB110" i="6"/>
  <c r="AB82" i="6"/>
  <c r="AB268" i="6"/>
  <c r="AB450" i="6"/>
  <c r="AB322" i="6"/>
  <c r="AB177" i="6"/>
  <c r="AB411" i="6"/>
  <c r="AB171" i="6"/>
  <c r="AB453" i="6"/>
  <c r="AB188" i="6"/>
  <c r="AB307" i="6"/>
  <c r="AB41" i="6"/>
  <c r="AB120" i="6"/>
  <c r="AB350" i="6"/>
  <c r="AB231" i="6"/>
  <c r="AB419" i="6"/>
  <c r="AB142" i="6"/>
  <c r="AB441" i="6"/>
  <c r="AB402" i="6"/>
  <c r="AB162" i="6"/>
  <c r="AB301" i="6"/>
  <c r="AB35" i="6"/>
  <c r="AB145" i="6"/>
  <c r="AB8" i="6"/>
  <c r="AB123" i="6"/>
  <c r="AB387" i="6"/>
  <c r="AB206" i="6"/>
  <c r="AB373" i="6"/>
  <c r="AB94" i="6"/>
  <c r="AB5" i="6" l="1"/>
</calcChain>
</file>

<file path=xl/sharedStrings.xml><?xml version="1.0" encoding="utf-8"?>
<sst xmlns="http://schemas.openxmlformats.org/spreadsheetml/2006/main" count="4432" uniqueCount="1936">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</sst>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AJ775"/>
  <sheetViews>
    <sheetView tabSelected="1" topLeftCell="B1" zoomScaleNormal="100" workbookViewId="0">
      <pane ySplit="7" topLeftCell="A25" activePane="bottomLeft" state="frozen"/>
      <selection pane="bottomLeft" activeCell="Q36" sqref="Q36"/>
    </sheetView>
  </sheetViews>
  <sheetFormatPr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103</v>
      </c>
      <c r="F3" s="5">
        <f>+AD6</f>
        <v>64</v>
      </c>
      <c r="G3" s="5">
        <f>+AF6</f>
        <v>64</v>
      </c>
      <c r="H3" s="5">
        <f>+E3-G3</f>
        <v>39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319</v>
      </c>
      <c r="F4" s="7">
        <f>+AE6</f>
        <v>119</v>
      </c>
      <c r="G4" s="7">
        <f>+AG6</f>
        <v>102</v>
      </c>
      <c r="H4" s="5">
        <f>+E4-G4</f>
        <v>217</v>
      </c>
      <c r="I4" s="22" t="s">
        <v>10</v>
      </c>
      <c r="J4" s="23" t="s">
        <v>571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422</v>
      </c>
      <c r="F5" s="8">
        <f>+F3+F4</f>
        <v>183</v>
      </c>
      <c r="G5" s="8">
        <f>+G3+G4</f>
        <v>166</v>
      </c>
      <c r="H5" s="8">
        <f>+H3+H4</f>
        <v>256</v>
      </c>
      <c r="I5" s="33" t="s">
        <v>16</v>
      </c>
      <c r="J5" s="25" t="s">
        <v>570</v>
      </c>
      <c r="K5" s="26" t="s">
        <v>41</v>
      </c>
      <c r="M5" s="17"/>
      <c r="N5" s="17"/>
      <c r="Q5" s="9"/>
      <c r="S5" s="9">
        <f t="shared" ref="S5:AB5" si="0">SUM(S8:S2418)</f>
        <v>58</v>
      </c>
      <c r="T5" s="9">
        <f t="shared" si="0"/>
        <v>10</v>
      </c>
      <c r="U5" s="9">
        <f t="shared" si="0"/>
        <v>4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SUM(AD8:AD1687)</f>
        <v>64</v>
      </c>
      <c r="AE6" s="1">
        <f t="shared" si="1"/>
        <v>119</v>
      </c>
      <c r="AF6" s="1">
        <f t="shared" si="1"/>
        <v>64</v>
      </c>
      <c r="AG6" s="1">
        <f t="shared" si="1"/>
        <v>102</v>
      </c>
      <c r="AH6" s="1">
        <f t="shared" si="1"/>
        <v>103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32" t="s">
        <v>1896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Q28" s="35" t="s">
        <v>1927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Q31" s="68" t="s">
        <v>1921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/>
      <c r="H35" s="42" t="s">
        <v>1148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Q35" s="57" t="s">
        <v>1935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Q45" s="68" t="s">
        <v>1922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Q54" s="68" t="s">
        <v>1925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Q57" s="16" t="s">
        <v>1901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Q58" s="16" t="s">
        <v>1900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41">
        <v>0</v>
      </c>
      <c r="B61" s="41">
        <v>1</v>
      </c>
      <c r="C61" s="41">
        <v>2</v>
      </c>
      <c r="D61" s="42" t="s">
        <v>1635</v>
      </c>
      <c r="E61" s="42" t="s">
        <v>172</v>
      </c>
      <c r="F61" s="42" t="s">
        <v>1636</v>
      </c>
      <c r="G61" s="42" t="s">
        <v>39</v>
      </c>
      <c r="H61" s="42" t="s">
        <v>358</v>
      </c>
      <c r="I61" s="41" t="s">
        <v>1637</v>
      </c>
      <c r="J61" s="41">
        <v>11</v>
      </c>
      <c r="K61" s="43" t="s">
        <v>964</v>
      </c>
      <c r="L61" s="43" t="s">
        <v>39</v>
      </c>
      <c r="M61" s="44" t="s">
        <v>39</v>
      </c>
      <c r="N61" s="45"/>
      <c r="O61" s="46"/>
      <c r="P61" s="46">
        <v>1</v>
      </c>
      <c r="Q61" s="57" t="s">
        <v>1920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0</v>
      </c>
      <c r="AE61" s="1">
        <f t="shared" si="18"/>
        <v>0</v>
      </c>
      <c r="AF61" s="1">
        <f t="shared" si="3"/>
        <v>0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5" si="19">+O72*P72*(1-A72)</f>
        <v>0</v>
      </c>
      <c r="AG72" s="1">
        <f t="shared" ref="AG72:AG135" si="20">O72*(1-P72)*(1-A72)</f>
        <v>0</v>
      </c>
      <c r="AH72" s="1">
        <f t="shared" ref="AH72:AH135" si="21">+P72*(1-A72)</f>
        <v>1</v>
      </c>
      <c r="AI72" s="1">
        <f t="shared" ref="AI72:AI135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Q76" s="39"/>
      <c r="S76" s="1">
        <f t="shared" ref="S76:S140" si="35">IF(J76=$S$7,1,0)</f>
        <v>0</v>
      </c>
      <c r="T76" s="1">
        <f t="shared" ref="T76:T140" si="36">IF(J76=$T$7,1,0)</f>
        <v>0</v>
      </c>
      <c r="U76" s="1">
        <f t="shared" ref="U76:U140" si="37">IF(J76=$U$7,1,0)</f>
        <v>0</v>
      </c>
      <c r="V76" s="1">
        <f t="shared" ref="V76:V140" si="38">IF(J76=$V$7,1,0)</f>
        <v>0</v>
      </c>
      <c r="W76" s="1">
        <f t="shared" ref="W76:W140" si="39">IF(J76=$W$7,1,0)</f>
        <v>0</v>
      </c>
      <c r="X76" s="1">
        <f t="shared" ref="X76:X140" si="40">IF(J76=$X$7,1,0)</f>
        <v>0</v>
      </c>
      <c r="Y76" s="1">
        <f t="shared" ref="Y76:Y140" si="41">IF(J76=$Y$7,1,0)</f>
        <v>0</v>
      </c>
      <c r="Z76" s="1">
        <f t="shared" ref="Z76:Z140" si="42">IF(J76=$Z$7,1,0)</f>
        <v>0</v>
      </c>
      <c r="AA76" s="1">
        <f t="shared" ref="AA76:AA140" si="43">IF(J76=$AA$7,1,0)</f>
        <v>0</v>
      </c>
      <c r="AB76" s="1">
        <f t="shared" ref="AB76:AB140" si="44">IF(J76=$AB$7,1,0)</f>
        <v>0</v>
      </c>
      <c r="AD76" s="1">
        <f t="shared" ref="AD76:AD140" si="45">+O76*P76</f>
        <v>0</v>
      </c>
      <c r="AE76" s="1">
        <f t="shared" ref="AE76:AE140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Q81" s="20" t="s">
        <v>1897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19"/>
        <v>0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Q84" s="20" t="s">
        <v>1929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Q91" s="39" t="s">
        <v>1907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Q93" s="20" t="s">
        <v>1931</v>
      </c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Q94" s="68" t="s">
        <v>1904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</row>
    <row r="96" spans="1:35" ht="14.25" customHeight="1" x14ac:dyDescent="0.25">
      <c r="A96" s="47">
        <v>0</v>
      </c>
      <c r="B96" s="47">
        <v>1</v>
      </c>
      <c r="C96" s="47">
        <v>3</v>
      </c>
      <c r="D96" s="48" t="s">
        <v>1221</v>
      </c>
      <c r="E96" s="48" t="s">
        <v>177</v>
      </c>
      <c r="F96" s="48" t="s">
        <v>1353</v>
      </c>
      <c r="G96" s="48" t="s">
        <v>39</v>
      </c>
      <c r="H96" s="48" t="s">
        <v>616</v>
      </c>
      <c r="I96" s="47" t="s">
        <v>1222</v>
      </c>
      <c r="J96" s="47">
        <v>14</v>
      </c>
      <c r="K96" s="49" t="s">
        <v>963</v>
      </c>
      <c r="L96" s="49" t="s">
        <v>1714</v>
      </c>
      <c r="M96" s="50" t="s">
        <v>1405</v>
      </c>
      <c r="N96" s="50" t="s">
        <v>1817</v>
      </c>
      <c r="O96" s="51"/>
      <c r="P96" s="51"/>
      <c r="Q96" s="48"/>
      <c r="S96" s="1">
        <f t="shared" si="35"/>
        <v>0</v>
      </c>
      <c r="T96" s="1">
        <f t="shared" si="36"/>
        <v>0</v>
      </c>
      <c r="U96" s="1">
        <f t="shared" si="37"/>
        <v>0</v>
      </c>
      <c r="V96" s="1">
        <f t="shared" si="38"/>
        <v>0</v>
      </c>
      <c r="W96" s="1">
        <f t="shared" si="39"/>
        <v>0</v>
      </c>
      <c r="X96" s="1">
        <f t="shared" si="40"/>
        <v>0</v>
      </c>
      <c r="Y96" s="1">
        <f t="shared" si="41"/>
        <v>0</v>
      </c>
      <c r="Z96" s="1">
        <f t="shared" si="42"/>
        <v>0</v>
      </c>
      <c r="AA96" s="1">
        <f t="shared" si="43"/>
        <v>0</v>
      </c>
      <c r="AB96" s="1">
        <f t="shared" si="44"/>
        <v>0</v>
      </c>
      <c r="AD96" s="1">
        <f t="shared" si="45"/>
        <v>0</v>
      </c>
      <c r="AE96" s="1">
        <f t="shared" si="46"/>
        <v>0</v>
      </c>
      <c r="AF96" s="1">
        <f t="shared" si="19"/>
        <v>0</v>
      </c>
      <c r="AG96" s="1">
        <f t="shared" si="20"/>
        <v>0</v>
      </c>
      <c r="AH96" s="1">
        <f t="shared" si="21"/>
        <v>0</v>
      </c>
      <c r="AI96" s="1">
        <f t="shared" si="22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828</v>
      </c>
      <c r="E97" s="35" t="s">
        <v>178</v>
      </c>
      <c r="F97" s="39" t="s">
        <v>934</v>
      </c>
      <c r="G97" s="39" t="s">
        <v>39</v>
      </c>
      <c r="H97" s="39" t="s">
        <v>375</v>
      </c>
      <c r="I97" s="40" t="s">
        <v>829</v>
      </c>
      <c r="J97" s="34">
        <v>16</v>
      </c>
      <c r="K97" s="36" t="s">
        <v>964</v>
      </c>
      <c r="L97" s="36" t="s">
        <v>694</v>
      </c>
      <c r="M97" s="37" t="s">
        <v>977</v>
      </c>
      <c r="N97" s="37" t="s">
        <v>1742</v>
      </c>
      <c r="O97" s="38">
        <v>1</v>
      </c>
      <c r="P97" s="38">
        <v>1</v>
      </c>
      <c r="Q97" s="39"/>
      <c r="S97" s="1">
        <f t="shared" si="35"/>
        <v>0</v>
      </c>
      <c r="T97" s="1">
        <f t="shared" si="36"/>
        <v>0</v>
      </c>
      <c r="U97" s="1">
        <f t="shared" si="37"/>
        <v>0</v>
      </c>
      <c r="V97" s="1">
        <f t="shared" si="38"/>
        <v>0</v>
      </c>
      <c r="W97" s="1">
        <f t="shared" si="39"/>
        <v>0</v>
      </c>
      <c r="X97" s="1">
        <f t="shared" si="40"/>
        <v>0</v>
      </c>
      <c r="Y97" s="1">
        <f t="shared" si="41"/>
        <v>0</v>
      </c>
      <c r="Z97" s="1">
        <f t="shared" si="42"/>
        <v>0</v>
      </c>
      <c r="AA97" s="1">
        <f t="shared" si="43"/>
        <v>0</v>
      </c>
      <c r="AB97" s="1">
        <f t="shared" si="44"/>
        <v>0</v>
      </c>
      <c r="AD97" s="1">
        <f t="shared" si="45"/>
        <v>1</v>
      </c>
      <c r="AE97" s="1">
        <f t="shared" si="46"/>
        <v>0</v>
      </c>
      <c r="AF97" s="1">
        <f t="shared" si="19"/>
        <v>1</v>
      </c>
      <c r="AG97" s="1">
        <f t="shared" si="20"/>
        <v>0</v>
      </c>
      <c r="AH97" s="1">
        <f t="shared" si="21"/>
        <v>1</v>
      </c>
      <c r="AI97" s="1">
        <f t="shared" si="22"/>
        <v>0</v>
      </c>
    </row>
    <row r="98" spans="1:35" ht="14.25" customHeight="1" x14ac:dyDescent="0.25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306</v>
      </c>
      <c r="G98" s="16" t="s">
        <v>39</v>
      </c>
      <c r="H98" s="16" t="s">
        <v>360</v>
      </c>
      <c r="I98" s="15" t="s">
        <v>455</v>
      </c>
      <c r="J98" s="15">
        <v>18</v>
      </c>
      <c r="K98" s="10" t="s">
        <v>709</v>
      </c>
      <c r="L98" s="10" t="s">
        <v>694</v>
      </c>
      <c r="M98" s="19" t="s">
        <v>698</v>
      </c>
      <c r="N98" s="17"/>
      <c r="Q98" s="16"/>
      <c r="S98" s="1">
        <f t="shared" si="35"/>
        <v>0</v>
      </c>
      <c r="T98" s="1">
        <f t="shared" si="36"/>
        <v>0</v>
      </c>
      <c r="U98" s="1">
        <f t="shared" si="37"/>
        <v>0</v>
      </c>
      <c r="V98" s="1">
        <f t="shared" si="38"/>
        <v>0</v>
      </c>
      <c r="W98" s="1">
        <f t="shared" si="39"/>
        <v>0</v>
      </c>
      <c r="X98" s="1">
        <f t="shared" si="40"/>
        <v>0</v>
      </c>
      <c r="Y98" s="1">
        <f t="shared" si="41"/>
        <v>0</v>
      </c>
      <c r="Z98" s="1">
        <f t="shared" si="42"/>
        <v>0</v>
      </c>
      <c r="AA98" s="1">
        <f t="shared" si="43"/>
        <v>0</v>
      </c>
      <c r="AB98" s="1">
        <f t="shared" si="44"/>
        <v>0</v>
      </c>
      <c r="AD98" s="1">
        <f t="shared" si="45"/>
        <v>0</v>
      </c>
      <c r="AE98" s="1">
        <f t="shared" si="46"/>
        <v>0</v>
      </c>
      <c r="AF98" s="1">
        <f t="shared" si="19"/>
        <v>0</v>
      </c>
      <c r="AG98" s="1">
        <f t="shared" si="20"/>
        <v>0</v>
      </c>
      <c r="AH98" s="1">
        <f t="shared" si="21"/>
        <v>0</v>
      </c>
      <c r="AI98" s="1">
        <f t="shared" si="22"/>
        <v>1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521</v>
      </c>
      <c r="E99" s="48" t="s">
        <v>172</v>
      </c>
      <c r="F99" s="48" t="s">
        <v>522</v>
      </c>
      <c r="G99" s="48" t="s">
        <v>509</v>
      </c>
      <c r="H99" s="48" t="s">
        <v>357</v>
      </c>
      <c r="I99" s="47" t="s">
        <v>523</v>
      </c>
      <c r="J99" s="47">
        <v>99</v>
      </c>
      <c r="K99" s="49" t="s">
        <v>963</v>
      </c>
      <c r="L99" s="49" t="s">
        <v>701</v>
      </c>
      <c r="M99" s="50" t="s">
        <v>698</v>
      </c>
      <c r="N99" s="50" t="s">
        <v>1762</v>
      </c>
      <c r="O99" s="51"/>
      <c r="P99" s="51"/>
      <c r="Q99" s="48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1660</v>
      </c>
      <c r="E100" s="16" t="s">
        <v>1097</v>
      </c>
      <c r="F100" s="16" t="s">
        <v>1233</v>
      </c>
      <c r="G100" s="16" t="s">
        <v>39</v>
      </c>
      <c r="H100" s="16" t="s">
        <v>1234</v>
      </c>
      <c r="I100" s="15" t="s">
        <v>1235</v>
      </c>
      <c r="J100" s="15">
        <v>18</v>
      </c>
      <c r="K100" s="10" t="s">
        <v>965</v>
      </c>
      <c r="L100" s="10" t="s">
        <v>694</v>
      </c>
      <c r="M100" s="19" t="s">
        <v>977</v>
      </c>
      <c r="N100" s="17"/>
      <c r="Q100" s="16" t="s">
        <v>1899</v>
      </c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1573</v>
      </c>
      <c r="E101" s="16" t="s">
        <v>172</v>
      </c>
      <c r="F101" s="16" t="s">
        <v>1692</v>
      </c>
      <c r="G101" s="16" t="s">
        <v>39</v>
      </c>
      <c r="H101" s="16" t="s">
        <v>360</v>
      </c>
      <c r="I101" s="15" t="s">
        <v>1574</v>
      </c>
      <c r="J101" s="15">
        <v>18</v>
      </c>
      <c r="K101" s="10" t="s">
        <v>729</v>
      </c>
      <c r="L101" s="10" t="s">
        <v>694</v>
      </c>
      <c r="M101" s="19" t="s">
        <v>698</v>
      </c>
      <c r="N101" s="17"/>
      <c r="Q101" s="16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34">
        <v>0</v>
      </c>
      <c r="B102" s="34">
        <v>1</v>
      </c>
      <c r="C102" s="34">
        <v>3</v>
      </c>
      <c r="D102" s="35" t="s">
        <v>1333</v>
      </c>
      <c r="E102" s="35" t="s">
        <v>177</v>
      </c>
      <c r="F102" s="35" t="s">
        <v>1354</v>
      </c>
      <c r="G102" s="35" t="s">
        <v>39</v>
      </c>
      <c r="H102" s="35" t="s">
        <v>357</v>
      </c>
      <c r="I102" s="34" t="s">
        <v>1146</v>
      </c>
      <c r="J102" s="34">
        <v>99</v>
      </c>
      <c r="K102" s="36" t="s">
        <v>709</v>
      </c>
      <c r="L102" s="36" t="s">
        <v>1714</v>
      </c>
      <c r="M102" s="37" t="s">
        <v>1406</v>
      </c>
      <c r="N102" s="37" t="s">
        <v>1764</v>
      </c>
      <c r="O102" s="38">
        <v>1</v>
      </c>
      <c r="P102" s="38"/>
      <c r="Q102" s="35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1</v>
      </c>
      <c r="AF102" s="1">
        <f t="shared" si="19"/>
        <v>0</v>
      </c>
      <c r="AG102" s="1">
        <f t="shared" si="20"/>
        <v>1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1277</v>
      </c>
      <c r="E103" s="35" t="s">
        <v>172</v>
      </c>
      <c r="F103" s="35" t="s">
        <v>1355</v>
      </c>
      <c r="G103" s="35" t="s">
        <v>1208</v>
      </c>
      <c r="H103" s="35" t="s">
        <v>357</v>
      </c>
      <c r="I103" s="34" t="s">
        <v>1209</v>
      </c>
      <c r="J103" s="34">
        <v>99</v>
      </c>
      <c r="K103" s="36" t="s">
        <v>729</v>
      </c>
      <c r="L103" s="36">
        <v>50</v>
      </c>
      <c r="M103" s="37" t="s">
        <v>39</v>
      </c>
      <c r="N103" s="37" t="s">
        <v>1816</v>
      </c>
      <c r="O103" s="38">
        <v>1</v>
      </c>
      <c r="P103" s="38"/>
      <c r="Q103" s="35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1026</v>
      </c>
      <c r="E104" s="35" t="s">
        <v>615</v>
      </c>
      <c r="F104" s="35" t="s">
        <v>1027</v>
      </c>
      <c r="G104" s="35" t="s">
        <v>1028</v>
      </c>
      <c r="H104" s="35" t="s">
        <v>357</v>
      </c>
      <c r="I104" s="34" t="s">
        <v>1029</v>
      </c>
      <c r="J104" s="34">
        <v>99</v>
      </c>
      <c r="K104" s="36" t="s">
        <v>963</v>
      </c>
      <c r="L104" s="36" t="s">
        <v>39</v>
      </c>
      <c r="M104" s="37" t="s">
        <v>39</v>
      </c>
      <c r="N104" s="37" t="s">
        <v>1748</v>
      </c>
      <c r="O104" s="38">
        <v>1</v>
      </c>
      <c r="P104" s="38">
        <v>1</v>
      </c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1</v>
      </c>
      <c r="AE104" s="1">
        <f t="shared" si="46"/>
        <v>0</v>
      </c>
      <c r="AF104" s="1">
        <f t="shared" si="19"/>
        <v>1</v>
      </c>
      <c r="AG104" s="1">
        <f t="shared" si="20"/>
        <v>0</v>
      </c>
      <c r="AH104" s="1">
        <f t="shared" si="21"/>
        <v>1</v>
      </c>
      <c r="AI104" s="1">
        <f t="shared" si="22"/>
        <v>0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142</v>
      </c>
      <c r="E105" s="35" t="s">
        <v>177</v>
      </c>
      <c r="F105" s="35" t="s">
        <v>345</v>
      </c>
      <c r="G105" s="35" t="s">
        <v>39</v>
      </c>
      <c r="H105" s="35" t="s">
        <v>379</v>
      </c>
      <c r="I105" s="34" t="s">
        <v>493</v>
      </c>
      <c r="J105" s="34">
        <v>16</v>
      </c>
      <c r="K105" s="36" t="s">
        <v>709</v>
      </c>
      <c r="L105" s="36" t="s">
        <v>694</v>
      </c>
      <c r="M105" s="37" t="s">
        <v>1407</v>
      </c>
      <c r="N105" s="37" t="s">
        <v>1763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824</v>
      </c>
      <c r="E106" s="35" t="s">
        <v>174</v>
      </c>
      <c r="F106" s="35" t="s">
        <v>825</v>
      </c>
      <c r="G106" s="35" t="s">
        <v>39</v>
      </c>
      <c r="H106" s="35" t="s">
        <v>826</v>
      </c>
      <c r="I106" s="34" t="s">
        <v>827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1742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309</v>
      </c>
      <c r="G107" s="16" t="s">
        <v>39</v>
      </c>
      <c r="H107" s="16" t="s">
        <v>364</v>
      </c>
      <c r="I107" s="15" t="s">
        <v>459</v>
      </c>
      <c r="J107" s="15">
        <v>18</v>
      </c>
      <c r="K107" s="10" t="s">
        <v>710</v>
      </c>
      <c r="L107" s="10" t="s">
        <v>694</v>
      </c>
      <c r="M107" s="19" t="s">
        <v>698</v>
      </c>
      <c r="N107" s="17"/>
      <c r="Q107" s="20" t="s">
        <v>1898</v>
      </c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0</v>
      </c>
      <c r="AF107" s="1">
        <f t="shared" si="19"/>
        <v>0</v>
      </c>
      <c r="AG107" s="1">
        <f t="shared" si="20"/>
        <v>0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47">
        <v>0</v>
      </c>
      <c r="B108" s="47">
        <v>1</v>
      </c>
      <c r="C108" s="47">
        <v>3</v>
      </c>
      <c r="D108" s="48" t="s">
        <v>1520</v>
      </c>
      <c r="E108" s="48" t="s">
        <v>172</v>
      </c>
      <c r="F108" s="48" t="s">
        <v>1521</v>
      </c>
      <c r="G108" s="48" t="s">
        <v>39</v>
      </c>
      <c r="H108" s="48" t="s">
        <v>377</v>
      </c>
      <c r="I108" s="47" t="s">
        <v>1522</v>
      </c>
      <c r="J108" s="47">
        <v>11</v>
      </c>
      <c r="K108" s="49" t="s">
        <v>729</v>
      </c>
      <c r="L108" s="49">
        <v>50</v>
      </c>
      <c r="M108" s="50" t="s">
        <v>39</v>
      </c>
      <c r="N108" s="50" t="s">
        <v>1749</v>
      </c>
      <c r="O108" s="51"/>
      <c r="P108" s="51"/>
      <c r="Q108" s="48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308</v>
      </c>
      <c r="G109" s="48" t="s">
        <v>39</v>
      </c>
      <c r="H109" s="48" t="s">
        <v>363</v>
      </c>
      <c r="I109" s="47" t="s">
        <v>458</v>
      </c>
      <c r="J109" s="47">
        <v>18</v>
      </c>
      <c r="K109" s="49" t="s">
        <v>709</v>
      </c>
      <c r="L109" s="49">
        <v>55</v>
      </c>
      <c r="M109" s="50" t="s">
        <v>698</v>
      </c>
      <c r="N109" s="50" t="s">
        <v>1749</v>
      </c>
      <c r="O109" s="51"/>
      <c r="P109" s="51"/>
      <c r="Q109" s="48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34">
        <v>0</v>
      </c>
      <c r="B110" s="34">
        <v>1</v>
      </c>
      <c r="C110" s="34">
        <v>3</v>
      </c>
      <c r="D110" s="35" t="s">
        <v>129</v>
      </c>
      <c r="E110" s="35" t="s">
        <v>177</v>
      </c>
      <c r="F110" s="35" t="s">
        <v>332</v>
      </c>
      <c r="G110" s="35" t="s">
        <v>39</v>
      </c>
      <c r="H110" s="35" t="s">
        <v>378</v>
      </c>
      <c r="I110" s="34" t="s">
        <v>481</v>
      </c>
      <c r="J110" s="34">
        <v>12</v>
      </c>
      <c r="K110" s="36" t="s">
        <v>709</v>
      </c>
      <c r="L110" s="36">
        <v>35</v>
      </c>
      <c r="M110" s="37" t="s">
        <v>698</v>
      </c>
      <c r="N110" s="37" t="s">
        <v>1764</v>
      </c>
      <c r="O110" s="38">
        <v>1</v>
      </c>
      <c r="P110" s="38"/>
      <c r="Q110" s="35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1</v>
      </c>
      <c r="AF110" s="1">
        <f t="shared" si="19"/>
        <v>0</v>
      </c>
      <c r="AG110" s="1">
        <f t="shared" si="20"/>
        <v>1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1001</v>
      </c>
      <c r="E111" s="48" t="s">
        <v>172</v>
      </c>
      <c r="F111" s="48" t="s">
        <v>1103</v>
      </c>
      <c r="G111" s="48" t="s">
        <v>234</v>
      </c>
      <c r="H111" s="48" t="s">
        <v>357</v>
      </c>
      <c r="I111" s="47" t="s">
        <v>1002</v>
      </c>
      <c r="J111" s="47">
        <v>99</v>
      </c>
      <c r="K111" s="49" t="s">
        <v>963</v>
      </c>
      <c r="L111" s="49">
        <v>40</v>
      </c>
      <c r="M111" s="50" t="s">
        <v>39</v>
      </c>
      <c r="N111" s="50" t="s">
        <v>1762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333</v>
      </c>
      <c r="G112" s="42" t="s">
        <v>39</v>
      </c>
      <c r="H112" s="42" t="s">
        <v>374</v>
      </c>
      <c r="I112" s="41" t="s">
        <v>482</v>
      </c>
      <c r="J112" s="41">
        <v>11</v>
      </c>
      <c r="K112" s="43" t="s">
        <v>709</v>
      </c>
      <c r="L112" s="43" t="s">
        <v>39</v>
      </c>
      <c r="M112" s="44" t="s">
        <v>39</v>
      </c>
      <c r="N112" s="45"/>
      <c r="O112" s="46"/>
      <c r="P112" s="46">
        <v>1</v>
      </c>
      <c r="Q112" s="42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1</v>
      </c>
      <c r="AI112" s="1">
        <f t="shared" si="22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1334</v>
      </c>
      <c r="E113" s="16" t="s">
        <v>174</v>
      </c>
      <c r="F113" s="16" t="s">
        <v>1357</v>
      </c>
      <c r="G113" s="16" t="s">
        <v>39</v>
      </c>
      <c r="H113" s="16" t="s">
        <v>995</v>
      </c>
      <c r="I113" s="15" t="s">
        <v>996</v>
      </c>
      <c r="J113" s="15">
        <v>14</v>
      </c>
      <c r="K113" s="10" t="s">
        <v>710</v>
      </c>
      <c r="L113" s="10">
        <v>30</v>
      </c>
      <c r="M113" s="19" t="s">
        <v>978</v>
      </c>
      <c r="N113" s="17"/>
      <c r="Q113" s="16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706</v>
      </c>
      <c r="E114" s="48" t="s">
        <v>177</v>
      </c>
      <c r="F114" s="48" t="s">
        <v>707</v>
      </c>
      <c r="G114" s="48" t="s">
        <v>39</v>
      </c>
      <c r="H114" s="48" t="s">
        <v>708</v>
      </c>
      <c r="I114" s="47" t="s">
        <v>1125</v>
      </c>
      <c r="J114" s="47">
        <v>13</v>
      </c>
      <c r="K114" s="49" t="s">
        <v>709</v>
      </c>
      <c r="L114" s="49" t="s">
        <v>1714</v>
      </c>
      <c r="M114" s="50" t="s">
        <v>977</v>
      </c>
      <c r="N114" s="50" t="s">
        <v>1817</v>
      </c>
      <c r="O114" s="51"/>
      <c r="P114" s="51"/>
      <c r="Q114" s="48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</row>
    <row r="115" spans="1:35" ht="14.25" customHeight="1" x14ac:dyDescent="0.25">
      <c r="A115" s="34">
        <v>0</v>
      </c>
      <c r="B115" s="34">
        <v>1</v>
      </c>
      <c r="C115" s="34">
        <v>3</v>
      </c>
      <c r="D115" s="35" t="s">
        <v>1535</v>
      </c>
      <c r="E115" s="35" t="s">
        <v>172</v>
      </c>
      <c r="F115" s="35" t="s">
        <v>1682</v>
      </c>
      <c r="G115" s="35" t="s">
        <v>39</v>
      </c>
      <c r="H115" s="35" t="s">
        <v>1536</v>
      </c>
      <c r="I115" s="34" t="s">
        <v>1537</v>
      </c>
      <c r="J115" s="34">
        <v>11</v>
      </c>
      <c r="K115" s="36" t="s">
        <v>729</v>
      </c>
      <c r="L115" s="36">
        <v>40</v>
      </c>
      <c r="M115" s="37" t="s">
        <v>39</v>
      </c>
      <c r="N115" s="37" t="s">
        <v>1742</v>
      </c>
      <c r="O115" s="38">
        <v>1</v>
      </c>
      <c r="P115" s="38">
        <v>1</v>
      </c>
      <c r="Q115" s="35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1</v>
      </c>
      <c r="AE115" s="1">
        <f t="shared" si="46"/>
        <v>0</v>
      </c>
      <c r="AF115" s="1">
        <f t="shared" si="19"/>
        <v>1</v>
      </c>
      <c r="AG115" s="1">
        <f t="shared" si="20"/>
        <v>0</v>
      </c>
      <c r="AH115" s="1">
        <f t="shared" si="21"/>
        <v>1</v>
      </c>
      <c r="AI115" s="1">
        <f t="shared" si="22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351</v>
      </c>
      <c r="G116" s="16" t="s">
        <v>39</v>
      </c>
      <c r="H116" s="16" t="s">
        <v>370</v>
      </c>
      <c r="I116" s="15" t="s">
        <v>497</v>
      </c>
      <c r="J116" s="15">
        <v>18</v>
      </c>
      <c r="K116" s="10" t="s">
        <v>963</v>
      </c>
      <c r="L116" s="10" t="s">
        <v>704</v>
      </c>
      <c r="M116" s="19" t="s">
        <v>977</v>
      </c>
      <c r="N116" s="17"/>
      <c r="Q116" s="16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1007</v>
      </c>
      <c r="E117" s="48" t="s">
        <v>174</v>
      </c>
      <c r="F117" s="68" t="s">
        <v>1882</v>
      </c>
      <c r="G117" s="48" t="s">
        <v>39</v>
      </c>
      <c r="H117" s="48" t="s">
        <v>1008</v>
      </c>
      <c r="I117" s="47" t="s">
        <v>1126</v>
      </c>
      <c r="J117" s="47">
        <v>16</v>
      </c>
      <c r="K117" s="49" t="s">
        <v>729</v>
      </c>
      <c r="L117" s="49" t="s">
        <v>1757</v>
      </c>
      <c r="M117" s="50" t="s">
        <v>1408</v>
      </c>
      <c r="N117" s="50" t="s">
        <v>1817</v>
      </c>
      <c r="O117" s="51"/>
      <c r="P117" s="51"/>
      <c r="Q117" s="68" t="s">
        <v>1905</v>
      </c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1137</v>
      </c>
      <c r="E118" s="16" t="s">
        <v>174</v>
      </c>
      <c r="F118" s="16" t="s">
        <v>1358</v>
      </c>
      <c r="G118" s="16" t="s">
        <v>39</v>
      </c>
      <c r="H118" s="16" t="s">
        <v>1139</v>
      </c>
      <c r="I118" s="15" t="s">
        <v>1138</v>
      </c>
      <c r="J118" s="15">
        <v>14</v>
      </c>
      <c r="K118" s="10" t="s">
        <v>965</v>
      </c>
      <c r="L118" s="10" t="s">
        <v>1714</v>
      </c>
      <c r="M118" s="19" t="s">
        <v>1409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34">
        <v>0</v>
      </c>
      <c r="B119" s="34">
        <v>1</v>
      </c>
      <c r="C119" s="34">
        <v>3</v>
      </c>
      <c r="D119" s="35" t="s">
        <v>1088</v>
      </c>
      <c r="E119" s="35" t="s">
        <v>174</v>
      </c>
      <c r="F119" s="35" t="s">
        <v>1050</v>
      </c>
      <c r="G119" s="35" t="s">
        <v>1114</v>
      </c>
      <c r="H119" s="35" t="s">
        <v>357</v>
      </c>
      <c r="I119" s="34" t="s">
        <v>1051</v>
      </c>
      <c r="J119" s="34">
        <v>1</v>
      </c>
      <c r="K119" s="36" t="s">
        <v>965</v>
      </c>
      <c r="L119" s="36" t="s">
        <v>693</v>
      </c>
      <c r="M119" s="37" t="s">
        <v>978</v>
      </c>
      <c r="N119" s="37" t="s">
        <v>1770</v>
      </c>
      <c r="O119" s="38">
        <v>1</v>
      </c>
      <c r="P119" s="38"/>
      <c r="Q119" s="35"/>
      <c r="S119" s="1">
        <f t="shared" si="35"/>
        <v>1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1</v>
      </c>
      <c r="AF119" s="1">
        <f t="shared" si="19"/>
        <v>0</v>
      </c>
      <c r="AG119" s="1">
        <f t="shared" si="20"/>
        <v>1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1644</v>
      </c>
      <c r="E120" s="35" t="s">
        <v>1097</v>
      </c>
      <c r="F120" s="35" t="s">
        <v>1645</v>
      </c>
      <c r="G120" s="35" t="s">
        <v>39</v>
      </c>
      <c r="H120" s="35" t="s">
        <v>1646</v>
      </c>
      <c r="I120" s="34" t="s">
        <v>1647</v>
      </c>
      <c r="J120" s="34">
        <v>15</v>
      </c>
      <c r="K120" s="36" t="s">
        <v>965</v>
      </c>
      <c r="L120" s="36" t="s">
        <v>39</v>
      </c>
      <c r="M120" s="37" t="s">
        <v>39</v>
      </c>
      <c r="N120" s="37" t="s">
        <v>1763</v>
      </c>
      <c r="O120" s="38">
        <v>1</v>
      </c>
      <c r="P120" s="38"/>
      <c r="Q120" s="39" t="s">
        <v>1910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618</v>
      </c>
      <c r="E121" s="16" t="s">
        <v>172</v>
      </c>
      <c r="F121" s="16" t="s">
        <v>619</v>
      </c>
      <c r="G121" s="16" t="s">
        <v>39</v>
      </c>
      <c r="H121" s="16" t="s">
        <v>369</v>
      </c>
      <c r="I121" s="15" t="s">
        <v>620</v>
      </c>
      <c r="J121" s="15">
        <v>18</v>
      </c>
      <c r="K121" s="10" t="s">
        <v>729</v>
      </c>
      <c r="L121" s="10" t="s">
        <v>1757</v>
      </c>
      <c r="M121" s="19" t="s">
        <v>39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41">
        <v>0</v>
      </c>
      <c r="B122" s="41">
        <v>1</v>
      </c>
      <c r="C122" s="41">
        <v>3</v>
      </c>
      <c r="D122" s="42" t="s">
        <v>927</v>
      </c>
      <c r="E122" s="42" t="s">
        <v>174</v>
      </c>
      <c r="F122" s="42" t="s">
        <v>1170</v>
      </c>
      <c r="G122" s="42" t="s">
        <v>39</v>
      </c>
      <c r="H122" s="42" t="s">
        <v>366</v>
      </c>
      <c r="I122" s="41" t="s">
        <v>898</v>
      </c>
      <c r="J122" s="41">
        <v>14</v>
      </c>
      <c r="K122" s="43" t="s">
        <v>964</v>
      </c>
      <c r="L122" s="43" t="s">
        <v>39</v>
      </c>
      <c r="M122" s="44" t="s">
        <v>39</v>
      </c>
      <c r="N122" s="45"/>
      <c r="O122" s="46"/>
      <c r="P122" s="46">
        <v>1</v>
      </c>
      <c r="Q122" s="42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1</v>
      </c>
      <c r="AI122" s="1">
        <f t="shared" si="22"/>
        <v>0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938</v>
      </c>
      <c r="G123" s="16" t="s">
        <v>39</v>
      </c>
      <c r="H123" s="16" t="s">
        <v>361</v>
      </c>
      <c r="I123" s="15" t="s">
        <v>456</v>
      </c>
      <c r="J123" s="15">
        <v>18</v>
      </c>
      <c r="K123" s="10" t="s">
        <v>963</v>
      </c>
      <c r="L123" s="10" t="s">
        <v>704</v>
      </c>
      <c r="M123" s="19" t="s">
        <v>698</v>
      </c>
      <c r="N123" s="17"/>
      <c r="Q123" s="16" t="s">
        <v>1903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41">
        <v>0</v>
      </c>
      <c r="B124" s="41">
        <v>1</v>
      </c>
      <c r="C124" s="41">
        <v>3</v>
      </c>
      <c r="D124" s="42" t="s">
        <v>1523</v>
      </c>
      <c r="E124" s="42" t="s">
        <v>1667</v>
      </c>
      <c r="F124" s="42" t="s">
        <v>1525</v>
      </c>
      <c r="G124" s="42" t="s">
        <v>39</v>
      </c>
      <c r="H124" s="42" t="s">
        <v>1526</v>
      </c>
      <c r="I124" s="41" t="s">
        <v>1524</v>
      </c>
      <c r="J124" s="41">
        <v>14</v>
      </c>
      <c r="K124" s="43" t="s">
        <v>969</v>
      </c>
      <c r="L124" s="43" t="s">
        <v>693</v>
      </c>
      <c r="M124" s="44" t="s">
        <v>1410</v>
      </c>
      <c r="N124" s="45"/>
      <c r="O124" s="46"/>
      <c r="P124" s="46">
        <v>1</v>
      </c>
      <c r="Q124" s="42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1</v>
      </c>
      <c r="AI124" s="1">
        <f t="shared" si="22"/>
        <v>0</v>
      </c>
    </row>
    <row r="125" spans="1:35" ht="14.25" customHeight="1" x14ac:dyDescent="0.25">
      <c r="A125" s="47">
        <v>0</v>
      </c>
      <c r="B125" s="47">
        <v>1</v>
      </c>
      <c r="C125" s="47">
        <v>3</v>
      </c>
      <c r="D125" s="48" t="s">
        <v>1270</v>
      </c>
      <c r="E125" s="48" t="s">
        <v>174</v>
      </c>
      <c r="F125" s="48" t="s">
        <v>1271</v>
      </c>
      <c r="G125" s="48" t="s">
        <v>1273</v>
      </c>
      <c r="H125" s="48" t="s">
        <v>357</v>
      </c>
      <c r="I125" s="47" t="s">
        <v>1272</v>
      </c>
      <c r="J125" s="47">
        <v>99</v>
      </c>
      <c r="K125" s="49" t="s">
        <v>965</v>
      </c>
      <c r="L125" s="49" t="s">
        <v>700</v>
      </c>
      <c r="M125" s="50" t="s">
        <v>978</v>
      </c>
      <c r="N125" s="50" t="s">
        <v>1817</v>
      </c>
      <c r="O125" s="51"/>
      <c r="P125" s="51"/>
      <c r="Q125" s="48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1517</v>
      </c>
      <c r="E126" s="16" t="s">
        <v>174</v>
      </c>
      <c r="F126" s="16" t="s">
        <v>1518</v>
      </c>
      <c r="G126" s="16" t="s">
        <v>39</v>
      </c>
      <c r="H126" s="16" t="s">
        <v>368</v>
      </c>
      <c r="I126" s="15" t="s">
        <v>1519</v>
      </c>
      <c r="J126" s="15">
        <v>18</v>
      </c>
      <c r="K126" s="10" t="s">
        <v>963</v>
      </c>
      <c r="L126" s="10" t="s">
        <v>1757</v>
      </c>
      <c r="M126" s="19" t="s">
        <v>39</v>
      </c>
      <c r="N126" s="17"/>
      <c r="Q126" s="16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1638</v>
      </c>
      <c r="E127" s="16" t="s">
        <v>174</v>
      </c>
      <c r="F127" s="16" t="s">
        <v>1641</v>
      </c>
      <c r="G127" s="16" t="s">
        <v>39</v>
      </c>
      <c r="H127" s="16" t="s">
        <v>1639</v>
      </c>
      <c r="I127" s="15" t="s">
        <v>1640</v>
      </c>
      <c r="J127" s="15">
        <v>15</v>
      </c>
      <c r="K127" s="10" t="s">
        <v>729</v>
      </c>
      <c r="L127" s="10" t="s">
        <v>39</v>
      </c>
      <c r="M127" s="19" t="s">
        <v>39</v>
      </c>
      <c r="N127" s="17"/>
      <c r="Q127" s="16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1258</v>
      </c>
      <c r="E128" s="16" t="s">
        <v>1260</v>
      </c>
      <c r="F128" s="16" t="s">
        <v>1261</v>
      </c>
      <c r="G128" s="16" t="s">
        <v>39</v>
      </c>
      <c r="H128" s="16" t="s">
        <v>372</v>
      </c>
      <c r="I128" s="15" t="s">
        <v>1259</v>
      </c>
      <c r="J128" s="15">
        <v>14</v>
      </c>
      <c r="K128" s="10" t="s">
        <v>965</v>
      </c>
      <c r="L128" s="10" t="s">
        <v>693</v>
      </c>
      <c r="M128" s="19" t="s">
        <v>1410</v>
      </c>
      <c r="N128" s="17"/>
      <c r="Q128" s="16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334</v>
      </c>
      <c r="G129" s="35" t="s">
        <v>184</v>
      </c>
      <c r="H129" s="35" t="s">
        <v>357</v>
      </c>
      <c r="I129" s="34" t="s">
        <v>483</v>
      </c>
      <c r="J129" s="34">
        <v>99</v>
      </c>
      <c r="K129" s="36" t="s">
        <v>964</v>
      </c>
      <c r="L129" s="36" t="s">
        <v>39</v>
      </c>
      <c r="M129" s="37" t="s">
        <v>39</v>
      </c>
      <c r="N129" s="37" t="s">
        <v>1748</v>
      </c>
      <c r="O129" s="38">
        <v>1</v>
      </c>
      <c r="P129" s="38">
        <v>1</v>
      </c>
      <c r="Q129" s="35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1</v>
      </c>
      <c r="AE129" s="1">
        <f t="shared" si="46"/>
        <v>0</v>
      </c>
      <c r="AF129" s="1">
        <f t="shared" si="19"/>
        <v>1</v>
      </c>
      <c r="AG129" s="1">
        <f t="shared" si="20"/>
        <v>0</v>
      </c>
      <c r="AH129" s="1">
        <f t="shared" si="21"/>
        <v>1</v>
      </c>
      <c r="AI129" s="1">
        <f t="shared" si="22"/>
        <v>0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928</v>
      </c>
      <c r="E130" s="35" t="s">
        <v>174</v>
      </c>
      <c r="F130" s="35" t="s">
        <v>940</v>
      </c>
      <c r="G130" s="35" t="s">
        <v>237</v>
      </c>
      <c r="H130" s="35" t="s">
        <v>357</v>
      </c>
      <c r="I130" s="34" t="s">
        <v>954</v>
      </c>
      <c r="J130" s="34">
        <v>99</v>
      </c>
      <c r="K130" s="36" t="s">
        <v>729</v>
      </c>
      <c r="L130" s="36">
        <v>45</v>
      </c>
      <c r="M130" s="37" t="s">
        <v>39</v>
      </c>
      <c r="N130" s="37" t="s">
        <v>1816</v>
      </c>
      <c r="O130" s="38">
        <v>1</v>
      </c>
      <c r="P130" s="38"/>
      <c r="Q130" s="35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1</v>
      </c>
      <c r="AF130" s="1">
        <f t="shared" si="19"/>
        <v>0</v>
      </c>
      <c r="AG130" s="1">
        <f t="shared" si="20"/>
        <v>1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47">
        <v>0</v>
      </c>
      <c r="B131" s="47">
        <v>1</v>
      </c>
      <c r="C131" s="47">
        <v>3</v>
      </c>
      <c r="D131" s="48" t="s">
        <v>79</v>
      </c>
      <c r="E131" s="48" t="s">
        <v>615</v>
      </c>
      <c r="F131" s="48" t="s">
        <v>311</v>
      </c>
      <c r="G131" s="48" t="s">
        <v>39</v>
      </c>
      <c r="H131" s="48" t="s">
        <v>365</v>
      </c>
      <c r="I131" s="47" t="s">
        <v>461</v>
      </c>
      <c r="J131" s="47">
        <v>12</v>
      </c>
      <c r="K131" s="49" t="s">
        <v>710</v>
      </c>
      <c r="L131" s="49">
        <v>40</v>
      </c>
      <c r="M131" s="50" t="s">
        <v>978</v>
      </c>
      <c r="N131" s="50" t="s">
        <v>1817</v>
      </c>
      <c r="O131" s="51"/>
      <c r="P131" s="51"/>
      <c r="Q131" s="48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1597</v>
      </c>
      <c r="E132" s="16" t="s">
        <v>172</v>
      </c>
      <c r="F132" s="16" t="s">
        <v>1599</v>
      </c>
      <c r="G132" s="16"/>
      <c r="H132" s="16" t="s">
        <v>368</v>
      </c>
      <c r="I132" s="15" t="s">
        <v>1598</v>
      </c>
      <c r="J132" s="15">
        <v>18</v>
      </c>
      <c r="K132" s="10" t="s">
        <v>710</v>
      </c>
      <c r="L132" s="10" t="s">
        <v>694</v>
      </c>
      <c r="M132" s="19" t="s">
        <v>978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1301</v>
      </c>
      <c r="E133" s="35" t="s">
        <v>174</v>
      </c>
      <c r="F133" s="35" t="s">
        <v>1302</v>
      </c>
      <c r="G133" s="35" t="s">
        <v>240</v>
      </c>
      <c r="H133" s="35" t="s">
        <v>357</v>
      </c>
      <c r="I133" s="34" t="s">
        <v>1303</v>
      </c>
      <c r="J133" s="34">
        <v>4</v>
      </c>
      <c r="K133" s="36" t="s">
        <v>964</v>
      </c>
      <c r="L133" s="36" t="s">
        <v>39</v>
      </c>
      <c r="M133" s="37" t="s">
        <v>39</v>
      </c>
      <c r="N133" s="37" t="s">
        <v>1742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1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653</v>
      </c>
      <c r="E134" s="35" t="s">
        <v>174</v>
      </c>
      <c r="F134" s="35" t="s">
        <v>663</v>
      </c>
      <c r="G134" s="35" t="s">
        <v>234</v>
      </c>
      <c r="H134" s="35" t="s">
        <v>357</v>
      </c>
      <c r="I134" s="34" t="s">
        <v>617</v>
      </c>
      <c r="J134" s="34">
        <v>99</v>
      </c>
      <c r="K134" s="36" t="s">
        <v>709</v>
      </c>
      <c r="L134" s="36" t="s">
        <v>39</v>
      </c>
      <c r="M134" s="37" t="s">
        <v>39</v>
      </c>
      <c r="N134" s="37" t="s">
        <v>1748</v>
      </c>
      <c r="O134" s="38">
        <v>1</v>
      </c>
      <c r="P134" s="38">
        <v>1</v>
      </c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</row>
    <row r="135" spans="1:35" ht="14.25" customHeight="1" x14ac:dyDescent="0.25">
      <c r="A135" s="41">
        <v>0</v>
      </c>
      <c r="B135" s="41">
        <v>1</v>
      </c>
      <c r="C135" s="41">
        <v>3</v>
      </c>
      <c r="D135" s="42" t="s">
        <v>880</v>
      </c>
      <c r="E135" s="42" t="s">
        <v>881</v>
      </c>
      <c r="F135" s="42" t="s">
        <v>882</v>
      </c>
      <c r="G135" s="42" t="s">
        <v>39</v>
      </c>
      <c r="H135" s="42" t="s">
        <v>369</v>
      </c>
      <c r="I135" s="41" t="s">
        <v>883</v>
      </c>
      <c r="J135" s="41">
        <v>18</v>
      </c>
      <c r="K135" s="43" t="s">
        <v>963</v>
      </c>
      <c r="L135" s="43" t="s">
        <v>39</v>
      </c>
      <c r="M135" s="44" t="s">
        <v>39</v>
      </c>
      <c r="N135" s="45"/>
      <c r="O135" s="46"/>
      <c r="P135" s="46">
        <v>1</v>
      </c>
      <c r="Q135" s="42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1</v>
      </c>
      <c r="AI135" s="1">
        <f t="shared" si="22"/>
        <v>0</v>
      </c>
    </row>
    <row r="136" spans="1:35" ht="14.25" customHeight="1" x14ac:dyDescent="0.25">
      <c r="A136" s="34">
        <v>0</v>
      </c>
      <c r="B136" s="34">
        <v>1</v>
      </c>
      <c r="C136" s="34">
        <v>3</v>
      </c>
      <c r="D136" s="35" t="s">
        <v>1321</v>
      </c>
      <c r="E136" s="35" t="s">
        <v>174</v>
      </c>
      <c r="F136" s="35" t="s">
        <v>1322</v>
      </c>
      <c r="G136" s="35" t="s">
        <v>210</v>
      </c>
      <c r="H136" s="35" t="s">
        <v>357</v>
      </c>
      <c r="I136" s="34" t="s">
        <v>1323</v>
      </c>
      <c r="J136" s="34">
        <v>3</v>
      </c>
      <c r="K136" s="36" t="s">
        <v>963</v>
      </c>
      <c r="L136" s="36" t="s">
        <v>39</v>
      </c>
      <c r="M136" s="37" t="s">
        <v>39</v>
      </c>
      <c r="N136" s="37" t="s">
        <v>1748</v>
      </c>
      <c r="O136" s="38">
        <v>1</v>
      </c>
      <c r="P136" s="38">
        <v>1</v>
      </c>
      <c r="Q136" s="35"/>
      <c r="S136" s="1">
        <f t="shared" si="35"/>
        <v>0</v>
      </c>
      <c r="T136" s="1">
        <f t="shared" si="36"/>
        <v>0</v>
      </c>
      <c r="U136" s="1">
        <f t="shared" si="37"/>
        <v>1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1</v>
      </c>
      <c r="AE136" s="1">
        <f t="shared" si="46"/>
        <v>0</v>
      </c>
      <c r="AF136" s="1">
        <f t="shared" ref="AF136:AF199" si="59">+O136*P136*(1-A136)</f>
        <v>1</v>
      </c>
      <c r="AG136" s="1">
        <f t="shared" ref="AG136:AG199" si="60">O136*(1-P136)*(1-A136)</f>
        <v>0</v>
      </c>
      <c r="AH136" s="1">
        <f t="shared" ref="AH136:AH199" si="61">+P136*(1-A136)</f>
        <v>1</v>
      </c>
      <c r="AI136" s="1">
        <f t="shared" ref="AI136:AI199" si="62">+(1-A136)*(1-P136)</f>
        <v>0</v>
      </c>
    </row>
    <row r="137" spans="1:35" ht="14.25" customHeight="1" x14ac:dyDescent="0.25">
      <c r="A137" s="47">
        <v>0</v>
      </c>
      <c r="B137" s="47">
        <v>1</v>
      </c>
      <c r="C137" s="47">
        <v>3</v>
      </c>
      <c r="D137" s="48" t="s">
        <v>874</v>
      </c>
      <c r="E137" s="48" t="s">
        <v>172</v>
      </c>
      <c r="F137" s="48" t="s">
        <v>875</v>
      </c>
      <c r="G137" s="48" t="s">
        <v>39</v>
      </c>
      <c r="H137" s="48" t="s">
        <v>876</v>
      </c>
      <c r="I137" s="47" t="s">
        <v>955</v>
      </c>
      <c r="J137" s="47">
        <v>11</v>
      </c>
      <c r="K137" s="49" t="s">
        <v>709</v>
      </c>
      <c r="L137" s="49" t="s">
        <v>696</v>
      </c>
      <c r="M137" s="50" t="s">
        <v>978</v>
      </c>
      <c r="N137" s="50" t="s">
        <v>1756</v>
      </c>
      <c r="O137" s="51"/>
      <c r="P137" s="51"/>
      <c r="Q137" s="48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0</v>
      </c>
      <c r="AE137" s="1">
        <f t="shared" si="46"/>
        <v>0</v>
      </c>
      <c r="AF137" s="1">
        <f t="shared" si="59"/>
        <v>0</v>
      </c>
      <c r="AG137" s="1">
        <f t="shared" si="60"/>
        <v>0</v>
      </c>
      <c r="AH137" s="1">
        <f t="shared" si="61"/>
        <v>0</v>
      </c>
      <c r="AI137" s="1">
        <f t="shared" si="62"/>
        <v>1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511</v>
      </c>
      <c r="E138" s="48" t="s">
        <v>172</v>
      </c>
      <c r="F138" s="48" t="s">
        <v>512</v>
      </c>
      <c r="G138" s="48" t="s">
        <v>509</v>
      </c>
      <c r="H138" s="48" t="s">
        <v>357</v>
      </c>
      <c r="I138" s="47" t="s">
        <v>513</v>
      </c>
      <c r="J138" s="47">
        <v>99</v>
      </c>
      <c r="K138" s="49" t="s">
        <v>710</v>
      </c>
      <c r="L138" s="49">
        <v>40</v>
      </c>
      <c r="M138" s="50" t="s">
        <v>978</v>
      </c>
      <c r="N138" s="50" t="s">
        <v>1762</v>
      </c>
      <c r="O138" s="51"/>
      <c r="P138" s="51"/>
      <c r="Q138" s="48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59"/>
        <v>0</v>
      </c>
      <c r="AG138" s="1">
        <f t="shared" si="60"/>
        <v>0</v>
      </c>
      <c r="AH138" s="1">
        <f t="shared" si="61"/>
        <v>0</v>
      </c>
      <c r="AI138" s="1">
        <f t="shared" si="62"/>
        <v>1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9" t="s">
        <v>1807</v>
      </c>
      <c r="E139" s="39" t="s">
        <v>1808</v>
      </c>
      <c r="F139" s="39" t="s">
        <v>1809</v>
      </c>
      <c r="G139" s="39" t="s">
        <v>1810</v>
      </c>
      <c r="H139" s="39" t="s">
        <v>357</v>
      </c>
      <c r="I139" s="40" t="s">
        <v>1811</v>
      </c>
      <c r="J139" s="34">
        <v>99</v>
      </c>
      <c r="K139" s="36" t="s">
        <v>710</v>
      </c>
      <c r="L139" s="36"/>
      <c r="M139" s="37"/>
      <c r="N139" s="37" t="s">
        <v>1748</v>
      </c>
      <c r="O139" s="38">
        <v>1</v>
      </c>
      <c r="P139" s="38">
        <v>1</v>
      </c>
      <c r="Q139" s="39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1</v>
      </c>
      <c r="AE139" s="1">
        <f t="shared" si="46"/>
        <v>0</v>
      </c>
      <c r="AF139" s="1">
        <f t="shared" si="59"/>
        <v>1</v>
      </c>
      <c r="AG139" s="1">
        <f t="shared" si="60"/>
        <v>0</v>
      </c>
      <c r="AH139" s="1">
        <f t="shared" si="61"/>
        <v>1</v>
      </c>
      <c r="AI139" s="1">
        <f t="shared" si="62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534</v>
      </c>
      <c r="E140" s="35" t="s">
        <v>172</v>
      </c>
      <c r="F140" s="35" t="s">
        <v>664</v>
      </c>
      <c r="G140" s="35" t="s">
        <v>39</v>
      </c>
      <c r="H140" s="35" t="s">
        <v>535</v>
      </c>
      <c r="I140" s="34" t="s">
        <v>536</v>
      </c>
      <c r="J140" s="34">
        <v>18</v>
      </c>
      <c r="K140" s="36" t="s">
        <v>963</v>
      </c>
      <c r="L140" s="36" t="s">
        <v>1757</v>
      </c>
      <c r="M140" s="37" t="s">
        <v>977</v>
      </c>
      <c r="N140" s="37" t="s">
        <v>1748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59"/>
        <v>1</v>
      </c>
      <c r="AG140" s="1">
        <f t="shared" si="60"/>
        <v>0</v>
      </c>
      <c r="AH140" s="1">
        <f t="shared" si="61"/>
        <v>1</v>
      </c>
      <c r="AI140" s="1">
        <f t="shared" si="62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982</v>
      </c>
      <c r="E141" s="48" t="s">
        <v>177</v>
      </c>
      <c r="F141" s="48" t="s">
        <v>812</v>
      </c>
      <c r="G141" s="48" t="s">
        <v>39</v>
      </c>
      <c r="H141" s="48" t="s">
        <v>813</v>
      </c>
      <c r="I141" s="47" t="s">
        <v>814</v>
      </c>
      <c r="J141" s="47">
        <v>16</v>
      </c>
      <c r="K141" s="49" t="s">
        <v>964</v>
      </c>
      <c r="L141" s="49" t="s">
        <v>1153</v>
      </c>
      <c r="M141" s="50" t="s">
        <v>977</v>
      </c>
      <c r="N141" s="50" t="s">
        <v>1754</v>
      </c>
      <c r="O141" s="51"/>
      <c r="P141" s="51"/>
      <c r="Q141" s="48"/>
      <c r="S141" s="1">
        <f t="shared" ref="S141:S204" si="63">IF(J141=$S$7,1,0)</f>
        <v>0</v>
      </c>
      <c r="T141" s="1">
        <f t="shared" ref="T141:T204" si="64">IF(J141=$T$7,1,0)</f>
        <v>0</v>
      </c>
      <c r="U141" s="1">
        <f t="shared" ref="U141:U204" si="65">IF(J141=$U$7,1,0)</f>
        <v>0</v>
      </c>
      <c r="V141" s="1">
        <f t="shared" ref="V141:V204" si="66">IF(J141=$V$7,1,0)</f>
        <v>0</v>
      </c>
      <c r="W141" s="1">
        <f t="shared" ref="W141:W204" si="67">IF(J141=$W$7,1,0)</f>
        <v>0</v>
      </c>
      <c r="X141" s="1">
        <f t="shared" ref="X141:X204" si="68">IF(J141=$X$7,1,0)</f>
        <v>0</v>
      </c>
      <c r="Y141" s="1">
        <f t="shared" ref="Y141:Y204" si="69">IF(J141=$Y$7,1,0)</f>
        <v>0</v>
      </c>
      <c r="Z141" s="1">
        <f t="shared" ref="Z141:Z204" si="70">IF(J141=$Z$7,1,0)</f>
        <v>0</v>
      </c>
      <c r="AA141" s="1">
        <f t="shared" ref="AA141:AA204" si="71">IF(J141=$AA$7,1,0)</f>
        <v>0</v>
      </c>
      <c r="AB141" s="1">
        <f t="shared" ref="AB141:AB204" si="72">IF(J141=$AB$7,1,0)</f>
        <v>0</v>
      </c>
      <c r="AD141" s="1">
        <f t="shared" ref="AD141:AD204" si="73">+O141*P141</f>
        <v>0</v>
      </c>
      <c r="AE141" s="1">
        <f t="shared" ref="AE141:AE204" si="74">O141*(1-P141)</f>
        <v>0</v>
      </c>
      <c r="AF141" s="1">
        <f t="shared" si="59"/>
        <v>0</v>
      </c>
      <c r="AG141" s="1">
        <f t="shared" si="60"/>
        <v>0</v>
      </c>
      <c r="AH141" s="1">
        <f t="shared" si="61"/>
        <v>0</v>
      </c>
      <c r="AI141" s="1">
        <f t="shared" si="62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5" t="s">
        <v>1212</v>
      </c>
      <c r="E142" s="35" t="s">
        <v>174</v>
      </c>
      <c r="F142" s="35" t="s">
        <v>1213</v>
      </c>
      <c r="G142" s="35" t="s">
        <v>240</v>
      </c>
      <c r="H142" s="35" t="s">
        <v>357</v>
      </c>
      <c r="I142" s="34" t="s">
        <v>1214</v>
      </c>
      <c r="J142" s="34">
        <v>4</v>
      </c>
      <c r="K142" s="36" t="s">
        <v>970</v>
      </c>
      <c r="L142" s="36" t="s">
        <v>1714</v>
      </c>
      <c r="M142" s="37" t="s">
        <v>1619</v>
      </c>
      <c r="N142" s="37" t="s">
        <v>1742</v>
      </c>
      <c r="O142" s="38">
        <v>1</v>
      </c>
      <c r="P142" s="38">
        <v>1</v>
      </c>
      <c r="Q142" s="35"/>
      <c r="S142" s="1">
        <f t="shared" si="63"/>
        <v>0</v>
      </c>
      <c r="T142" s="1">
        <f t="shared" si="64"/>
        <v>0</v>
      </c>
      <c r="U142" s="1">
        <f t="shared" si="65"/>
        <v>0</v>
      </c>
      <c r="V142" s="1">
        <f t="shared" si="66"/>
        <v>1</v>
      </c>
      <c r="W142" s="1">
        <f t="shared" si="67"/>
        <v>0</v>
      </c>
      <c r="X142" s="1">
        <f t="shared" si="68"/>
        <v>0</v>
      </c>
      <c r="Y142" s="1">
        <f t="shared" si="69"/>
        <v>0</v>
      </c>
      <c r="Z142" s="1">
        <f t="shared" si="70"/>
        <v>0</v>
      </c>
      <c r="AA142" s="1">
        <f t="shared" si="71"/>
        <v>0</v>
      </c>
      <c r="AB142" s="1">
        <f t="shared" si="72"/>
        <v>0</v>
      </c>
      <c r="AD142" s="1">
        <f t="shared" si="73"/>
        <v>1</v>
      </c>
      <c r="AE142" s="1">
        <f t="shared" si="74"/>
        <v>0</v>
      </c>
      <c r="AF142" s="1">
        <f t="shared" si="59"/>
        <v>1</v>
      </c>
      <c r="AG142" s="1">
        <f t="shared" si="60"/>
        <v>0</v>
      </c>
      <c r="AH142" s="1">
        <f t="shared" si="61"/>
        <v>1</v>
      </c>
      <c r="AI142" s="1">
        <f t="shared" si="62"/>
        <v>0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1656</v>
      </c>
      <c r="E143" s="35" t="s">
        <v>172</v>
      </c>
      <c r="F143" s="35" t="s">
        <v>1491</v>
      </c>
      <c r="G143" s="35" t="s">
        <v>1684</v>
      </c>
      <c r="H143" s="35" t="s">
        <v>357</v>
      </c>
      <c r="I143" s="34" t="s">
        <v>1490</v>
      </c>
      <c r="J143" s="34">
        <v>99</v>
      </c>
      <c r="K143" s="36" t="s">
        <v>709</v>
      </c>
      <c r="L143" s="36" t="s">
        <v>1719</v>
      </c>
      <c r="M143" s="37" t="s">
        <v>1492</v>
      </c>
      <c r="N143" s="37" t="s">
        <v>1764</v>
      </c>
      <c r="O143" s="38">
        <v>1</v>
      </c>
      <c r="P143" s="38"/>
      <c r="Q143" s="35"/>
      <c r="S143" s="1">
        <f t="shared" si="63"/>
        <v>0</v>
      </c>
      <c r="T143" s="1">
        <f t="shared" si="64"/>
        <v>0</v>
      </c>
      <c r="U143" s="1">
        <f t="shared" si="65"/>
        <v>0</v>
      </c>
      <c r="V143" s="1">
        <f t="shared" si="66"/>
        <v>0</v>
      </c>
      <c r="W143" s="1">
        <f t="shared" si="67"/>
        <v>0</v>
      </c>
      <c r="X143" s="1">
        <f t="shared" si="68"/>
        <v>0</v>
      </c>
      <c r="Y143" s="1">
        <f t="shared" si="69"/>
        <v>0</v>
      </c>
      <c r="Z143" s="1">
        <f t="shared" si="70"/>
        <v>0</v>
      </c>
      <c r="AA143" s="1">
        <f t="shared" si="71"/>
        <v>0</v>
      </c>
      <c r="AB143" s="1">
        <f t="shared" si="72"/>
        <v>0</v>
      </c>
      <c r="AD143" s="1">
        <f t="shared" si="73"/>
        <v>0</v>
      </c>
      <c r="AE143" s="1">
        <f t="shared" si="74"/>
        <v>1</v>
      </c>
      <c r="AF143" s="1">
        <f t="shared" si="59"/>
        <v>0</v>
      </c>
      <c r="AG143" s="1">
        <f t="shared" si="60"/>
        <v>1</v>
      </c>
      <c r="AH143" s="1">
        <f t="shared" si="61"/>
        <v>0</v>
      </c>
      <c r="AI143" s="1">
        <f t="shared" si="62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350</v>
      </c>
      <c r="G144" s="35" t="s">
        <v>39</v>
      </c>
      <c r="H144" s="35" t="s">
        <v>381</v>
      </c>
      <c r="I144" s="34" t="s">
        <v>1376</v>
      </c>
      <c r="J144" s="34">
        <v>14</v>
      </c>
      <c r="K144" s="36" t="s">
        <v>963</v>
      </c>
      <c r="L144" s="36" t="s">
        <v>696</v>
      </c>
      <c r="M144" s="37" t="s">
        <v>698</v>
      </c>
      <c r="N144" s="37" t="s">
        <v>1763</v>
      </c>
      <c r="O144" s="38">
        <v>1</v>
      </c>
      <c r="P144" s="38"/>
      <c r="Q144" s="35"/>
      <c r="S144" s="1">
        <f t="shared" si="63"/>
        <v>0</v>
      </c>
      <c r="T144" s="1">
        <f t="shared" si="64"/>
        <v>0</v>
      </c>
      <c r="U144" s="1">
        <f t="shared" si="65"/>
        <v>0</v>
      </c>
      <c r="V144" s="1">
        <f t="shared" si="66"/>
        <v>0</v>
      </c>
      <c r="W144" s="1">
        <f t="shared" si="67"/>
        <v>0</v>
      </c>
      <c r="X144" s="1">
        <f t="shared" si="68"/>
        <v>0</v>
      </c>
      <c r="Y144" s="1">
        <f t="shared" si="69"/>
        <v>0</v>
      </c>
      <c r="Z144" s="1">
        <f t="shared" si="70"/>
        <v>0</v>
      </c>
      <c r="AA144" s="1">
        <f t="shared" si="71"/>
        <v>0</v>
      </c>
      <c r="AB144" s="1">
        <f t="shared" si="72"/>
        <v>0</v>
      </c>
      <c r="AD144" s="1">
        <f t="shared" si="73"/>
        <v>0</v>
      </c>
      <c r="AE144" s="1">
        <f t="shared" si="74"/>
        <v>1</v>
      </c>
      <c r="AF144" s="1">
        <f t="shared" si="59"/>
        <v>0</v>
      </c>
      <c r="AG144" s="1">
        <f t="shared" si="60"/>
        <v>1</v>
      </c>
      <c r="AH144" s="1">
        <f t="shared" si="61"/>
        <v>0</v>
      </c>
      <c r="AI144" s="1">
        <f t="shared" si="62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1582</v>
      </c>
      <c r="E145" s="35" t="s">
        <v>174</v>
      </c>
      <c r="F145" s="35" t="s">
        <v>1583</v>
      </c>
      <c r="G145" s="35" t="s">
        <v>39</v>
      </c>
      <c r="H145" s="35" t="s">
        <v>1584</v>
      </c>
      <c r="I145" s="34" t="s">
        <v>1585</v>
      </c>
      <c r="J145" s="34">
        <v>17</v>
      </c>
      <c r="K145" s="36" t="s">
        <v>729</v>
      </c>
      <c r="L145" s="36" t="s">
        <v>39</v>
      </c>
      <c r="M145" s="37" t="s">
        <v>39</v>
      </c>
      <c r="N145" s="37" t="s">
        <v>1748</v>
      </c>
      <c r="O145" s="38">
        <v>1</v>
      </c>
      <c r="P145" s="38">
        <v>1</v>
      </c>
      <c r="Q145" s="35" t="s">
        <v>1928</v>
      </c>
      <c r="S145" s="1">
        <f t="shared" si="63"/>
        <v>0</v>
      </c>
      <c r="T145" s="1">
        <f t="shared" si="64"/>
        <v>0</v>
      </c>
      <c r="U145" s="1">
        <f t="shared" si="65"/>
        <v>0</v>
      </c>
      <c r="V145" s="1">
        <f t="shared" si="66"/>
        <v>0</v>
      </c>
      <c r="W145" s="1">
        <f t="shared" si="67"/>
        <v>0</v>
      </c>
      <c r="X145" s="1">
        <f t="shared" si="68"/>
        <v>0</v>
      </c>
      <c r="Y145" s="1">
        <f t="shared" si="69"/>
        <v>0</v>
      </c>
      <c r="Z145" s="1">
        <f t="shared" si="70"/>
        <v>0</v>
      </c>
      <c r="AA145" s="1">
        <f t="shared" si="71"/>
        <v>0</v>
      </c>
      <c r="AB145" s="1">
        <f t="shared" si="72"/>
        <v>0</v>
      </c>
      <c r="AD145" s="1">
        <f t="shared" si="73"/>
        <v>1</v>
      </c>
      <c r="AE145" s="1">
        <f t="shared" si="74"/>
        <v>0</v>
      </c>
      <c r="AF145" s="1">
        <f t="shared" si="59"/>
        <v>1</v>
      </c>
      <c r="AG145" s="1">
        <f t="shared" si="60"/>
        <v>0</v>
      </c>
      <c r="AH145" s="1">
        <f t="shared" si="61"/>
        <v>1</v>
      </c>
      <c r="AI145" s="1">
        <f t="shared" si="62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356</v>
      </c>
      <c r="G146" s="48" t="s">
        <v>39</v>
      </c>
      <c r="H146" s="68" t="s">
        <v>1884</v>
      </c>
      <c r="I146" s="47" t="s">
        <v>505</v>
      </c>
      <c r="J146" s="47">
        <v>14</v>
      </c>
      <c r="K146" s="49" t="s">
        <v>709</v>
      </c>
      <c r="L146" s="49" t="s">
        <v>696</v>
      </c>
      <c r="M146" s="50" t="s">
        <v>977</v>
      </c>
      <c r="N146" s="50" t="s">
        <v>1754</v>
      </c>
      <c r="O146" s="51"/>
      <c r="P146" s="51"/>
      <c r="Q146" s="68" t="s">
        <v>1911</v>
      </c>
      <c r="S146" s="1">
        <f t="shared" si="63"/>
        <v>0</v>
      </c>
      <c r="T146" s="1">
        <f t="shared" si="64"/>
        <v>0</v>
      </c>
      <c r="U146" s="1">
        <f t="shared" si="65"/>
        <v>0</v>
      </c>
      <c r="V146" s="1">
        <f t="shared" si="66"/>
        <v>0</v>
      </c>
      <c r="W146" s="1">
        <f t="shared" si="67"/>
        <v>0</v>
      </c>
      <c r="X146" s="1">
        <f t="shared" si="68"/>
        <v>0</v>
      </c>
      <c r="Y146" s="1">
        <f t="shared" si="69"/>
        <v>0</v>
      </c>
      <c r="Z146" s="1">
        <f t="shared" si="70"/>
        <v>0</v>
      </c>
      <c r="AA146" s="1">
        <f t="shared" si="71"/>
        <v>0</v>
      </c>
      <c r="AB146" s="1">
        <f t="shared" si="72"/>
        <v>0</v>
      </c>
      <c r="AD146" s="1">
        <f t="shared" si="73"/>
        <v>0</v>
      </c>
      <c r="AE146" s="1">
        <f t="shared" si="74"/>
        <v>0</v>
      </c>
      <c r="AF146" s="1">
        <f t="shared" si="59"/>
        <v>0</v>
      </c>
      <c r="AG146" s="1">
        <f t="shared" si="60"/>
        <v>0</v>
      </c>
      <c r="AH146" s="1">
        <f t="shared" si="61"/>
        <v>0</v>
      </c>
      <c r="AI146" s="1">
        <f t="shared" si="62"/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746</v>
      </c>
      <c r="E147" s="16" t="s">
        <v>174</v>
      </c>
      <c r="F147" s="16" t="s">
        <v>747</v>
      </c>
      <c r="G147" s="16" t="s">
        <v>39</v>
      </c>
      <c r="H147" s="16" t="s">
        <v>748</v>
      </c>
      <c r="I147" s="15" t="s">
        <v>749</v>
      </c>
      <c r="J147" s="15">
        <v>17</v>
      </c>
      <c r="K147" s="10" t="s">
        <v>729</v>
      </c>
      <c r="L147" s="10" t="s">
        <v>704</v>
      </c>
      <c r="M147" s="19" t="s">
        <v>698</v>
      </c>
      <c r="N147" s="17"/>
      <c r="Q147" s="16" t="s">
        <v>1902</v>
      </c>
      <c r="S147" s="1">
        <f t="shared" si="63"/>
        <v>0</v>
      </c>
      <c r="T147" s="1">
        <f t="shared" si="64"/>
        <v>0</v>
      </c>
      <c r="U147" s="1">
        <f t="shared" si="65"/>
        <v>0</v>
      </c>
      <c r="V147" s="1">
        <f t="shared" si="66"/>
        <v>0</v>
      </c>
      <c r="W147" s="1">
        <f t="shared" si="67"/>
        <v>0</v>
      </c>
      <c r="X147" s="1">
        <f t="shared" si="68"/>
        <v>0</v>
      </c>
      <c r="Y147" s="1">
        <f t="shared" si="69"/>
        <v>0</v>
      </c>
      <c r="Z147" s="1">
        <f t="shared" si="70"/>
        <v>0</v>
      </c>
      <c r="AA147" s="1">
        <f t="shared" si="71"/>
        <v>0</v>
      </c>
      <c r="AB147" s="1">
        <f t="shared" si="72"/>
        <v>0</v>
      </c>
      <c r="AD147" s="1">
        <f t="shared" si="73"/>
        <v>0</v>
      </c>
      <c r="AE147" s="1">
        <f t="shared" si="74"/>
        <v>0</v>
      </c>
      <c r="AF147" s="1">
        <f t="shared" si="59"/>
        <v>0</v>
      </c>
      <c r="AG147" s="1">
        <f t="shared" si="60"/>
        <v>0</v>
      </c>
      <c r="AH147" s="1">
        <f t="shared" si="61"/>
        <v>0</v>
      </c>
      <c r="AI147" s="1">
        <f t="shared" si="62"/>
        <v>1</v>
      </c>
    </row>
    <row r="148" spans="1:35" ht="14.25" customHeight="1" x14ac:dyDescent="0.25">
      <c r="A148" s="47">
        <v>0</v>
      </c>
      <c r="B148" s="47">
        <v>1</v>
      </c>
      <c r="C148" s="47">
        <v>3</v>
      </c>
      <c r="D148" s="48" t="s">
        <v>911</v>
      </c>
      <c r="E148" s="48" t="s">
        <v>174</v>
      </c>
      <c r="F148" s="48" t="s">
        <v>1106</v>
      </c>
      <c r="G148" s="48" t="s">
        <v>39</v>
      </c>
      <c r="H148" s="48" t="s">
        <v>913</v>
      </c>
      <c r="I148" s="47" t="s">
        <v>912</v>
      </c>
      <c r="J148" s="47">
        <v>11</v>
      </c>
      <c r="K148" s="49" t="s">
        <v>964</v>
      </c>
      <c r="L148" s="49">
        <v>60</v>
      </c>
      <c r="M148" s="50" t="s">
        <v>39</v>
      </c>
      <c r="N148" s="50" t="s">
        <v>1754</v>
      </c>
      <c r="O148" s="51"/>
      <c r="P148" s="51"/>
      <c r="Q148" s="48"/>
      <c r="S148" s="1">
        <f t="shared" si="63"/>
        <v>0</v>
      </c>
      <c r="T148" s="1">
        <f t="shared" si="64"/>
        <v>0</v>
      </c>
      <c r="U148" s="1">
        <f t="shared" si="65"/>
        <v>0</v>
      </c>
      <c r="V148" s="1">
        <f t="shared" si="66"/>
        <v>0</v>
      </c>
      <c r="W148" s="1">
        <f t="shared" si="67"/>
        <v>0</v>
      </c>
      <c r="X148" s="1">
        <f t="shared" si="68"/>
        <v>0</v>
      </c>
      <c r="Y148" s="1">
        <f t="shared" si="69"/>
        <v>0</v>
      </c>
      <c r="Z148" s="1">
        <f t="shared" si="70"/>
        <v>0</v>
      </c>
      <c r="AA148" s="1">
        <f t="shared" si="71"/>
        <v>0</v>
      </c>
      <c r="AB148" s="1">
        <f t="shared" si="72"/>
        <v>0</v>
      </c>
      <c r="AD148" s="1">
        <f t="shared" si="73"/>
        <v>0</v>
      </c>
      <c r="AE148" s="1">
        <f t="shared" si="74"/>
        <v>0</v>
      </c>
      <c r="AF148" s="1">
        <f t="shared" si="59"/>
        <v>0</v>
      </c>
      <c r="AG148" s="1">
        <f t="shared" si="60"/>
        <v>0</v>
      </c>
      <c r="AH148" s="1">
        <f t="shared" si="61"/>
        <v>0</v>
      </c>
      <c r="AI148" s="1">
        <f t="shared" si="62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327</v>
      </c>
      <c r="G149" s="48" t="s">
        <v>39</v>
      </c>
      <c r="H149" s="48" t="s">
        <v>366</v>
      </c>
      <c r="I149" s="47" t="s">
        <v>474</v>
      </c>
      <c r="J149" s="47">
        <v>14</v>
      </c>
      <c r="K149" s="49" t="s">
        <v>729</v>
      </c>
      <c r="L149" s="49" t="s">
        <v>700</v>
      </c>
      <c r="M149" s="50" t="s">
        <v>1393</v>
      </c>
      <c r="N149" s="50" t="s">
        <v>1824</v>
      </c>
      <c r="O149" s="51"/>
      <c r="P149" s="51"/>
      <c r="Q149" s="48"/>
      <c r="S149" s="1">
        <f t="shared" si="63"/>
        <v>0</v>
      </c>
      <c r="T149" s="1">
        <f t="shared" si="64"/>
        <v>0</v>
      </c>
      <c r="U149" s="1">
        <f t="shared" si="65"/>
        <v>0</v>
      </c>
      <c r="V149" s="1">
        <f t="shared" si="66"/>
        <v>0</v>
      </c>
      <c r="W149" s="1">
        <f t="shared" si="67"/>
        <v>0</v>
      </c>
      <c r="X149" s="1">
        <f t="shared" si="68"/>
        <v>0</v>
      </c>
      <c r="Y149" s="1">
        <f t="shared" si="69"/>
        <v>0</v>
      </c>
      <c r="Z149" s="1">
        <f t="shared" si="70"/>
        <v>0</v>
      </c>
      <c r="AA149" s="1">
        <f t="shared" si="71"/>
        <v>0</v>
      </c>
      <c r="AB149" s="1">
        <f t="shared" si="72"/>
        <v>0</v>
      </c>
      <c r="AD149" s="1">
        <f t="shared" si="73"/>
        <v>0</v>
      </c>
      <c r="AE149" s="1">
        <f t="shared" si="74"/>
        <v>0</v>
      </c>
      <c r="AF149" s="1">
        <f t="shared" si="59"/>
        <v>0</v>
      </c>
      <c r="AG149" s="1">
        <f t="shared" si="60"/>
        <v>0</v>
      </c>
      <c r="AH149" s="1">
        <f t="shared" si="61"/>
        <v>0</v>
      </c>
      <c r="AI149" s="1">
        <f t="shared" si="62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1183</v>
      </c>
      <c r="E150" s="16" t="s">
        <v>174</v>
      </c>
      <c r="F150" s="16" t="s">
        <v>1185</v>
      </c>
      <c r="G150" s="16" t="s">
        <v>774</v>
      </c>
      <c r="H150" s="16" t="s">
        <v>357</v>
      </c>
      <c r="I150" s="15" t="s">
        <v>1184</v>
      </c>
      <c r="J150" s="15">
        <v>99</v>
      </c>
      <c r="K150" s="10" t="s">
        <v>710</v>
      </c>
      <c r="L150" s="10">
        <v>30</v>
      </c>
      <c r="M150" s="19" t="s">
        <v>977</v>
      </c>
      <c r="N150" s="19"/>
      <c r="Q150" s="16"/>
      <c r="S150" s="1">
        <f t="shared" si="63"/>
        <v>0</v>
      </c>
      <c r="T150" s="1">
        <f t="shared" si="64"/>
        <v>0</v>
      </c>
      <c r="U150" s="1">
        <f t="shared" si="65"/>
        <v>0</v>
      </c>
      <c r="V150" s="1">
        <f t="shared" si="66"/>
        <v>0</v>
      </c>
      <c r="W150" s="1">
        <f t="shared" si="67"/>
        <v>0</v>
      </c>
      <c r="X150" s="1">
        <f t="shared" si="68"/>
        <v>0</v>
      </c>
      <c r="Y150" s="1">
        <f t="shared" si="69"/>
        <v>0</v>
      </c>
      <c r="Z150" s="1">
        <f t="shared" si="70"/>
        <v>0</v>
      </c>
      <c r="AA150" s="1">
        <f t="shared" si="71"/>
        <v>0</v>
      </c>
      <c r="AB150" s="1">
        <f t="shared" si="72"/>
        <v>0</v>
      </c>
      <c r="AD150" s="1">
        <f t="shared" si="73"/>
        <v>0</v>
      </c>
      <c r="AE150" s="1">
        <f t="shared" si="74"/>
        <v>0</v>
      </c>
      <c r="AF150" s="1">
        <f t="shared" si="59"/>
        <v>0</v>
      </c>
      <c r="AG150" s="1">
        <f t="shared" si="60"/>
        <v>0</v>
      </c>
      <c r="AH150" s="1">
        <f t="shared" si="61"/>
        <v>0</v>
      </c>
      <c r="AI150" s="1">
        <f t="shared" si="62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750</v>
      </c>
      <c r="E151" s="16" t="s">
        <v>172</v>
      </c>
      <c r="F151" s="16" t="s">
        <v>751</v>
      </c>
      <c r="G151" s="16" t="s">
        <v>39</v>
      </c>
      <c r="H151" s="16" t="s">
        <v>752</v>
      </c>
      <c r="I151" s="15" t="s">
        <v>753</v>
      </c>
      <c r="J151" s="15">
        <v>17</v>
      </c>
      <c r="K151" s="10" t="s">
        <v>710</v>
      </c>
      <c r="L151" s="10" t="s">
        <v>704</v>
      </c>
      <c r="M151" s="19" t="s">
        <v>978</v>
      </c>
      <c r="N151" s="17"/>
      <c r="Q151" s="16"/>
      <c r="S151" s="1">
        <f t="shared" si="63"/>
        <v>0</v>
      </c>
      <c r="T151" s="1">
        <f t="shared" si="64"/>
        <v>0</v>
      </c>
      <c r="U151" s="1">
        <f t="shared" si="65"/>
        <v>0</v>
      </c>
      <c r="V151" s="1">
        <f t="shared" si="66"/>
        <v>0</v>
      </c>
      <c r="W151" s="1">
        <f t="shared" si="67"/>
        <v>0</v>
      </c>
      <c r="X151" s="1">
        <f t="shared" si="68"/>
        <v>0</v>
      </c>
      <c r="Y151" s="1">
        <f t="shared" si="69"/>
        <v>0</v>
      </c>
      <c r="Z151" s="1">
        <f t="shared" si="70"/>
        <v>0</v>
      </c>
      <c r="AA151" s="1">
        <f t="shared" si="71"/>
        <v>0</v>
      </c>
      <c r="AB151" s="1">
        <f t="shared" si="72"/>
        <v>0</v>
      </c>
      <c r="AD151" s="1">
        <f t="shared" si="73"/>
        <v>0</v>
      </c>
      <c r="AE151" s="1">
        <f t="shared" si="74"/>
        <v>0</v>
      </c>
      <c r="AF151" s="1">
        <f t="shared" si="59"/>
        <v>0</v>
      </c>
      <c r="AG151" s="1">
        <f t="shared" si="60"/>
        <v>0</v>
      </c>
      <c r="AH151" s="1">
        <f t="shared" si="61"/>
        <v>0</v>
      </c>
      <c r="AI151" s="1">
        <f t="shared" si="62"/>
        <v>1</v>
      </c>
    </row>
    <row r="152" spans="1:35" ht="14.25" customHeight="1" x14ac:dyDescent="0.25">
      <c r="A152" s="47">
        <v>0</v>
      </c>
      <c r="B152" s="47">
        <v>1</v>
      </c>
      <c r="C152" s="47">
        <v>3</v>
      </c>
      <c r="D152" s="48" t="s">
        <v>841</v>
      </c>
      <c r="E152" s="48" t="s">
        <v>921</v>
      </c>
      <c r="F152" s="48" t="s">
        <v>842</v>
      </c>
      <c r="G152" s="48" t="s">
        <v>210</v>
      </c>
      <c r="H152" s="48" t="s">
        <v>357</v>
      </c>
      <c r="I152" s="47" t="s">
        <v>843</v>
      </c>
      <c r="J152" s="47">
        <v>3</v>
      </c>
      <c r="K152" s="49" t="s">
        <v>729</v>
      </c>
      <c r="L152" s="49" t="s">
        <v>700</v>
      </c>
      <c r="M152" s="50" t="s">
        <v>705</v>
      </c>
      <c r="N152" s="50" t="s">
        <v>1755</v>
      </c>
      <c r="O152" s="51"/>
      <c r="P152" s="51"/>
      <c r="Q152" s="48"/>
      <c r="S152" s="1">
        <f t="shared" si="63"/>
        <v>0</v>
      </c>
      <c r="T152" s="1">
        <f t="shared" si="64"/>
        <v>0</v>
      </c>
      <c r="U152" s="1">
        <f t="shared" si="65"/>
        <v>1</v>
      </c>
      <c r="V152" s="1">
        <f t="shared" si="66"/>
        <v>0</v>
      </c>
      <c r="W152" s="1">
        <f t="shared" si="67"/>
        <v>0</v>
      </c>
      <c r="X152" s="1">
        <f t="shared" si="68"/>
        <v>0</v>
      </c>
      <c r="Y152" s="1">
        <f t="shared" si="69"/>
        <v>0</v>
      </c>
      <c r="Z152" s="1">
        <f t="shared" si="70"/>
        <v>0</v>
      </c>
      <c r="AA152" s="1">
        <f t="shared" si="71"/>
        <v>0</v>
      </c>
      <c r="AB152" s="1">
        <f t="shared" si="72"/>
        <v>0</v>
      </c>
      <c r="AD152" s="1">
        <f t="shared" si="73"/>
        <v>0</v>
      </c>
      <c r="AE152" s="1">
        <f t="shared" si="74"/>
        <v>0</v>
      </c>
      <c r="AF152" s="1">
        <f t="shared" si="59"/>
        <v>0</v>
      </c>
      <c r="AG152" s="1">
        <f t="shared" si="60"/>
        <v>0</v>
      </c>
      <c r="AH152" s="1">
        <f t="shared" si="61"/>
        <v>0</v>
      </c>
      <c r="AI152" s="1">
        <f t="shared" si="62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1223</v>
      </c>
      <c r="E153" s="48" t="s">
        <v>174</v>
      </c>
      <c r="F153" s="48" t="s">
        <v>1225</v>
      </c>
      <c r="G153" s="48" t="s">
        <v>187</v>
      </c>
      <c r="H153" s="48" t="s">
        <v>357</v>
      </c>
      <c r="I153" s="47" t="s">
        <v>1224</v>
      </c>
      <c r="J153" s="47">
        <v>99</v>
      </c>
      <c r="K153" s="49" t="s">
        <v>965</v>
      </c>
      <c r="L153" s="49" t="s">
        <v>696</v>
      </c>
      <c r="M153" s="50" t="s">
        <v>978</v>
      </c>
      <c r="N153" s="50" t="s">
        <v>1749</v>
      </c>
      <c r="O153" s="51"/>
      <c r="P153" s="51"/>
      <c r="Q153" s="48"/>
      <c r="S153" s="1">
        <f t="shared" si="63"/>
        <v>0</v>
      </c>
      <c r="T153" s="1">
        <f t="shared" si="64"/>
        <v>0</v>
      </c>
      <c r="U153" s="1">
        <f t="shared" si="65"/>
        <v>0</v>
      </c>
      <c r="V153" s="1">
        <f t="shared" si="66"/>
        <v>0</v>
      </c>
      <c r="W153" s="1">
        <f t="shared" si="67"/>
        <v>0</v>
      </c>
      <c r="X153" s="1">
        <f t="shared" si="68"/>
        <v>0</v>
      </c>
      <c r="Y153" s="1">
        <f t="shared" si="69"/>
        <v>0</v>
      </c>
      <c r="Z153" s="1">
        <f t="shared" si="70"/>
        <v>0</v>
      </c>
      <c r="AA153" s="1">
        <f t="shared" si="71"/>
        <v>0</v>
      </c>
      <c r="AB153" s="1">
        <f t="shared" si="72"/>
        <v>0</v>
      </c>
      <c r="AD153" s="1">
        <f t="shared" si="73"/>
        <v>0</v>
      </c>
      <c r="AE153" s="1">
        <f t="shared" si="74"/>
        <v>0</v>
      </c>
      <c r="AF153" s="1">
        <f t="shared" si="59"/>
        <v>0</v>
      </c>
      <c r="AG153" s="1">
        <f t="shared" si="60"/>
        <v>0</v>
      </c>
      <c r="AH153" s="1">
        <f t="shared" si="61"/>
        <v>0</v>
      </c>
      <c r="AI153" s="1">
        <f t="shared" si="62"/>
        <v>1</v>
      </c>
    </row>
    <row r="154" spans="1:35" ht="14.25" customHeight="1" x14ac:dyDescent="0.25">
      <c r="A154" s="34">
        <v>0</v>
      </c>
      <c r="B154" s="34">
        <v>1</v>
      </c>
      <c r="C154" s="34">
        <v>3</v>
      </c>
      <c r="D154" s="35" t="s">
        <v>637</v>
      </c>
      <c r="E154" s="35" t="s">
        <v>172</v>
      </c>
      <c r="F154" s="35" t="s">
        <v>638</v>
      </c>
      <c r="G154" s="35" t="s">
        <v>196</v>
      </c>
      <c r="H154" s="35" t="s">
        <v>357</v>
      </c>
      <c r="I154" s="34" t="s">
        <v>639</v>
      </c>
      <c r="J154" s="34">
        <v>9</v>
      </c>
      <c r="K154" s="36" t="s">
        <v>964</v>
      </c>
      <c r="L154" s="36" t="s">
        <v>1714</v>
      </c>
      <c r="M154" s="37" t="s">
        <v>977</v>
      </c>
      <c r="N154" s="37" t="s">
        <v>1742</v>
      </c>
      <c r="O154" s="38">
        <v>1</v>
      </c>
      <c r="P154" s="38">
        <v>1</v>
      </c>
      <c r="Q154" s="35"/>
      <c r="S154" s="1">
        <f t="shared" si="63"/>
        <v>0</v>
      </c>
      <c r="T154" s="1">
        <f t="shared" si="64"/>
        <v>0</v>
      </c>
      <c r="U154" s="1">
        <f t="shared" si="65"/>
        <v>0</v>
      </c>
      <c r="V154" s="1">
        <f t="shared" si="66"/>
        <v>0</v>
      </c>
      <c r="W154" s="1">
        <f t="shared" si="67"/>
        <v>0</v>
      </c>
      <c r="X154" s="1">
        <f t="shared" si="68"/>
        <v>0</v>
      </c>
      <c r="Y154" s="1">
        <f t="shared" si="69"/>
        <v>0</v>
      </c>
      <c r="Z154" s="1">
        <f t="shared" si="70"/>
        <v>0</v>
      </c>
      <c r="AA154" s="1">
        <f t="shared" si="71"/>
        <v>1</v>
      </c>
      <c r="AB154" s="1">
        <f t="shared" si="72"/>
        <v>0</v>
      </c>
      <c r="AD154" s="1">
        <f t="shared" si="73"/>
        <v>1</v>
      </c>
      <c r="AE154" s="1">
        <f t="shared" si="74"/>
        <v>0</v>
      </c>
      <c r="AF154" s="1">
        <f t="shared" si="59"/>
        <v>1</v>
      </c>
      <c r="AG154" s="1">
        <f t="shared" si="60"/>
        <v>0</v>
      </c>
      <c r="AH154" s="1">
        <f t="shared" si="61"/>
        <v>1</v>
      </c>
      <c r="AI154" s="1">
        <f t="shared" si="62"/>
        <v>0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133</v>
      </c>
      <c r="E155" s="48" t="s">
        <v>689</v>
      </c>
      <c r="F155" s="48" t="s">
        <v>337</v>
      </c>
      <c r="G155" s="48" t="s">
        <v>39</v>
      </c>
      <c r="H155" s="48" t="s">
        <v>365</v>
      </c>
      <c r="I155" s="47" t="s">
        <v>485</v>
      </c>
      <c r="J155" s="47">
        <v>12</v>
      </c>
      <c r="K155" s="49" t="s">
        <v>729</v>
      </c>
      <c r="L155" s="49">
        <v>35</v>
      </c>
      <c r="M155" s="50" t="s">
        <v>39</v>
      </c>
      <c r="N155" s="50" t="s">
        <v>1817</v>
      </c>
      <c r="O155" s="51"/>
      <c r="P155" s="51"/>
      <c r="Q155" s="48"/>
      <c r="S155" s="1">
        <f t="shared" si="63"/>
        <v>0</v>
      </c>
      <c r="T155" s="1">
        <f t="shared" si="64"/>
        <v>0</v>
      </c>
      <c r="U155" s="1">
        <f t="shared" si="65"/>
        <v>0</v>
      </c>
      <c r="V155" s="1">
        <f t="shared" si="66"/>
        <v>0</v>
      </c>
      <c r="W155" s="1">
        <f t="shared" si="67"/>
        <v>0</v>
      </c>
      <c r="X155" s="1">
        <f t="shared" si="68"/>
        <v>0</v>
      </c>
      <c r="Y155" s="1">
        <f t="shared" si="69"/>
        <v>0</v>
      </c>
      <c r="Z155" s="1">
        <f t="shared" si="70"/>
        <v>0</v>
      </c>
      <c r="AA155" s="1">
        <f t="shared" si="71"/>
        <v>0</v>
      </c>
      <c r="AB155" s="1">
        <f t="shared" si="72"/>
        <v>0</v>
      </c>
      <c r="AD155" s="1">
        <f t="shared" si="73"/>
        <v>0</v>
      </c>
      <c r="AE155" s="1">
        <f t="shared" si="74"/>
        <v>0</v>
      </c>
      <c r="AF155" s="1">
        <f t="shared" si="59"/>
        <v>0</v>
      </c>
      <c r="AG155" s="1">
        <f t="shared" si="60"/>
        <v>0</v>
      </c>
      <c r="AH155" s="1">
        <f t="shared" si="61"/>
        <v>0</v>
      </c>
      <c r="AI155" s="1">
        <f t="shared" si="62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833</v>
      </c>
      <c r="E156" s="16" t="s">
        <v>174</v>
      </c>
      <c r="F156" s="16" t="s">
        <v>834</v>
      </c>
      <c r="G156" s="16" t="s">
        <v>39</v>
      </c>
      <c r="H156" s="16" t="s">
        <v>378</v>
      </c>
      <c r="I156" s="15" t="s">
        <v>832</v>
      </c>
      <c r="J156" s="15">
        <v>12</v>
      </c>
      <c r="K156" s="10" t="s">
        <v>710</v>
      </c>
      <c r="L156" s="10">
        <v>40</v>
      </c>
      <c r="M156" s="19" t="s">
        <v>977</v>
      </c>
      <c r="N156" s="19"/>
      <c r="Q156" s="16"/>
      <c r="S156" s="1">
        <f t="shared" si="63"/>
        <v>0</v>
      </c>
      <c r="T156" s="1">
        <f t="shared" si="64"/>
        <v>0</v>
      </c>
      <c r="U156" s="1">
        <f t="shared" si="65"/>
        <v>0</v>
      </c>
      <c r="V156" s="1">
        <f t="shared" si="66"/>
        <v>0</v>
      </c>
      <c r="W156" s="1">
        <f t="shared" si="67"/>
        <v>0</v>
      </c>
      <c r="X156" s="1">
        <f t="shared" si="68"/>
        <v>0</v>
      </c>
      <c r="Y156" s="1">
        <f t="shared" si="69"/>
        <v>0</v>
      </c>
      <c r="Z156" s="1">
        <f t="shared" si="70"/>
        <v>0</v>
      </c>
      <c r="AA156" s="1">
        <f t="shared" si="71"/>
        <v>0</v>
      </c>
      <c r="AB156" s="1">
        <f t="shared" si="72"/>
        <v>0</v>
      </c>
      <c r="AD156" s="1">
        <f t="shared" si="73"/>
        <v>0</v>
      </c>
      <c r="AE156" s="1">
        <f t="shared" si="74"/>
        <v>0</v>
      </c>
      <c r="AF156" s="1">
        <f t="shared" si="59"/>
        <v>0</v>
      </c>
      <c r="AG156" s="1">
        <f t="shared" si="60"/>
        <v>0</v>
      </c>
      <c r="AH156" s="1">
        <f t="shared" si="61"/>
        <v>0</v>
      </c>
      <c r="AI156" s="1">
        <f t="shared" si="62"/>
        <v>1</v>
      </c>
    </row>
    <row r="157" spans="1:35" ht="14.25" customHeight="1" x14ac:dyDescent="0.25">
      <c r="A157" s="34">
        <v>0</v>
      </c>
      <c r="B157" s="34">
        <v>1</v>
      </c>
      <c r="C157" s="34">
        <v>3</v>
      </c>
      <c r="D157" s="35" t="s">
        <v>143</v>
      </c>
      <c r="E157" s="35" t="s">
        <v>174</v>
      </c>
      <c r="F157" s="35" t="s">
        <v>346</v>
      </c>
      <c r="G157" s="35" t="s">
        <v>39</v>
      </c>
      <c r="H157" s="35" t="s">
        <v>380</v>
      </c>
      <c r="I157" s="34" t="s">
        <v>494</v>
      </c>
      <c r="J157" s="34">
        <v>15</v>
      </c>
      <c r="K157" s="36" t="s">
        <v>709</v>
      </c>
      <c r="L157" s="36" t="s">
        <v>699</v>
      </c>
      <c r="M157" s="37" t="s">
        <v>698</v>
      </c>
      <c r="N157" s="37" t="s">
        <v>1748</v>
      </c>
      <c r="O157" s="38">
        <v>1</v>
      </c>
      <c r="P157" s="38">
        <v>1</v>
      </c>
      <c r="Q157" s="39" t="s">
        <v>1906</v>
      </c>
      <c r="S157" s="1">
        <f t="shared" si="63"/>
        <v>0</v>
      </c>
      <c r="T157" s="1">
        <f t="shared" si="64"/>
        <v>0</v>
      </c>
      <c r="U157" s="1">
        <f t="shared" si="65"/>
        <v>0</v>
      </c>
      <c r="V157" s="1">
        <f t="shared" si="66"/>
        <v>0</v>
      </c>
      <c r="W157" s="1">
        <f t="shared" si="67"/>
        <v>0</v>
      </c>
      <c r="X157" s="1">
        <f t="shared" si="68"/>
        <v>0</v>
      </c>
      <c r="Y157" s="1">
        <f t="shared" si="69"/>
        <v>0</v>
      </c>
      <c r="Z157" s="1">
        <f t="shared" si="70"/>
        <v>0</v>
      </c>
      <c r="AA157" s="1">
        <f t="shared" si="71"/>
        <v>0</v>
      </c>
      <c r="AB157" s="1">
        <f t="shared" si="72"/>
        <v>0</v>
      </c>
      <c r="AD157" s="1">
        <f t="shared" si="73"/>
        <v>1</v>
      </c>
      <c r="AE157" s="1">
        <f t="shared" si="74"/>
        <v>0</v>
      </c>
      <c r="AF157" s="1">
        <f t="shared" si="59"/>
        <v>1</v>
      </c>
      <c r="AG157" s="1">
        <f t="shared" si="60"/>
        <v>0</v>
      </c>
      <c r="AH157" s="1">
        <f t="shared" si="61"/>
        <v>1</v>
      </c>
      <c r="AI157" s="1">
        <f t="shared" si="6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754</v>
      </c>
      <c r="E158" s="16" t="s">
        <v>615</v>
      </c>
      <c r="F158" s="16" t="s">
        <v>755</v>
      </c>
      <c r="G158" s="16" t="s">
        <v>39</v>
      </c>
      <c r="H158" s="16" t="s">
        <v>756</v>
      </c>
      <c r="I158" s="15" t="s">
        <v>757</v>
      </c>
      <c r="J158" s="15">
        <v>18</v>
      </c>
      <c r="K158" s="10" t="s">
        <v>710</v>
      </c>
      <c r="L158" s="10" t="s">
        <v>704</v>
      </c>
      <c r="M158" s="19" t="s">
        <v>698</v>
      </c>
      <c r="N158" s="17"/>
      <c r="Q158" s="16"/>
      <c r="S158" s="1">
        <f t="shared" si="63"/>
        <v>0</v>
      </c>
      <c r="T158" s="1">
        <f t="shared" si="64"/>
        <v>0</v>
      </c>
      <c r="U158" s="1">
        <f t="shared" si="65"/>
        <v>0</v>
      </c>
      <c r="V158" s="1">
        <f t="shared" si="66"/>
        <v>0</v>
      </c>
      <c r="W158" s="1">
        <f t="shared" si="67"/>
        <v>0</v>
      </c>
      <c r="X158" s="1">
        <f t="shared" si="68"/>
        <v>0</v>
      </c>
      <c r="Y158" s="1">
        <f t="shared" si="69"/>
        <v>0</v>
      </c>
      <c r="Z158" s="1">
        <f t="shared" si="70"/>
        <v>0</v>
      </c>
      <c r="AA158" s="1">
        <f t="shared" si="71"/>
        <v>0</v>
      </c>
      <c r="AB158" s="1">
        <f t="shared" si="72"/>
        <v>0</v>
      </c>
      <c r="AD158" s="1">
        <f t="shared" si="73"/>
        <v>0</v>
      </c>
      <c r="AE158" s="1">
        <f t="shared" si="74"/>
        <v>0</v>
      </c>
      <c r="AF158" s="1">
        <f t="shared" si="59"/>
        <v>0</v>
      </c>
      <c r="AG158" s="1">
        <f t="shared" si="60"/>
        <v>0</v>
      </c>
      <c r="AH158" s="1">
        <f t="shared" si="61"/>
        <v>0</v>
      </c>
      <c r="AI158" s="1">
        <f t="shared" si="62"/>
        <v>1</v>
      </c>
    </row>
    <row r="159" spans="1:35" ht="14.25" customHeight="1" x14ac:dyDescent="0.25">
      <c r="A159" s="34">
        <v>0</v>
      </c>
      <c r="B159" s="34">
        <v>1</v>
      </c>
      <c r="C159" s="34">
        <v>3</v>
      </c>
      <c r="D159" s="39" t="s">
        <v>1856</v>
      </c>
      <c r="E159" s="35" t="s">
        <v>1097</v>
      </c>
      <c r="F159" s="35" t="s">
        <v>1841</v>
      </c>
      <c r="G159" s="35"/>
      <c r="H159" s="35" t="s">
        <v>375</v>
      </c>
      <c r="I159" s="34" t="s">
        <v>1842</v>
      </c>
      <c r="J159" s="34">
        <v>16</v>
      </c>
      <c r="K159" s="36" t="s">
        <v>710</v>
      </c>
      <c r="L159" s="36"/>
      <c r="M159" s="37"/>
      <c r="N159" s="37" t="s">
        <v>1742</v>
      </c>
      <c r="O159" s="38">
        <v>1</v>
      </c>
      <c r="P159" s="38">
        <v>1</v>
      </c>
      <c r="Q159" s="35"/>
      <c r="S159" s="1">
        <f t="shared" si="63"/>
        <v>0</v>
      </c>
      <c r="T159" s="1">
        <f t="shared" si="64"/>
        <v>0</v>
      </c>
      <c r="U159" s="1">
        <f t="shared" si="65"/>
        <v>0</v>
      </c>
      <c r="V159" s="1">
        <f t="shared" si="66"/>
        <v>0</v>
      </c>
      <c r="W159" s="1">
        <f t="shared" si="67"/>
        <v>0</v>
      </c>
      <c r="X159" s="1">
        <f t="shared" si="68"/>
        <v>0</v>
      </c>
      <c r="Y159" s="1">
        <f t="shared" si="69"/>
        <v>0</v>
      </c>
      <c r="Z159" s="1">
        <f t="shared" si="70"/>
        <v>0</v>
      </c>
      <c r="AA159" s="1">
        <f t="shared" si="71"/>
        <v>0</v>
      </c>
      <c r="AB159" s="1">
        <f t="shared" si="72"/>
        <v>0</v>
      </c>
      <c r="AD159" s="1">
        <f t="shared" si="73"/>
        <v>1</v>
      </c>
      <c r="AE159" s="1">
        <f t="shared" si="74"/>
        <v>0</v>
      </c>
      <c r="AF159" s="1">
        <f t="shared" si="59"/>
        <v>1</v>
      </c>
      <c r="AG159" s="1">
        <f t="shared" si="60"/>
        <v>0</v>
      </c>
      <c r="AH159" s="1">
        <f t="shared" si="61"/>
        <v>1</v>
      </c>
      <c r="AI159" s="1">
        <f t="shared" si="62"/>
        <v>0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5" t="s">
        <v>986</v>
      </c>
      <c r="E160" s="35" t="s">
        <v>615</v>
      </c>
      <c r="F160" s="35" t="s">
        <v>987</v>
      </c>
      <c r="G160" s="35" t="s">
        <v>205</v>
      </c>
      <c r="H160" s="35" t="s">
        <v>357</v>
      </c>
      <c r="I160" s="34" t="s">
        <v>988</v>
      </c>
      <c r="J160" s="34">
        <v>99</v>
      </c>
      <c r="K160" s="36" t="s">
        <v>963</v>
      </c>
      <c r="L160" s="36" t="s">
        <v>39</v>
      </c>
      <c r="M160" s="37" t="s">
        <v>39</v>
      </c>
      <c r="N160" s="37" t="s">
        <v>1742</v>
      </c>
      <c r="O160" s="38">
        <v>1</v>
      </c>
      <c r="P160" s="38">
        <v>1</v>
      </c>
      <c r="Q160" s="35"/>
      <c r="S160" s="1">
        <f t="shared" si="63"/>
        <v>0</v>
      </c>
      <c r="T160" s="1">
        <f t="shared" si="64"/>
        <v>0</v>
      </c>
      <c r="U160" s="1">
        <f t="shared" si="65"/>
        <v>0</v>
      </c>
      <c r="V160" s="1">
        <f t="shared" si="66"/>
        <v>0</v>
      </c>
      <c r="W160" s="1">
        <f t="shared" si="67"/>
        <v>0</v>
      </c>
      <c r="X160" s="1">
        <f t="shared" si="68"/>
        <v>0</v>
      </c>
      <c r="Y160" s="1">
        <f t="shared" si="69"/>
        <v>0</v>
      </c>
      <c r="Z160" s="1">
        <f t="shared" si="70"/>
        <v>0</v>
      </c>
      <c r="AA160" s="1">
        <f t="shared" si="71"/>
        <v>0</v>
      </c>
      <c r="AB160" s="1">
        <f t="shared" si="72"/>
        <v>0</v>
      </c>
      <c r="AD160" s="1">
        <f t="shared" si="73"/>
        <v>1</v>
      </c>
      <c r="AE160" s="1">
        <f t="shared" si="74"/>
        <v>0</v>
      </c>
      <c r="AF160" s="1">
        <f t="shared" si="59"/>
        <v>1</v>
      </c>
      <c r="AG160" s="1">
        <f t="shared" si="60"/>
        <v>0</v>
      </c>
      <c r="AH160" s="1">
        <f t="shared" si="61"/>
        <v>1</v>
      </c>
      <c r="AI160" s="1">
        <f t="shared" si="62"/>
        <v>0</v>
      </c>
    </row>
    <row r="161" spans="1:35" ht="14.25" customHeight="1" x14ac:dyDescent="0.25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353</v>
      </c>
      <c r="G161" s="42" t="s">
        <v>39</v>
      </c>
      <c r="H161" s="42" t="s">
        <v>383</v>
      </c>
      <c r="I161" s="41" t="s">
        <v>501</v>
      </c>
      <c r="J161" s="41">
        <v>14</v>
      </c>
      <c r="K161" s="43" t="s">
        <v>971</v>
      </c>
      <c r="L161" s="43" t="s">
        <v>39</v>
      </c>
      <c r="M161" s="44" t="s">
        <v>39</v>
      </c>
      <c r="N161" s="45"/>
      <c r="O161" s="46"/>
      <c r="P161" s="46">
        <v>1</v>
      </c>
      <c r="Q161" s="42"/>
      <c r="S161" s="1">
        <f t="shared" si="63"/>
        <v>0</v>
      </c>
      <c r="T161" s="1">
        <f t="shared" si="64"/>
        <v>0</v>
      </c>
      <c r="U161" s="1">
        <f t="shared" si="65"/>
        <v>0</v>
      </c>
      <c r="V161" s="1">
        <f t="shared" si="66"/>
        <v>0</v>
      </c>
      <c r="W161" s="1">
        <f t="shared" si="67"/>
        <v>0</v>
      </c>
      <c r="X161" s="1">
        <f t="shared" si="68"/>
        <v>0</v>
      </c>
      <c r="Y161" s="1">
        <f t="shared" si="69"/>
        <v>0</v>
      </c>
      <c r="Z161" s="1">
        <f t="shared" si="70"/>
        <v>0</v>
      </c>
      <c r="AA161" s="1">
        <f t="shared" si="71"/>
        <v>0</v>
      </c>
      <c r="AB161" s="1">
        <f t="shared" si="72"/>
        <v>0</v>
      </c>
      <c r="AD161" s="1">
        <f t="shared" si="73"/>
        <v>0</v>
      </c>
      <c r="AE161" s="1">
        <f t="shared" si="74"/>
        <v>0</v>
      </c>
      <c r="AF161" s="1">
        <f t="shared" si="59"/>
        <v>0</v>
      </c>
      <c r="AG161" s="1">
        <f t="shared" si="60"/>
        <v>0</v>
      </c>
      <c r="AH161" s="1">
        <f t="shared" si="61"/>
        <v>1</v>
      </c>
      <c r="AI161" s="1">
        <f t="shared" si="62"/>
        <v>0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640</v>
      </c>
      <c r="E162" s="35" t="s">
        <v>174</v>
      </c>
      <c r="F162" s="35" t="s">
        <v>642</v>
      </c>
      <c r="G162" s="35" t="s">
        <v>240</v>
      </c>
      <c r="H162" s="35" t="s">
        <v>357</v>
      </c>
      <c r="I162" s="34" t="s">
        <v>641</v>
      </c>
      <c r="J162" s="34">
        <v>4</v>
      </c>
      <c r="K162" s="36" t="s">
        <v>963</v>
      </c>
      <c r="L162" s="36" t="s">
        <v>39</v>
      </c>
      <c r="M162" s="37" t="s">
        <v>39</v>
      </c>
      <c r="N162" s="37" t="s">
        <v>1748</v>
      </c>
      <c r="O162" s="38">
        <v>1</v>
      </c>
      <c r="P162" s="38">
        <v>1</v>
      </c>
      <c r="Q162" s="35"/>
      <c r="S162" s="1">
        <f t="shared" si="63"/>
        <v>0</v>
      </c>
      <c r="T162" s="1">
        <f t="shared" si="64"/>
        <v>0</v>
      </c>
      <c r="U162" s="1">
        <f t="shared" si="65"/>
        <v>0</v>
      </c>
      <c r="V162" s="1">
        <f t="shared" si="66"/>
        <v>1</v>
      </c>
      <c r="W162" s="1">
        <f t="shared" si="67"/>
        <v>0</v>
      </c>
      <c r="X162" s="1">
        <f t="shared" si="68"/>
        <v>0</v>
      </c>
      <c r="Y162" s="1">
        <f t="shared" si="69"/>
        <v>0</v>
      </c>
      <c r="Z162" s="1">
        <f t="shared" si="70"/>
        <v>0</v>
      </c>
      <c r="AA162" s="1">
        <f t="shared" si="71"/>
        <v>0</v>
      </c>
      <c r="AB162" s="1">
        <f t="shared" si="72"/>
        <v>0</v>
      </c>
      <c r="AD162" s="1">
        <f t="shared" si="73"/>
        <v>1</v>
      </c>
      <c r="AE162" s="1">
        <f t="shared" si="74"/>
        <v>0</v>
      </c>
      <c r="AF162" s="1">
        <f t="shared" si="59"/>
        <v>1</v>
      </c>
      <c r="AG162" s="1">
        <f t="shared" si="60"/>
        <v>0</v>
      </c>
      <c r="AH162" s="1">
        <f t="shared" si="61"/>
        <v>1</v>
      </c>
      <c r="AI162" s="1">
        <f t="shared" si="62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1543</v>
      </c>
      <c r="E163" s="16" t="s">
        <v>1097</v>
      </c>
      <c r="F163" s="16" t="s">
        <v>1544</v>
      </c>
      <c r="G163" s="16" t="s">
        <v>220</v>
      </c>
      <c r="H163" s="16" t="s">
        <v>357</v>
      </c>
      <c r="I163" s="15" t="s">
        <v>1545</v>
      </c>
      <c r="J163" s="15">
        <v>99</v>
      </c>
      <c r="K163" s="10" t="s">
        <v>710</v>
      </c>
      <c r="L163" s="10">
        <v>40</v>
      </c>
      <c r="M163" s="19" t="s">
        <v>977</v>
      </c>
      <c r="N163" s="19"/>
      <c r="Q163" s="16"/>
      <c r="S163" s="1">
        <f t="shared" si="63"/>
        <v>0</v>
      </c>
      <c r="T163" s="1">
        <f t="shared" si="64"/>
        <v>0</v>
      </c>
      <c r="U163" s="1">
        <f t="shared" si="65"/>
        <v>0</v>
      </c>
      <c r="V163" s="1">
        <f t="shared" si="66"/>
        <v>0</v>
      </c>
      <c r="W163" s="1">
        <f t="shared" si="67"/>
        <v>0</v>
      </c>
      <c r="X163" s="1">
        <f t="shared" si="68"/>
        <v>0</v>
      </c>
      <c r="Y163" s="1">
        <f t="shared" si="69"/>
        <v>0</v>
      </c>
      <c r="Z163" s="1">
        <f t="shared" si="70"/>
        <v>0</v>
      </c>
      <c r="AA163" s="1">
        <f t="shared" si="71"/>
        <v>0</v>
      </c>
      <c r="AB163" s="1">
        <f t="shared" si="72"/>
        <v>0</v>
      </c>
      <c r="AD163" s="1">
        <f t="shared" si="73"/>
        <v>0</v>
      </c>
      <c r="AE163" s="1">
        <f t="shared" si="74"/>
        <v>0</v>
      </c>
      <c r="AF163" s="1">
        <f t="shared" si="59"/>
        <v>0</v>
      </c>
      <c r="AG163" s="1">
        <f t="shared" si="60"/>
        <v>0</v>
      </c>
      <c r="AH163" s="1">
        <f t="shared" si="61"/>
        <v>0</v>
      </c>
      <c r="AI163" s="1">
        <f t="shared" si="62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302</v>
      </c>
      <c r="G164" s="35" t="s">
        <v>303</v>
      </c>
      <c r="H164" s="35" t="s">
        <v>357</v>
      </c>
      <c r="I164" s="34" t="s">
        <v>453</v>
      </c>
      <c r="J164" s="34">
        <v>99</v>
      </c>
      <c r="K164" s="36" t="s">
        <v>965</v>
      </c>
      <c r="L164" s="36" t="s">
        <v>700</v>
      </c>
      <c r="M164" s="37" t="s">
        <v>698</v>
      </c>
      <c r="N164" s="37" t="s">
        <v>1758</v>
      </c>
      <c r="O164" s="38">
        <v>1</v>
      </c>
      <c r="P164" s="38"/>
      <c r="Q164" s="35"/>
      <c r="S164" s="1">
        <f t="shared" si="63"/>
        <v>0</v>
      </c>
      <c r="T164" s="1">
        <f t="shared" si="64"/>
        <v>0</v>
      </c>
      <c r="U164" s="1">
        <f t="shared" si="65"/>
        <v>0</v>
      </c>
      <c r="V164" s="1">
        <f t="shared" si="66"/>
        <v>0</v>
      </c>
      <c r="W164" s="1">
        <f t="shared" si="67"/>
        <v>0</v>
      </c>
      <c r="X164" s="1">
        <f t="shared" si="68"/>
        <v>0</v>
      </c>
      <c r="Y164" s="1">
        <f t="shared" si="69"/>
        <v>0</v>
      </c>
      <c r="Z164" s="1">
        <f t="shared" si="70"/>
        <v>0</v>
      </c>
      <c r="AA164" s="1">
        <f t="shared" si="71"/>
        <v>0</v>
      </c>
      <c r="AB164" s="1">
        <f t="shared" si="72"/>
        <v>0</v>
      </c>
      <c r="AD164" s="1">
        <f t="shared" si="73"/>
        <v>0</v>
      </c>
      <c r="AE164" s="1">
        <f t="shared" si="74"/>
        <v>1</v>
      </c>
      <c r="AF164" s="1">
        <f t="shared" si="59"/>
        <v>0</v>
      </c>
      <c r="AG164" s="1">
        <f t="shared" si="60"/>
        <v>1</v>
      </c>
      <c r="AH164" s="1">
        <f t="shared" si="61"/>
        <v>0</v>
      </c>
      <c r="AI164" s="1">
        <f t="shared" si="62"/>
        <v>1</v>
      </c>
    </row>
    <row r="165" spans="1:35" ht="14.25" customHeight="1" x14ac:dyDescent="0.25">
      <c r="A165" s="47">
        <v>0</v>
      </c>
      <c r="B165" s="47">
        <v>1</v>
      </c>
      <c r="C165" s="47">
        <v>3</v>
      </c>
      <c r="D165" s="48" t="s">
        <v>997</v>
      </c>
      <c r="E165" s="48" t="s">
        <v>174</v>
      </c>
      <c r="F165" s="48" t="s">
        <v>1000</v>
      </c>
      <c r="G165" s="48" t="s">
        <v>39</v>
      </c>
      <c r="H165" s="48" t="s">
        <v>999</v>
      </c>
      <c r="I165" s="47" t="s">
        <v>998</v>
      </c>
      <c r="J165" s="47">
        <v>14</v>
      </c>
      <c r="K165" s="49" t="s">
        <v>729</v>
      </c>
      <c r="L165" s="49" t="s">
        <v>701</v>
      </c>
      <c r="M165" s="50" t="s">
        <v>978</v>
      </c>
      <c r="N165" s="50" t="s">
        <v>1750</v>
      </c>
      <c r="O165" s="51"/>
      <c r="P165" s="51"/>
      <c r="Q165" s="48"/>
      <c r="S165" s="1">
        <f t="shared" si="63"/>
        <v>0</v>
      </c>
      <c r="T165" s="1">
        <f t="shared" si="64"/>
        <v>0</v>
      </c>
      <c r="U165" s="1">
        <f t="shared" si="65"/>
        <v>0</v>
      </c>
      <c r="V165" s="1">
        <f t="shared" si="66"/>
        <v>0</v>
      </c>
      <c r="W165" s="1">
        <f t="shared" si="67"/>
        <v>0</v>
      </c>
      <c r="X165" s="1">
        <f t="shared" si="68"/>
        <v>0</v>
      </c>
      <c r="Y165" s="1">
        <f t="shared" si="69"/>
        <v>0</v>
      </c>
      <c r="Z165" s="1">
        <f t="shared" si="70"/>
        <v>0</v>
      </c>
      <c r="AA165" s="1">
        <f t="shared" si="71"/>
        <v>0</v>
      </c>
      <c r="AB165" s="1">
        <f t="shared" si="72"/>
        <v>0</v>
      </c>
      <c r="AD165" s="1">
        <f t="shared" si="73"/>
        <v>0</v>
      </c>
      <c r="AE165" s="1">
        <f t="shared" si="74"/>
        <v>0</v>
      </c>
      <c r="AF165" s="1">
        <f t="shared" si="59"/>
        <v>0</v>
      </c>
      <c r="AG165" s="1">
        <f t="shared" si="60"/>
        <v>0</v>
      </c>
      <c r="AH165" s="1">
        <f t="shared" si="61"/>
        <v>0</v>
      </c>
      <c r="AI165" s="1">
        <f t="shared" si="62"/>
        <v>1</v>
      </c>
    </row>
    <row r="166" spans="1:35" ht="14.25" customHeight="1" x14ac:dyDescent="0.25">
      <c r="A166" s="60">
        <v>0</v>
      </c>
      <c r="B166" s="60">
        <v>1</v>
      </c>
      <c r="C166" s="60">
        <v>3</v>
      </c>
      <c r="D166" s="61" t="s">
        <v>1659</v>
      </c>
      <c r="E166" s="61" t="s">
        <v>174</v>
      </c>
      <c r="F166" s="61" t="s">
        <v>780</v>
      </c>
      <c r="G166" s="61" t="s">
        <v>39</v>
      </c>
      <c r="H166" s="61" t="s">
        <v>370</v>
      </c>
      <c r="I166" s="60" t="s">
        <v>788</v>
      </c>
      <c r="J166" s="60">
        <v>18</v>
      </c>
      <c r="K166" s="62" t="s">
        <v>1712</v>
      </c>
      <c r="L166" s="62" t="s">
        <v>39</v>
      </c>
      <c r="M166" s="63" t="s">
        <v>781</v>
      </c>
      <c r="N166" s="64"/>
      <c r="O166" s="65"/>
      <c r="P166" s="65"/>
      <c r="Q166" s="61"/>
      <c r="S166" s="1">
        <f t="shared" si="63"/>
        <v>0</v>
      </c>
      <c r="T166" s="1">
        <f t="shared" si="64"/>
        <v>0</v>
      </c>
      <c r="U166" s="1">
        <f t="shared" si="65"/>
        <v>0</v>
      </c>
      <c r="V166" s="1">
        <f t="shared" si="66"/>
        <v>0</v>
      </c>
      <c r="W166" s="1">
        <f t="shared" si="67"/>
        <v>0</v>
      </c>
      <c r="X166" s="1">
        <f t="shared" si="68"/>
        <v>0</v>
      </c>
      <c r="Y166" s="1">
        <f t="shared" si="69"/>
        <v>0</v>
      </c>
      <c r="Z166" s="1">
        <f t="shared" si="70"/>
        <v>0</v>
      </c>
      <c r="AA166" s="1">
        <f t="shared" si="71"/>
        <v>0</v>
      </c>
      <c r="AB166" s="1">
        <f t="shared" si="72"/>
        <v>0</v>
      </c>
      <c r="AD166" s="1">
        <f t="shared" si="73"/>
        <v>0</v>
      </c>
      <c r="AE166" s="1">
        <f t="shared" si="74"/>
        <v>0</v>
      </c>
      <c r="AF166" s="1">
        <f t="shared" si="59"/>
        <v>0</v>
      </c>
      <c r="AG166" s="1">
        <f t="shared" si="60"/>
        <v>0</v>
      </c>
      <c r="AH166" s="1">
        <f t="shared" si="61"/>
        <v>0</v>
      </c>
      <c r="AI166" s="1">
        <f t="shared" si="62"/>
        <v>1</v>
      </c>
    </row>
    <row r="167" spans="1:35" ht="14.25" customHeight="1" x14ac:dyDescent="0.25">
      <c r="A167" s="52">
        <v>0</v>
      </c>
      <c r="B167" s="52">
        <v>1</v>
      </c>
      <c r="C167" s="52">
        <v>3</v>
      </c>
      <c r="D167" s="53" t="s">
        <v>136</v>
      </c>
      <c r="E167" s="53" t="s">
        <v>174</v>
      </c>
      <c r="F167" s="53" t="s">
        <v>665</v>
      </c>
      <c r="G167" s="53" t="s">
        <v>259</v>
      </c>
      <c r="H167" s="53" t="s">
        <v>357</v>
      </c>
      <c r="I167" s="52" t="s">
        <v>1708</v>
      </c>
      <c r="J167" s="52">
        <v>99</v>
      </c>
      <c r="K167" s="54" t="s">
        <v>729</v>
      </c>
      <c r="L167" s="54" t="s">
        <v>693</v>
      </c>
      <c r="M167" s="55" t="s">
        <v>1411</v>
      </c>
      <c r="N167" s="55" t="s">
        <v>1758</v>
      </c>
      <c r="O167" s="56">
        <v>1</v>
      </c>
      <c r="P167" s="56"/>
      <c r="Q167" s="53"/>
      <c r="S167" s="1">
        <f t="shared" si="63"/>
        <v>0</v>
      </c>
      <c r="T167" s="1">
        <f t="shared" si="64"/>
        <v>0</v>
      </c>
      <c r="U167" s="1">
        <f t="shared" si="65"/>
        <v>0</v>
      </c>
      <c r="V167" s="1">
        <f t="shared" si="66"/>
        <v>0</v>
      </c>
      <c r="W167" s="1">
        <f t="shared" si="67"/>
        <v>0</v>
      </c>
      <c r="X167" s="1">
        <f t="shared" si="68"/>
        <v>0</v>
      </c>
      <c r="Y167" s="1">
        <f t="shared" si="69"/>
        <v>0</v>
      </c>
      <c r="Z167" s="1">
        <f t="shared" si="70"/>
        <v>0</v>
      </c>
      <c r="AA167" s="1">
        <f t="shared" si="71"/>
        <v>0</v>
      </c>
      <c r="AB167" s="1">
        <f t="shared" si="72"/>
        <v>0</v>
      </c>
      <c r="AD167" s="1">
        <f t="shared" si="73"/>
        <v>0</v>
      </c>
      <c r="AE167" s="1">
        <f t="shared" si="74"/>
        <v>1</v>
      </c>
      <c r="AF167" s="1">
        <f t="shared" si="59"/>
        <v>0</v>
      </c>
      <c r="AG167" s="1">
        <f t="shared" si="60"/>
        <v>1</v>
      </c>
      <c r="AH167" s="1">
        <f t="shared" si="61"/>
        <v>0</v>
      </c>
      <c r="AI167" s="1">
        <f t="shared" si="62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930</v>
      </c>
      <c r="E168" s="16" t="s">
        <v>172</v>
      </c>
      <c r="F168" s="16" t="s">
        <v>947</v>
      </c>
      <c r="G168" s="16" t="s">
        <v>39</v>
      </c>
      <c r="H168" s="16" t="s">
        <v>368</v>
      </c>
      <c r="I168" s="15" t="s">
        <v>890</v>
      </c>
      <c r="J168" s="15">
        <v>18</v>
      </c>
      <c r="K168" s="10" t="s">
        <v>709</v>
      </c>
      <c r="L168" s="10" t="s">
        <v>704</v>
      </c>
      <c r="M168" s="19" t="s">
        <v>978</v>
      </c>
      <c r="N168" s="17"/>
      <c r="Q168" s="16"/>
      <c r="S168" s="1">
        <f t="shared" si="63"/>
        <v>0</v>
      </c>
      <c r="T168" s="1">
        <f t="shared" si="64"/>
        <v>0</v>
      </c>
      <c r="U168" s="1">
        <f t="shared" si="65"/>
        <v>0</v>
      </c>
      <c r="V168" s="1">
        <f t="shared" si="66"/>
        <v>0</v>
      </c>
      <c r="W168" s="1">
        <f t="shared" si="67"/>
        <v>0</v>
      </c>
      <c r="X168" s="1">
        <f t="shared" si="68"/>
        <v>0</v>
      </c>
      <c r="Y168" s="1">
        <f t="shared" si="69"/>
        <v>0</v>
      </c>
      <c r="Z168" s="1">
        <f t="shared" si="70"/>
        <v>0</v>
      </c>
      <c r="AA168" s="1">
        <f t="shared" si="71"/>
        <v>0</v>
      </c>
      <c r="AB168" s="1">
        <f t="shared" si="72"/>
        <v>0</v>
      </c>
      <c r="AD168" s="1">
        <f t="shared" si="73"/>
        <v>0</v>
      </c>
      <c r="AE168" s="1">
        <f t="shared" si="74"/>
        <v>0</v>
      </c>
      <c r="AF168" s="1">
        <f t="shared" si="59"/>
        <v>0</v>
      </c>
      <c r="AG168" s="1">
        <f t="shared" si="60"/>
        <v>0</v>
      </c>
      <c r="AH168" s="1">
        <f t="shared" si="61"/>
        <v>0</v>
      </c>
      <c r="AI168" s="1">
        <f t="shared" si="62"/>
        <v>1</v>
      </c>
    </row>
    <row r="169" spans="1:35" ht="14.25" customHeight="1" x14ac:dyDescent="0.25">
      <c r="A169" s="47">
        <v>0</v>
      </c>
      <c r="B169" s="47">
        <v>1</v>
      </c>
      <c r="C169" s="47">
        <v>3</v>
      </c>
      <c r="D169" s="48" t="s">
        <v>1274</v>
      </c>
      <c r="E169" s="48" t="s">
        <v>172</v>
      </c>
      <c r="F169" s="48" t="s">
        <v>1691</v>
      </c>
      <c r="G169" s="48" t="s">
        <v>39</v>
      </c>
      <c r="H169" s="48" t="s">
        <v>778</v>
      </c>
      <c r="I169" s="47" t="s">
        <v>1275</v>
      </c>
      <c r="J169" s="47">
        <v>11</v>
      </c>
      <c r="K169" s="49" t="s">
        <v>729</v>
      </c>
      <c r="L169" s="49" t="s">
        <v>696</v>
      </c>
      <c r="M169" s="50" t="s">
        <v>1412</v>
      </c>
      <c r="N169" s="50" t="s">
        <v>1749</v>
      </c>
      <c r="O169" s="51"/>
      <c r="P169" s="51"/>
      <c r="Q169" s="48"/>
      <c r="S169" s="1">
        <f t="shared" si="63"/>
        <v>0</v>
      </c>
      <c r="T169" s="1">
        <f t="shared" si="64"/>
        <v>0</v>
      </c>
      <c r="U169" s="1">
        <f t="shared" si="65"/>
        <v>0</v>
      </c>
      <c r="V169" s="1">
        <f t="shared" si="66"/>
        <v>0</v>
      </c>
      <c r="W169" s="1">
        <f t="shared" si="67"/>
        <v>0</v>
      </c>
      <c r="X169" s="1">
        <f t="shared" si="68"/>
        <v>0</v>
      </c>
      <c r="Y169" s="1">
        <f t="shared" si="69"/>
        <v>0</v>
      </c>
      <c r="Z169" s="1">
        <f t="shared" si="70"/>
        <v>0</v>
      </c>
      <c r="AA169" s="1">
        <f t="shared" si="71"/>
        <v>0</v>
      </c>
      <c r="AB169" s="1">
        <f t="shared" si="72"/>
        <v>0</v>
      </c>
      <c r="AD169" s="1">
        <f t="shared" si="73"/>
        <v>0</v>
      </c>
      <c r="AE169" s="1">
        <f t="shared" si="74"/>
        <v>0</v>
      </c>
      <c r="AF169" s="1">
        <f t="shared" si="59"/>
        <v>0</v>
      </c>
      <c r="AG169" s="1">
        <f t="shared" si="60"/>
        <v>0</v>
      </c>
      <c r="AH169" s="1">
        <f t="shared" si="61"/>
        <v>0</v>
      </c>
      <c r="AI169" s="1">
        <f t="shared" si="62"/>
        <v>1</v>
      </c>
    </row>
    <row r="170" spans="1:35" ht="14.25" customHeight="1" x14ac:dyDescent="0.25">
      <c r="A170" s="34">
        <v>0</v>
      </c>
      <c r="B170" s="34">
        <v>1</v>
      </c>
      <c r="C170" s="34">
        <v>4</v>
      </c>
      <c r="D170" s="35" t="s">
        <v>1003</v>
      </c>
      <c r="E170" s="35" t="s">
        <v>779</v>
      </c>
      <c r="F170" s="35" t="s">
        <v>1104</v>
      </c>
      <c r="G170" s="35" t="s">
        <v>202</v>
      </c>
      <c r="H170" s="35" t="s">
        <v>357</v>
      </c>
      <c r="I170" s="34" t="s">
        <v>1004</v>
      </c>
      <c r="J170" s="34">
        <v>2</v>
      </c>
      <c r="K170" s="36" t="s">
        <v>963</v>
      </c>
      <c r="L170" s="36" t="s">
        <v>700</v>
      </c>
      <c r="M170" s="37" t="s">
        <v>1413</v>
      </c>
      <c r="N170" s="37" t="s">
        <v>1742</v>
      </c>
      <c r="O170" s="38">
        <v>1</v>
      </c>
      <c r="P170" s="38">
        <v>1</v>
      </c>
      <c r="Q170" s="35"/>
      <c r="S170" s="1">
        <f t="shared" si="63"/>
        <v>0</v>
      </c>
      <c r="T170" s="1">
        <f t="shared" si="64"/>
        <v>1</v>
      </c>
      <c r="U170" s="1">
        <f t="shared" si="65"/>
        <v>0</v>
      </c>
      <c r="V170" s="1">
        <f t="shared" si="66"/>
        <v>0</v>
      </c>
      <c r="W170" s="1">
        <f t="shared" si="67"/>
        <v>0</v>
      </c>
      <c r="X170" s="1">
        <f t="shared" si="68"/>
        <v>0</v>
      </c>
      <c r="Y170" s="1">
        <f t="shared" si="69"/>
        <v>0</v>
      </c>
      <c r="Z170" s="1">
        <f t="shared" si="70"/>
        <v>0</v>
      </c>
      <c r="AA170" s="1">
        <f t="shared" si="71"/>
        <v>0</v>
      </c>
      <c r="AB170" s="1">
        <f t="shared" si="72"/>
        <v>0</v>
      </c>
      <c r="AD170" s="1">
        <f t="shared" si="73"/>
        <v>1</v>
      </c>
      <c r="AE170" s="1">
        <f t="shared" si="74"/>
        <v>0</v>
      </c>
      <c r="AF170" s="1">
        <f t="shared" si="59"/>
        <v>1</v>
      </c>
      <c r="AG170" s="1">
        <f t="shared" si="60"/>
        <v>0</v>
      </c>
      <c r="AH170" s="1">
        <f t="shared" si="61"/>
        <v>1</v>
      </c>
      <c r="AI170" s="1">
        <f t="shared" si="62"/>
        <v>0</v>
      </c>
    </row>
    <row r="171" spans="1:35" ht="14.25" customHeight="1" x14ac:dyDescent="0.25">
      <c r="A171" s="47">
        <v>0</v>
      </c>
      <c r="B171" s="47">
        <v>1</v>
      </c>
      <c r="C171" s="47">
        <v>4</v>
      </c>
      <c r="D171" s="48" t="s">
        <v>50</v>
      </c>
      <c r="E171" s="48" t="s">
        <v>779</v>
      </c>
      <c r="F171" s="48" t="s">
        <v>195</v>
      </c>
      <c r="G171" s="48" t="s">
        <v>196</v>
      </c>
      <c r="H171" s="48" t="s">
        <v>357</v>
      </c>
      <c r="I171" s="47" t="s">
        <v>390</v>
      </c>
      <c r="J171" s="47">
        <v>9</v>
      </c>
      <c r="K171" s="49" t="s">
        <v>963</v>
      </c>
      <c r="L171" s="49" t="s">
        <v>701</v>
      </c>
      <c r="M171" s="50" t="s">
        <v>976</v>
      </c>
      <c r="N171" s="50" t="s">
        <v>1751</v>
      </c>
      <c r="O171" s="51"/>
      <c r="P171" s="51"/>
      <c r="Q171" s="48"/>
      <c r="S171" s="1">
        <f t="shared" si="63"/>
        <v>0</v>
      </c>
      <c r="T171" s="1">
        <f t="shared" si="64"/>
        <v>0</v>
      </c>
      <c r="U171" s="1">
        <f t="shared" si="65"/>
        <v>0</v>
      </c>
      <c r="V171" s="1">
        <f t="shared" si="66"/>
        <v>0</v>
      </c>
      <c r="W171" s="1">
        <f t="shared" si="67"/>
        <v>0</v>
      </c>
      <c r="X171" s="1">
        <f t="shared" si="68"/>
        <v>0</v>
      </c>
      <c r="Y171" s="1">
        <f t="shared" si="69"/>
        <v>0</v>
      </c>
      <c r="Z171" s="1">
        <f t="shared" si="70"/>
        <v>0</v>
      </c>
      <c r="AA171" s="1">
        <f t="shared" si="71"/>
        <v>1</v>
      </c>
      <c r="AB171" s="1">
        <f t="shared" si="72"/>
        <v>0</v>
      </c>
      <c r="AD171" s="1">
        <f t="shared" si="73"/>
        <v>0</v>
      </c>
      <c r="AE171" s="1">
        <f t="shared" si="74"/>
        <v>0</v>
      </c>
      <c r="AF171" s="1">
        <f t="shared" si="59"/>
        <v>0</v>
      </c>
      <c r="AG171" s="1">
        <f t="shared" si="60"/>
        <v>0</v>
      </c>
      <c r="AH171" s="1">
        <f t="shared" si="61"/>
        <v>0</v>
      </c>
      <c r="AI171" s="1">
        <f t="shared" si="62"/>
        <v>1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339</v>
      </c>
      <c r="G172" s="48" t="s">
        <v>215</v>
      </c>
      <c r="H172" s="48" t="s">
        <v>357</v>
      </c>
      <c r="I172" s="47" t="s">
        <v>487</v>
      </c>
      <c r="J172" s="47">
        <v>1</v>
      </c>
      <c r="K172" s="49" t="s">
        <v>963</v>
      </c>
      <c r="L172" s="49" t="s">
        <v>696</v>
      </c>
      <c r="M172" s="50" t="s">
        <v>698</v>
      </c>
      <c r="N172" s="50" t="s">
        <v>1750</v>
      </c>
      <c r="O172" s="51"/>
      <c r="P172" s="51"/>
      <c r="Q172" s="48"/>
      <c r="S172" s="1">
        <f t="shared" si="63"/>
        <v>1</v>
      </c>
      <c r="T172" s="1">
        <f t="shared" si="64"/>
        <v>0</v>
      </c>
      <c r="U172" s="1">
        <f t="shared" si="65"/>
        <v>0</v>
      </c>
      <c r="V172" s="1">
        <f t="shared" si="66"/>
        <v>0</v>
      </c>
      <c r="W172" s="1">
        <f t="shared" si="67"/>
        <v>0</v>
      </c>
      <c r="X172" s="1">
        <f t="shared" si="68"/>
        <v>0</v>
      </c>
      <c r="Y172" s="1">
        <f t="shared" si="69"/>
        <v>0</v>
      </c>
      <c r="Z172" s="1">
        <f t="shared" si="70"/>
        <v>0</v>
      </c>
      <c r="AA172" s="1">
        <f t="shared" si="71"/>
        <v>0</v>
      </c>
      <c r="AB172" s="1">
        <f t="shared" si="72"/>
        <v>0</v>
      </c>
      <c r="AD172" s="1">
        <f t="shared" si="73"/>
        <v>0</v>
      </c>
      <c r="AE172" s="1">
        <f t="shared" si="74"/>
        <v>0</v>
      </c>
      <c r="AF172" s="1">
        <f t="shared" si="59"/>
        <v>0</v>
      </c>
      <c r="AG172" s="1">
        <f t="shared" si="60"/>
        <v>0</v>
      </c>
      <c r="AH172" s="1">
        <f t="shared" si="61"/>
        <v>0</v>
      </c>
      <c r="AI172" s="1">
        <f t="shared" si="62"/>
        <v>1</v>
      </c>
    </row>
    <row r="173" spans="1:35" ht="14.25" customHeight="1" x14ac:dyDescent="0.25">
      <c r="A173" s="15">
        <v>0</v>
      </c>
      <c r="B173" s="15">
        <v>1</v>
      </c>
      <c r="C173" s="15">
        <v>4</v>
      </c>
      <c r="D173" s="16" t="s">
        <v>891</v>
      </c>
      <c r="E173" s="16" t="s">
        <v>779</v>
      </c>
      <c r="F173" s="16" t="s">
        <v>892</v>
      </c>
      <c r="G173" s="16" t="s">
        <v>39</v>
      </c>
      <c r="H173" s="16" t="s">
        <v>893</v>
      </c>
      <c r="I173" s="15" t="s">
        <v>957</v>
      </c>
      <c r="J173" s="15">
        <v>17</v>
      </c>
      <c r="K173" s="10" t="s">
        <v>710</v>
      </c>
      <c r="L173" s="10" t="s">
        <v>1153</v>
      </c>
      <c r="M173" s="19" t="s">
        <v>979</v>
      </c>
      <c r="N173" s="17"/>
      <c r="Q173" s="16"/>
      <c r="S173" s="1">
        <f t="shared" si="63"/>
        <v>0</v>
      </c>
      <c r="T173" s="1">
        <f t="shared" si="64"/>
        <v>0</v>
      </c>
      <c r="U173" s="1">
        <f t="shared" si="65"/>
        <v>0</v>
      </c>
      <c r="V173" s="1">
        <f t="shared" si="66"/>
        <v>0</v>
      </c>
      <c r="W173" s="1">
        <f t="shared" si="67"/>
        <v>0</v>
      </c>
      <c r="X173" s="1">
        <f t="shared" si="68"/>
        <v>0</v>
      </c>
      <c r="Y173" s="1">
        <f t="shared" si="69"/>
        <v>0</v>
      </c>
      <c r="Z173" s="1">
        <f t="shared" si="70"/>
        <v>0</v>
      </c>
      <c r="AA173" s="1">
        <f t="shared" si="71"/>
        <v>0</v>
      </c>
      <c r="AB173" s="1">
        <f t="shared" si="72"/>
        <v>0</v>
      </c>
      <c r="AD173" s="1">
        <f t="shared" si="73"/>
        <v>0</v>
      </c>
      <c r="AE173" s="1">
        <f t="shared" si="74"/>
        <v>0</v>
      </c>
      <c r="AF173" s="1">
        <f t="shared" si="59"/>
        <v>0</v>
      </c>
      <c r="AG173" s="1">
        <f t="shared" si="60"/>
        <v>0</v>
      </c>
      <c r="AH173" s="1">
        <f t="shared" si="61"/>
        <v>0</v>
      </c>
      <c r="AI173" s="1">
        <f t="shared" si="62"/>
        <v>1</v>
      </c>
    </row>
    <row r="174" spans="1:35" ht="14.25" customHeight="1" x14ac:dyDescent="0.25">
      <c r="A174" s="47">
        <v>0</v>
      </c>
      <c r="B174" s="47">
        <v>1</v>
      </c>
      <c r="C174" s="47">
        <v>5</v>
      </c>
      <c r="D174" s="48" t="s">
        <v>127</v>
      </c>
      <c r="E174" s="48" t="s">
        <v>531</v>
      </c>
      <c r="F174" s="48" t="s">
        <v>330</v>
      </c>
      <c r="G174" s="48" t="s">
        <v>303</v>
      </c>
      <c r="H174" s="48" t="s">
        <v>357</v>
      </c>
      <c r="I174" s="47" t="s">
        <v>479</v>
      </c>
      <c r="J174" s="47">
        <v>99</v>
      </c>
      <c r="K174" s="49" t="s">
        <v>709</v>
      </c>
      <c r="L174" s="49" t="s">
        <v>696</v>
      </c>
      <c r="M174" s="50" t="s">
        <v>977</v>
      </c>
      <c r="N174" s="50" t="s">
        <v>1752</v>
      </c>
      <c r="O174" s="51"/>
      <c r="P174" s="51"/>
      <c r="Q174" s="48"/>
      <c r="S174" s="1">
        <f t="shared" si="63"/>
        <v>0</v>
      </c>
      <c r="T174" s="1">
        <f t="shared" si="64"/>
        <v>0</v>
      </c>
      <c r="U174" s="1">
        <f t="shared" si="65"/>
        <v>0</v>
      </c>
      <c r="V174" s="1">
        <f t="shared" si="66"/>
        <v>0</v>
      </c>
      <c r="W174" s="1">
        <f t="shared" si="67"/>
        <v>0</v>
      </c>
      <c r="X174" s="1">
        <f t="shared" si="68"/>
        <v>0</v>
      </c>
      <c r="Y174" s="1">
        <f t="shared" si="69"/>
        <v>0</v>
      </c>
      <c r="Z174" s="1">
        <f t="shared" si="70"/>
        <v>0</v>
      </c>
      <c r="AA174" s="1">
        <f t="shared" si="71"/>
        <v>0</v>
      </c>
      <c r="AB174" s="1">
        <f t="shared" si="72"/>
        <v>0</v>
      </c>
      <c r="AD174" s="1">
        <f t="shared" si="73"/>
        <v>0</v>
      </c>
      <c r="AE174" s="1">
        <f t="shared" si="74"/>
        <v>0</v>
      </c>
      <c r="AF174" s="1">
        <f t="shared" si="59"/>
        <v>0</v>
      </c>
      <c r="AG174" s="1">
        <f t="shared" si="60"/>
        <v>0</v>
      </c>
      <c r="AH174" s="1">
        <f t="shared" si="61"/>
        <v>0</v>
      </c>
      <c r="AI174" s="1">
        <f t="shared" si="62"/>
        <v>1</v>
      </c>
    </row>
    <row r="175" spans="1:35" ht="14.25" customHeight="1" x14ac:dyDescent="0.25">
      <c r="A175" s="34">
        <v>0</v>
      </c>
      <c r="B175" s="34">
        <v>1</v>
      </c>
      <c r="C175" s="34">
        <v>5</v>
      </c>
      <c r="D175" s="35" t="s">
        <v>1744</v>
      </c>
      <c r="E175" s="35" t="s">
        <v>168</v>
      </c>
      <c r="F175" s="35" t="s">
        <v>1745</v>
      </c>
      <c r="G175" s="35" t="s">
        <v>1746</v>
      </c>
      <c r="H175" s="35" t="s">
        <v>357</v>
      </c>
      <c r="I175" s="34" t="s">
        <v>1747</v>
      </c>
      <c r="J175" s="34">
        <v>2</v>
      </c>
      <c r="K175" s="36" t="s">
        <v>710</v>
      </c>
      <c r="L175" s="36"/>
      <c r="M175" s="37"/>
      <c r="N175" s="37" t="s">
        <v>1748</v>
      </c>
      <c r="O175" s="38">
        <v>1</v>
      </c>
      <c r="P175" s="38">
        <v>1</v>
      </c>
      <c r="Q175" s="35"/>
      <c r="S175" s="1">
        <f t="shared" si="63"/>
        <v>0</v>
      </c>
      <c r="T175" s="1">
        <f t="shared" si="64"/>
        <v>1</v>
      </c>
      <c r="U175" s="1">
        <f t="shared" si="65"/>
        <v>0</v>
      </c>
      <c r="V175" s="1">
        <f t="shared" si="66"/>
        <v>0</v>
      </c>
      <c r="W175" s="1">
        <f t="shared" si="67"/>
        <v>0</v>
      </c>
      <c r="X175" s="1">
        <f t="shared" si="68"/>
        <v>0</v>
      </c>
      <c r="Y175" s="1">
        <f t="shared" si="69"/>
        <v>0</v>
      </c>
      <c r="Z175" s="1">
        <f t="shared" si="70"/>
        <v>0</v>
      </c>
      <c r="AA175" s="1">
        <f t="shared" si="71"/>
        <v>0</v>
      </c>
      <c r="AB175" s="1">
        <f t="shared" si="72"/>
        <v>0</v>
      </c>
      <c r="AD175" s="1">
        <f t="shared" si="73"/>
        <v>1</v>
      </c>
      <c r="AE175" s="1">
        <f t="shared" si="74"/>
        <v>0</v>
      </c>
      <c r="AF175" s="1">
        <f t="shared" si="59"/>
        <v>1</v>
      </c>
      <c r="AG175" s="1">
        <f t="shared" si="60"/>
        <v>0</v>
      </c>
      <c r="AH175" s="1">
        <f t="shared" si="61"/>
        <v>1</v>
      </c>
      <c r="AI175" s="1">
        <f t="shared" si="62"/>
        <v>0</v>
      </c>
    </row>
    <row r="176" spans="1:35" ht="14.25" customHeight="1" x14ac:dyDescent="0.25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582</v>
      </c>
      <c r="G176" s="48" t="s">
        <v>196</v>
      </c>
      <c r="H176" s="48" t="s">
        <v>357</v>
      </c>
      <c r="I176" s="47" t="s">
        <v>440</v>
      </c>
      <c r="J176" s="47">
        <v>9</v>
      </c>
      <c r="K176" s="49" t="s">
        <v>963</v>
      </c>
      <c r="L176" s="49" t="s">
        <v>703</v>
      </c>
      <c r="M176" s="50" t="s">
        <v>698</v>
      </c>
      <c r="N176" s="50" t="s">
        <v>1750</v>
      </c>
      <c r="O176" s="51"/>
      <c r="P176" s="51"/>
      <c r="Q176" s="48"/>
      <c r="S176" s="1">
        <f t="shared" si="63"/>
        <v>0</v>
      </c>
      <c r="T176" s="1">
        <f t="shared" si="64"/>
        <v>0</v>
      </c>
      <c r="U176" s="1">
        <f t="shared" si="65"/>
        <v>0</v>
      </c>
      <c r="V176" s="1">
        <f t="shared" si="66"/>
        <v>0</v>
      </c>
      <c r="W176" s="1">
        <f t="shared" si="67"/>
        <v>0</v>
      </c>
      <c r="X176" s="1">
        <f t="shared" si="68"/>
        <v>0</v>
      </c>
      <c r="Y176" s="1">
        <f t="shared" si="69"/>
        <v>0</v>
      </c>
      <c r="Z176" s="1">
        <f t="shared" si="70"/>
        <v>0</v>
      </c>
      <c r="AA176" s="1">
        <f t="shared" si="71"/>
        <v>1</v>
      </c>
      <c r="AB176" s="1">
        <f t="shared" si="72"/>
        <v>0</v>
      </c>
      <c r="AD176" s="1">
        <f t="shared" si="73"/>
        <v>0</v>
      </c>
      <c r="AE176" s="1">
        <f t="shared" si="74"/>
        <v>0</v>
      </c>
      <c r="AF176" s="1">
        <f t="shared" si="59"/>
        <v>0</v>
      </c>
      <c r="AG176" s="1">
        <f t="shared" si="60"/>
        <v>0</v>
      </c>
      <c r="AH176" s="1">
        <f t="shared" si="61"/>
        <v>0</v>
      </c>
      <c r="AI176" s="1">
        <f t="shared" si="62"/>
        <v>1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331</v>
      </c>
      <c r="G177" s="48" t="s">
        <v>182</v>
      </c>
      <c r="H177" s="48" t="s">
        <v>357</v>
      </c>
      <c r="I177" s="47" t="s">
        <v>480</v>
      </c>
      <c r="J177" s="47">
        <v>10</v>
      </c>
      <c r="K177" s="49" t="s">
        <v>965</v>
      </c>
      <c r="L177" s="49" t="s">
        <v>701</v>
      </c>
      <c r="M177" s="50" t="s">
        <v>698</v>
      </c>
      <c r="N177" s="50" t="s">
        <v>1755</v>
      </c>
      <c r="O177" s="51"/>
      <c r="P177" s="51"/>
      <c r="Q177" s="48"/>
      <c r="S177" s="1">
        <f t="shared" si="63"/>
        <v>0</v>
      </c>
      <c r="T177" s="1">
        <f t="shared" si="64"/>
        <v>0</v>
      </c>
      <c r="U177" s="1">
        <f t="shared" si="65"/>
        <v>0</v>
      </c>
      <c r="V177" s="1">
        <f t="shared" si="66"/>
        <v>0</v>
      </c>
      <c r="W177" s="1">
        <f t="shared" si="67"/>
        <v>0</v>
      </c>
      <c r="X177" s="1">
        <f t="shared" si="68"/>
        <v>0</v>
      </c>
      <c r="Y177" s="1">
        <f t="shared" si="69"/>
        <v>0</v>
      </c>
      <c r="Z177" s="1">
        <f t="shared" si="70"/>
        <v>0</v>
      </c>
      <c r="AA177" s="1">
        <f t="shared" si="71"/>
        <v>0</v>
      </c>
      <c r="AB177" s="1">
        <f t="shared" si="72"/>
        <v>1</v>
      </c>
      <c r="AD177" s="1">
        <f t="shared" si="73"/>
        <v>0</v>
      </c>
      <c r="AE177" s="1">
        <f t="shared" si="74"/>
        <v>0</v>
      </c>
      <c r="AF177" s="1">
        <f t="shared" si="59"/>
        <v>0</v>
      </c>
      <c r="AG177" s="1">
        <f t="shared" si="60"/>
        <v>0</v>
      </c>
      <c r="AH177" s="1">
        <f t="shared" si="61"/>
        <v>0</v>
      </c>
      <c r="AI177" s="1">
        <f t="shared" si="62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553</v>
      </c>
      <c r="G178" s="48" t="s">
        <v>222</v>
      </c>
      <c r="H178" s="48" t="s">
        <v>357</v>
      </c>
      <c r="I178" s="47" t="s">
        <v>545</v>
      </c>
      <c r="J178" s="47">
        <v>8</v>
      </c>
      <c r="K178" s="49" t="s">
        <v>963</v>
      </c>
      <c r="L178" s="49" t="s">
        <v>701</v>
      </c>
      <c r="M178" s="50" t="s">
        <v>698</v>
      </c>
      <c r="N178" s="50" t="s">
        <v>1750</v>
      </c>
      <c r="O178" s="51"/>
      <c r="P178" s="51"/>
      <c r="Q178" s="48"/>
      <c r="S178" s="1">
        <f t="shared" si="63"/>
        <v>0</v>
      </c>
      <c r="T178" s="1">
        <f t="shared" si="64"/>
        <v>0</v>
      </c>
      <c r="U178" s="1">
        <f t="shared" si="65"/>
        <v>0</v>
      </c>
      <c r="V178" s="1">
        <f t="shared" si="66"/>
        <v>0</v>
      </c>
      <c r="W178" s="1">
        <f t="shared" si="67"/>
        <v>0</v>
      </c>
      <c r="X178" s="1">
        <f t="shared" si="68"/>
        <v>0</v>
      </c>
      <c r="Y178" s="1">
        <f t="shared" si="69"/>
        <v>0</v>
      </c>
      <c r="Z178" s="1">
        <f t="shared" si="70"/>
        <v>1</v>
      </c>
      <c r="AA178" s="1">
        <f t="shared" si="71"/>
        <v>0</v>
      </c>
      <c r="AB178" s="1">
        <f t="shared" si="72"/>
        <v>0</v>
      </c>
      <c r="AD178" s="1">
        <f t="shared" si="73"/>
        <v>0</v>
      </c>
      <c r="AE178" s="1">
        <f t="shared" si="74"/>
        <v>0</v>
      </c>
      <c r="AF178" s="1">
        <f t="shared" si="59"/>
        <v>0</v>
      </c>
      <c r="AG178" s="1">
        <f t="shared" si="60"/>
        <v>0</v>
      </c>
      <c r="AH178" s="1">
        <f t="shared" si="61"/>
        <v>0</v>
      </c>
      <c r="AI178" s="1">
        <f t="shared" si="62"/>
        <v>1</v>
      </c>
    </row>
    <row r="179" spans="1:35" ht="14.25" customHeight="1" x14ac:dyDescent="0.25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340</v>
      </c>
      <c r="G179" s="48" t="s">
        <v>341</v>
      </c>
      <c r="H179" s="48" t="s">
        <v>357</v>
      </c>
      <c r="I179" s="47" t="s">
        <v>489</v>
      </c>
      <c r="J179" s="47">
        <v>10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Q179" s="48"/>
      <c r="S179" s="1">
        <f t="shared" si="63"/>
        <v>0</v>
      </c>
      <c r="T179" s="1">
        <f t="shared" si="64"/>
        <v>0</v>
      </c>
      <c r="U179" s="1">
        <f t="shared" si="65"/>
        <v>0</v>
      </c>
      <c r="V179" s="1">
        <f t="shared" si="66"/>
        <v>0</v>
      </c>
      <c r="W179" s="1">
        <f t="shared" si="67"/>
        <v>0</v>
      </c>
      <c r="X179" s="1">
        <f t="shared" si="68"/>
        <v>0</v>
      </c>
      <c r="Y179" s="1">
        <f t="shared" si="69"/>
        <v>0</v>
      </c>
      <c r="Z179" s="1">
        <f t="shared" si="70"/>
        <v>0</v>
      </c>
      <c r="AA179" s="1">
        <f t="shared" si="71"/>
        <v>0</v>
      </c>
      <c r="AB179" s="1">
        <f t="shared" si="72"/>
        <v>1</v>
      </c>
      <c r="AD179" s="1">
        <f t="shared" si="73"/>
        <v>0</v>
      </c>
      <c r="AE179" s="1">
        <f t="shared" si="74"/>
        <v>0</v>
      </c>
      <c r="AF179" s="1">
        <f t="shared" si="59"/>
        <v>0</v>
      </c>
      <c r="AG179" s="1">
        <f t="shared" si="60"/>
        <v>0</v>
      </c>
      <c r="AH179" s="1">
        <f t="shared" si="61"/>
        <v>0</v>
      </c>
      <c r="AI179" s="1">
        <f t="shared" si="62"/>
        <v>0</v>
      </c>
    </row>
    <row r="180" spans="1:35" ht="14.25" customHeight="1" x14ac:dyDescent="0.25">
      <c r="A180" s="47">
        <v>0</v>
      </c>
      <c r="B180" s="47">
        <v>1</v>
      </c>
      <c r="C180" s="47">
        <v>5</v>
      </c>
      <c r="D180" s="48" t="s">
        <v>1652</v>
      </c>
      <c r="E180" s="48" t="s">
        <v>168</v>
      </c>
      <c r="F180" s="48" t="s">
        <v>872</v>
      </c>
      <c r="G180" s="48" t="s">
        <v>1679</v>
      </c>
      <c r="H180" s="48" t="s">
        <v>357</v>
      </c>
      <c r="I180" s="47" t="s">
        <v>873</v>
      </c>
      <c r="J180" s="47">
        <v>1</v>
      </c>
      <c r="K180" s="49" t="s">
        <v>729</v>
      </c>
      <c r="L180" s="49" t="s">
        <v>1722</v>
      </c>
      <c r="M180" s="50" t="s">
        <v>1414</v>
      </c>
      <c r="N180" s="50" t="s">
        <v>1750</v>
      </c>
      <c r="O180" s="51"/>
      <c r="P180" s="51"/>
      <c r="Q180" s="48"/>
      <c r="S180" s="1">
        <f t="shared" si="63"/>
        <v>1</v>
      </c>
      <c r="T180" s="1">
        <f t="shared" si="64"/>
        <v>0</v>
      </c>
      <c r="U180" s="1">
        <f t="shared" si="65"/>
        <v>0</v>
      </c>
      <c r="V180" s="1">
        <f t="shared" si="66"/>
        <v>0</v>
      </c>
      <c r="W180" s="1">
        <f t="shared" si="67"/>
        <v>0</v>
      </c>
      <c r="X180" s="1">
        <f t="shared" si="68"/>
        <v>0</v>
      </c>
      <c r="Y180" s="1">
        <f t="shared" si="69"/>
        <v>0</v>
      </c>
      <c r="Z180" s="1">
        <f t="shared" si="70"/>
        <v>0</v>
      </c>
      <c r="AA180" s="1">
        <f t="shared" si="71"/>
        <v>0</v>
      </c>
      <c r="AB180" s="1">
        <f t="shared" si="72"/>
        <v>0</v>
      </c>
      <c r="AD180" s="1">
        <f t="shared" si="73"/>
        <v>0</v>
      </c>
      <c r="AE180" s="1">
        <f t="shared" si="74"/>
        <v>0</v>
      </c>
      <c r="AF180" s="1">
        <f t="shared" si="59"/>
        <v>0</v>
      </c>
      <c r="AG180" s="1">
        <f t="shared" si="60"/>
        <v>0</v>
      </c>
      <c r="AH180" s="1">
        <f t="shared" si="61"/>
        <v>0</v>
      </c>
      <c r="AI180" s="1">
        <f t="shared" si="62"/>
        <v>1</v>
      </c>
    </row>
    <row r="181" spans="1:35" ht="14.25" customHeight="1" x14ac:dyDescent="0.25">
      <c r="A181" s="34">
        <v>0</v>
      </c>
      <c r="B181" s="34">
        <v>1</v>
      </c>
      <c r="C181" s="34">
        <v>5</v>
      </c>
      <c r="D181" s="35" t="s">
        <v>894</v>
      </c>
      <c r="E181" s="35" t="s">
        <v>895</v>
      </c>
      <c r="F181" s="35" t="s">
        <v>1102</v>
      </c>
      <c r="G181" s="35" t="s">
        <v>39</v>
      </c>
      <c r="H181" s="35" t="s">
        <v>896</v>
      </c>
      <c r="I181" s="34" t="s">
        <v>897</v>
      </c>
      <c r="J181" s="34">
        <v>16</v>
      </c>
      <c r="K181" s="36" t="s">
        <v>710</v>
      </c>
      <c r="L181" s="36" t="s">
        <v>699</v>
      </c>
      <c r="M181" s="37" t="s">
        <v>977</v>
      </c>
      <c r="N181" s="37" t="s">
        <v>1748</v>
      </c>
      <c r="O181" s="38">
        <v>1</v>
      </c>
      <c r="P181" s="38">
        <v>1</v>
      </c>
      <c r="Q181" s="39" t="s">
        <v>1909</v>
      </c>
      <c r="S181" s="1">
        <f t="shared" si="63"/>
        <v>0</v>
      </c>
      <c r="T181" s="1">
        <f t="shared" si="64"/>
        <v>0</v>
      </c>
      <c r="U181" s="1">
        <f t="shared" si="65"/>
        <v>0</v>
      </c>
      <c r="V181" s="1">
        <f t="shared" si="66"/>
        <v>0</v>
      </c>
      <c r="W181" s="1">
        <f t="shared" si="67"/>
        <v>0</v>
      </c>
      <c r="X181" s="1">
        <f t="shared" si="68"/>
        <v>0</v>
      </c>
      <c r="Y181" s="1">
        <f t="shared" si="69"/>
        <v>0</v>
      </c>
      <c r="Z181" s="1">
        <f t="shared" si="70"/>
        <v>0</v>
      </c>
      <c r="AA181" s="1">
        <f t="shared" si="71"/>
        <v>0</v>
      </c>
      <c r="AB181" s="1">
        <f t="shared" si="72"/>
        <v>0</v>
      </c>
      <c r="AD181" s="1">
        <f t="shared" si="73"/>
        <v>1</v>
      </c>
      <c r="AE181" s="1">
        <f t="shared" si="74"/>
        <v>0</v>
      </c>
      <c r="AF181" s="1">
        <f t="shared" si="59"/>
        <v>1</v>
      </c>
      <c r="AG181" s="1">
        <f t="shared" si="60"/>
        <v>0</v>
      </c>
      <c r="AH181" s="1">
        <f t="shared" si="61"/>
        <v>1</v>
      </c>
      <c r="AI181" s="1">
        <f t="shared" si="62"/>
        <v>0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107</v>
      </c>
      <c r="E182" s="35" t="s">
        <v>175</v>
      </c>
      <c r="F182" s="35" t="s">
        <v>307</v>
      </c>
      <c r="G182" s="35" t="s">
        <v>39</v>
      </c>
      <c r="H182" s="35" t="s">
        <v>362</v>
      </c>
      <c r="I182" s="34" t="s">
        <v>457</v>
      </c>
      <c r="J182" s="34">
        <v>14</v>
      </c>
      <c r="K182" s="36" t="s">
        <v>963</v>
      </c>
      <c r="L182" s="36" t="s">
        <v>700</v>
      </c>
      <c r="M182" s="37" t="s">
        <v>977</v>
      </c>
      <c r="N182" s="37" t="s">
        <v>1758</v>
      </c>
      <c r="O182" s="38">
        <v>1</v>
      </c>
      <c r="P182" s="38"/>
      <c r="Q182" s="35"/>
      <c r="S182" s="1">
        <f t="shared" si="63"/>
        <v>0</v>
      </c>
      <c r="T182" s="1">
        <f t="shared" si="64"/>
        <v>0</v>
      </c>
      <c r="U182" s="1">
        <f t="shared" si="65"/>
        <v>0</v>
      </c>
      <c r="V182" s="1">
        <f t="shared" si="66"/>
        <v>0</v>
      </c>
      <c r="W182" s="1">
        <f t="shared" si="67"/>
        <v>0</v>
      </c>
      <c r="X182" s="1">
        <f t="shared" si="68"/>
        <v>0</v>
      </c>
      <c r="Y182" s="1">
        <f t="shared" si="69"/>
        <v>0</v>
      </c>
      <c r="Z182" s="1">
        <f t="shared" si="70"/>
        <v>0</v>
      </c>
      <c r="AA182" s="1">
        <f t="shared" si="71"/>
        <v>0</v>
      </c>
      <c r="AB182" s="1">
        <f t="shared" si="72"/>
        <v>0</v>
      </c>
      <c r="AD182" s="1">
        <f t="shared" si="73"/>
        <v>0</v>
      </c>
      <c r="AE182" s="1">
        <f t="shared" si="74"/>
        <v>1</v>
      </c>
      <c r="AF182" s="1">
        <f t="shared" si="59"/>
        <v>0</v>
      </c>
      <c r="AG182" s="1">
        <f t="shared" si="60"/>
        <v>1</v>
      </c>
      <c r="AH182" s="1">
        <f t="shared" si="61"/>
        <v>0</v>
      </c>
      <c r="AI182" s="1">
        <f t="shared" si="62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518</v>
      </c>
      <c r="E183" s="48" t="s">
        <v>174</v>
      </c>
      <c r="F183" s="48" t="s">
        <v>554</v>
      </c>
      <c r="G183" s="48" t="s">
        <v>39</v>
      </c>
      <c r="H183" s="48" t="s">
        <v>365</v>
      </c>
      <c r="I183" s="47" t="s">
        <v>1124</v>
      </c>
      <c r="J183" s="47">
        <v>12</v>
      </c>
      <c r="K183" s="49" t="s">
        <v>710</v>
      </c>
      <c r="L183" s="49">
        <v>35</v>
      </c>
      <c r="M183" s="50" t="s">
        <v>977</v>
      </c>
      <c r="N183" s="50" t="s">
        <v>1817</v>
      </c>
      <c r="O183" s="51"/>
      <c r="P183" s="51"/>
      <c r="Q183" s="48"/>
      <c r="S183" s="1">
        <f t="shared" si="63"/>
        <v>0</v>
      </c>
      <c r="T183" s="1">
        <f t="shared" si="64"/>
        <v>0</v>
      </c>
      <c r="U183" s="1">
        <f t="shared" si="65"/>
        <v>0</v>
      </c>
      <c r="V183" s="1">
        <f t="shared" si="66"/>
        <v>0</v>
      </c>
      <c r="W183" s="1">
        <f t="shared" si="67"/>
        <v>0</v>
      </c>
      <c r="X183" s="1">
        <f t="shared" si="68"/>
        <v>0</v>
      </c>
      <c r="Y183" s="1">
        <f t="shared" si="69"/>
        <v>0</v>
      </c>
      <c r="Z183" s="1">
        <f t="shared" si="70"/>
        <v>0</v>
      </c>
      <c r="AA183" s="1">
        <f t="shared" si="71"/>
        <v>0</v>
      </c>
      <c r="AB183" s="1">
        <f t="shared" si="72"/>
        <v>0</v>
      </c>
      <c r="AD183" s="1">
        <f t="shared" si="73"/>
        <v>0</v>
      </c>
      <c r="AE183" s="1">
        <f t="shared" si="74"/>
        <v>0</v>
      </c>
      <c r="AF183" s="1">
        <f t="shared" si="59"/>
        <v>0</v>
      </c>
      <c r="AG183" s="1">
        <f t="shared" si="60"/>
        <v>0</v>
      </c>
      <c r="AH183" s="1">
        <f t="shared" si="61"/>
        <v>0</v>
      </c>
      <c r="AI183" s="1">
        <f t="shared" si="62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9" t="s">
        <v>1885</v>
      </c>
      <c r="G184" s="35" t="s">
        <v>199</v>
      </c>
      <c r="H184" s="35" t="s">
        <v>357</v>
      </c>
      <c r="I184" s="34" t="s">
        <v>503</v>
      </c>
      <c r="J184" s="34">
        <v>99</v>
      </c>
      <c r="K184" s="36" t="s">
        <v>963</v>
      </c>
      <c r="L184" s="36" t="s">
        <v>700</v>
      </c>
      <c r="M184" s="37" t="s">
        <v>977</v>
      </c>
      <c r="N184" s="37" t="s">
        <v>1763</v>
      </c>
      <c r="O184" s="38">
        <v>1</v>
      </c>
      <c r="P184" s="38"/>
      <c r="Q184" s="35"/>
      <c r="S184" s="1">
        <f t="shared" si="63"/>
        <v>0</v>
      </c>
      <c r="T184" s="1">
        <f t="shared" si="64"/>
        <v>0</v>
      </c>
      <c r="U184" s="1">
        <f t="shared" si="65"/>
        <v>0</v>
      </c>
      <c r="V184" s="1">
        <f t="shared" si="66"/>
        <v>0</v>
      </c>
      <c r="W184" s="1">
        <f t="shared" si="67"/>
        <v>0</v>
      </c>
      <c r="X184" s="1">
        <f t="shared" si="68"/>
        <v>0</v>
      </c>
      <c r="Y184" s="1">
        <f t="shared" si="69"/>
        <v>0</v>
      </c>
      <c r="Z184" s="1">
        <f t="shared" si="70"/>
        <v>0</v>
      </c>
      <c r="AA184" s="1">
        <f t="shared" si="71"/>
        <v>0</v>
      </c>
      <c r="AB184" s="1">
        <f t="shared" si="72"/>
        <v>0</v>
      </c>
      <c r="AD184" s="1">
        <f t="shared" si="73"/>
        <v>0</v>
      </c>
      <c r="AE184" s="1">
        <f t="shared" si="74"/>
        <v>1</v>
      </c>
      <c r="AF184" s="1">
        <f t="shared" si="59"/>
        <v>0</v>
      </c>
      <c r="AG184" s="1">
        <f t="shared" si="60"/>
        <v>1</v>
      </c>
      <c r="AH184" s="1">
        <f t="shared" si="61"/>
        <v>0</v>
      </c>
      <c r="AI184" s="1">
        <f t="shared" si="62"/>
        <v>1</v>
      </c>
    </row>
    <row r="185" spans="1:35" ht="13.9" customHeight="1" x14ac:dyDescent="0.25">
      <c r="A185" s="47">
        <v>0</v>
      </c>
      <c r="B185" s="47">
        <v>1</v>
      </c>
      <c r="C185" s="47">
        <v>5</v>
      </c>
      <c r="D185" s="48" t="s">
        <v>654</v>
      </c>
      <c r="E185" s="48" t="s">
        <v>690</v>
      </c>
      <c r="F185" s="48" t="s">
        <v>650</v>
      </c>
      <c r="G185" s="48" t="s">
        <v>187</v>
      </c>
      <c r="H185" s="48" t="s">
        <v>357</v>
      </c>
      <c r="I185" s="47" t="s">
        <v>651</v>
      </c>
      <c r="J185" s="47">
        <v>99</v>
      </c>
      <c r="K185" s="49" t="s">
        <v>729</v>
      </c>
      <c r="L185" s="49" t="s">
        <v>700</v>
      </c>
      <c r="M185" s="50" t="s">
        <v>977</v>
      </c>
      <c r="N185" s="50" t="s">
        <v>1749</v>
      </c>
      <c r="O185" s="51"/>
      <c r="P185" s="51"/>
      <c r="Q185" s="48"/>
      <c r="S185" s="1">
        <f t="shared" si="63"/>
        <v>0</v>
      </c>
      <c r="T185" s="1">
        <f t="shared" si="64"/>
        <v>0</v>
      </c>
      <c r="U185" s="1">
        <f t="shared" si="65"/>
        <v>0</v>
      </c>
      <c r="V185" s="1">
        <f t="shared" si="66"/>
        <v>0</v>
      </c>
      <c r="W185" s="1">
        <f t="shared" si="67"/>
        <v>0</v>
      </c>
      <c r="X185" s="1">
        <f t="shared" si="68"/>
        <v>0</v>
      </c>
      <c r="Y185" s="1">
        <f t="shared" si="69"/>
        <v>0</v>
      </c>
      <c r="Z185" s="1">
        <f t="shared" si="70"/>
        <v>0</v>
      </c>
      <c r="AA185" s="1">
        <f t="shared" si="71"/>
        <v>0</v>
      </c>
      <c r="AB185" s="1">
        <f t="shared" si="72"/>
        <v>0</v>
      </c>
      <c r="AD185" s="1">
        <f t="shared" si="73"/>
        <v>0</v>
      </c>
      <c r="AE185" s="1">
        <f t="shared" si="74"/>
        <v>0</v>
      </c>
      <c r="AF185" s="1">
        <f t="shared" si="59"/>
        <v>0</v>
      </c>
      <c r="AG185" s="1">
        <f t="shared" si="60"/>
        <v>0</v>
      </c>
      <c r="AH185" s="1">
        <f t="shared" si="61"/>
        <v>0</v>
      </c>
      <c r="AI185" s="1">
        <f t="shared" si="62"/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1324</v>
      </c>
      <c r="E186" s="35" t="s">
        <v>168</v>
      </c>
      <c r="F186" s="35" t="s">
        <v>1325</v>
      </c>
      <c r="G186" s="35" t="s">
        <v>286</v>
      </c>
      <c r="H186" s="35" t="s">
        <v>357</v>
      </c>
      <c r="I186" s="34" t="s">
        <v>1326</v>
      </c>
      <c r="J186" s="34">
        <v>99</v>
      </c>
      <c r="K186" s="36" t="s">
        <v>709</v>
      </c>
      <c r="L186" s="36" t="s">
        <v>39</v>
      </c>
      <c r="M186" s="37" t="s">
        <v>39</v>
      </c>
      <c r="N186" s="37" t="s">
        <v>1748</v>
      </c>
      <c r="O186" s="38">
        <v>1</v>
      </c>
      <c r="P186" s="38">
        <v>1</v>
      </c>
      <c r="Q186" s="35"/>
      <c r="S186" s="1">
        <f t="shared" si="63"/>
        <v>0</v>
      </c>
      <c r="T186" s="1">
        <f t="shared" si="64"/>
        <v>0</v>
      </c>
      <c r="U186" s="1">
        <f t="shared" si="65"/>
        <v>0</v>
      </c>
      <c r="V186" s="1">
        <f t="shared" si="66"/>
        <v>0</v>
      </c>
      <c r="W186" s="1">
        <f t="shared" si="67"/>
        <v>0</v>
      </c>
      <c r="X186" s="1">
        <f t="shared" si="68"/>
        <v>0</v>
      </c>
      <c r="Y186" s="1">
        <f t="shared" si="69"/>
        <v>0</v>
      </c>
      <c r="Z186" s="1">
        <f t="shared" si="70"/>
        <v>0</v>
      </c>
      <c r="AA186" s="1">
        <f t="shared" si="71"/>
        <v>0</v>
      </c>
      <c r="AB186" s="1">
        <f t="shared" si="72"/>
        <v>0</v>
      </c>
      <c r="AD186" s="1">
        <f t="shared" si="73"/>
        <v>1</v>
      </c>
      <c r="AE186" s="1">
        <f t="shared" si="74"/>
        <v>0</v>
      </c>
      <c r="AF186" s="1">
        <f t="shared" si="59"/>
        <v>1</v>
      </c>
      <c r="AG186" s="1">
        <f t="shared" si="60"/>
        <v>0</v>
      </c>
      <c r="AH186" s="1">
        <f t="shared" si="61"/>
        <v>1</v>
      </c>
      <c r="AI186" s="1">
        <f t="shared" si="62"/>
        <v>0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899</v>
      </c>
      <c r="E187" s="48" t="s">
        <v>900</v>
      </c>
      <c r="F187" s="48" t="s">
        <v>941</v>
      </c>
      <c r="G187" s="48" t="s">
        <v>39</v>
      </c>
      <c r="H187" s="48" t="s">
        <v>901</v>
      </c>
      <c r="I187" s="47" t="s">
        <v>902</v>
      </c>
      <c r="J187" s="47">
        <v>17</v>
      </c>
      <c r="K187" s="49" t="s">
        <v>710</v>
      </c>
      <c r="L187" s="49" t="s">
        <v>704</v>
      </c>
      <c r="M187" s="50" t="s">
        <v>977</v>
      </c>
      <c r="N187" s="50" t="s">
        <v>1756</v>
      </c>
      <c r="O187" s="51"/>
      <c r="P187" s="51"/>
      <c r="Q187" s="48"/>
      <c r="S187" s="1">
        <f t="shared" si="63"/>
        <v>0</v>
      </c>
      <c r="T187" s="1">
        <f t="shared" si="64"/>
        <v>0</v>
      </c>
      <c r="U187" s="1">
        <f t="shared" si="65"/>
        <v>0</v>
      </c>
      <c r="V187" s="1">
        <f t="shared" si="66"/>
        <v>0</v>
      </c>
      <c r="W187" s="1">
        <f t="shared" si="67"/>
        <v>0</v>
      </c>
      <c r="X187" s="1">
        <f t="shared" si="68"/>
        <v>0</v>
      </c>
      <c r="Y187" s="1">
        <f t="shared" si="69"/>
        <v>0</v>
      </c>
      <c r="Z187" s="1">
        <f t="shared" si="70"/>
        <v>0</v>
      </c>
      <c r="AA187" s="1">
        <f t="shared" si="71"/>
        <v>0</v>
      </c>
      <c r="AB187" s="1">
        <f t="shared" si="72"/>
        <v>0</v>
      </c>
      <c r="AD187" s="1">
        <f t="shared" si="73"/>
        <v>0</v>
      </c>
      <c r="AE187" s="1">
        <f t="shared" si="74"/>
        <v>0</v>
      </c>
      <c r="AF187" s="1">
        <f t="shared" si="59"/>
        <v>0</v>
      </c>
      <c r="AG187" s="1">
        <f t="shared" si="60"/>
        <v>0</v>
      </c>
      <c r="AH187" s="1">
        <f t="shared" si="61"/>
        <v>0</v>
      </c>
      <c r="AI187" s="1">
        <f t="shared" si="62"/>
        <v>1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335</v>
      </c>
      <c r="G188" s="48" t="s">
        <v>336</v>
      </c>
      <c r="H188" s="48" t="s">
        <v>357</v>
      </c>
      <c r="I188" s="47" t="s">
        <v>484</v>
      </c>
      <c r="J188" s="47">
        <v>99</v>
      </c>
      <c r="K188" s="49" t="s">
        <v>729</v>
      </c>
      <c r="L188" s="49" t="s">
        <v>701</v>
      </c>
      <c r="M188" s="50" t="s">
        <v>977</v>
      </c>
      <c r="N188" s="50" t="s">
        <v>1762</v>
      </c>
      <c r="O188" s="51"/>
      <c r="P188" s="51"/>
      <c r="Q188" s="48"/>
      <c r="S188" s="1">
        <f t="shared" si="63"/>
        <v>0</v>
      </c>
      <c r="T188" s="1">
        <f t="shared" si="64"/>
        <v>0</v>
      </c>
      <c r="U188" s="1">
        <f t="shared" si="65"/>
        <v>0</v>
      </c>
      <c r="V188" s="1">
        <f t="shared" si="66"/>
        <v>0</v>
      </c>
      <c r="W188" s="1">
        <f t="shared" si="67"/>
        <v>0</v>
      </c>
      <c r="X188" s="1">
        <f t="shared" si="68"/>
        <v>0</v>
      </c>
      <c r="Y188" s="1">
        <f t="shared" si="69"/>
        <v>0</v>
      </c>
      <c r="Z188" s="1">
        <f t="shared" si="70"/>
        <v>0</v>
      </c>
      <c r="AA188" s="1">
        <f t="shared" si="71"/>
        <v>0</v>
      </c>
      <c r="AB188" s="1">
        <f t="shared" si="72"/>
        <v>0</v>
      </c>
      <c r="AD188" s="1">
        <f t="shared" si="73"/>
        <v>0</v>
      </c>
      <c r="AE188" s="1">
        <f t="shared" si="74"/>
        <v>0</v>
      </c>
      <c r="AF188" s="1">
        <f t="shared" si="59"/>
        <v>0</v>
      </c>
      <c r="AG188" s="1">
        <f t="shared" si="60"/>
        <v>0</v>
      </c>
      <c r="AH188" s="1">
        <f t="shared" si="61"/>
        <v>0</v>
      </c>
      <c r="AI188" s="1">
        <f t="shared" si="62"/>
        <v>1</v>
      </c>
    </row>
    <row r="189" spans="1:35" ht="14.25" customHeight="1" x14ac:dyDescent="0.25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310</v>
      </c>
      <c r="G189" s="35" t="s">
        <v>233</v>
      </c>
      <c r="H189" s="35" t="s">
        <v>357</v>
      </c>
      <c r="I189" s="34" t="s">
        <v>460</v>
      </c>
      <c r="J189" s="34">
        <v>99</v>
      </c>
      <c r="K189" s="36" t="s">
        <v>729</v>
      </c>
      <c r="L189" s="36" t="s">
        <v>703</v>
      </c>
      <c r="M189" s="37" t="s">
        <v>698</v>
      </c>
      <c r="N189" s="37" t="s">
        <v>1758</v>
      </c>
      <c r="O189" s="38">
        <v>1</v>
      </c>
      <c r="P189" s="38"/>
      <c r="Q189" s="35"/>
      <c r="S189" s="1">
        <f t="shared" si="63"/>
        <v>0</v>
      </c>
      <c r="T189" s="1">
        <f t="shared" si="64"/>
        <v>0</v>
      </c>
      <c r="U189" s="1">
        <f t="shared" si="65"/>
        <v>0</v>
      </c>
      <c r="V189" s="1">
        <f t="shared" si="66"/>
        <v>0</v>
      </c>
      <c r="W189" s="1">
        <f t="shared" si="67"/>
        <v>0</v>
      </c>
      <c r="X189" s="1">
        <f t="shared" si="68"/>
        <v>0</v>
      </c>
      <c r="Y189" s="1">
        <f t="shared" si="69"/>
        <v>0</v>
      </c>
      <c r="Z189" s="1">
        <f t="shared" si="70"/>
        <v>0</v>
      </c>
      <c r="AA189" s="1">
        <f t="shared" si="71"/>
        <v>0</v>
      </c>
      <c r="AB189" s="1">
        <f t="shared" si="72"/>
        <v>0</v>
      </c>
      <c r="AD189" s="1">
        <f t="shared" si="73"/>
        <v>0</v>
      </c>
      <c r="AE189" s="1">
        <f t="shared" si="74"/>
        <v>1</v>
      </c>
      <c r="AF189" s="1">
        <f t="shared" si="59"/>
        <v>0</v>
      </c>
      <c r="AG189" s="1">
        <f t="shared" si="60"/>
        <v>1</v>
      </c>
      <c r="AH189" s="1">
        <f t="shared" si="61"/>
        <v>0</v>
      </c>
      <c r="AI189" s="1">
        <f t="shared" si="62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313</v>
      </c>
      <c r="G190" s="16" t="s">
        <v>39</v>
      </c>
      <c r="H190" s="16" t="s">
        <v>367</v>
      </c>
      <c r="I190" s="15" t="s">
        <v>463</v>
      </c>
      <c r="J190" s="15">
        <v>17</v>
      </c>
      <c r="K190" s="10" t="s">
        <v>710</v>
      </c>
      <c r="L190" s="10" t="s">
        <v>704</v>
      </c>
      <c r="M190" s="19" t="s">
        <v>698</v>
      </c>
      <c r="N190" s="17"/>
      <c r="Q190" s="20" t="s">
        <v>1930</v>
      </c>
      <c r="S190" s="1">
        <f t="shared" si="63"/>
        <v>0</v>
      </c>
      <c r="T190" s="1">
        <f t="shared" si="64"/>
        <v>0</v>
      </c>
      <c r="U190" s="1">
        <f t="shared" si="65"/>
        <v>0</v>
      </c>
      <c r="V190" s="1">
        <f t="shared" si="66"/>
        <v>0</v>
      </c>
      <c r="W190" s="1">
        <f t="shared" si="67"/>
        <v>0</v>
      </c>
      <c r="X190" s="1">
        <f t="shared" si="68"/>
        <v>0</v>
      </c>
      <c r="Y190" s="1">
        <f t="shared" si="69"/>
        <v>0</v>
      </c>
      <c r="Z190" s="1">
        <f t="shared" si="70"/>
        <v>0</v>
      </c>
      <c r="AA190" s="1">
        <f t="shared" si="71"/>
        <v>0</v>
      </c>
      <c r="AB190" s="1">
        <f t="shared" si="72"/>
        <v>0</v>
      </c>
      <c r="AD190" s="1">
        <f t="shared" si="73"/>
        <v>0</v>
      </c>
      <c r="AE190" s="1">
        <f t="shared" si="74"/>
        <v>0</v>
      </c>
      <c r="AF190" s="1">
        <f t="shared" si="59"/>
        <v>0</v>
      </c>
      <c r="AG190" s="1">
        <f t="shared" si="60"/>
        <v>0</v>
      </c>
      <c r="AH190" s="1">
        <f t="shared" si="61"/>
        <v>0</v>
      </c>
      <c r="AI190" s="1">
        <f t="shared" si="62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530</v>
      </c>
      <c r="E191" s="35" t="s">
        <v>531</v>
      </c>
      <c r="F191" s="35" t="s">
        <v>532</v>
      </c>
      <c r="G191" s="35" t="s">
        <v>204</v>
      </c>
      <c r="H191" s="35" t="s">
        <v>357</v>
      </c>
      <c r="I191" s="34" t="s">
        <v>533</v>
      </c>
      <c r="J191" s="34">
        <v>10</v>
      </c>
      <c r="K191" s="36" t="s">
        <v>709</v>
      </c>
      <c r="L191" s="36" t="s">
        <v>700</v>
      </c>
      <c r="M191" s="37" t="s">
        <v>977</v>
      </c>
      <c r="N191" s="37" t="s">
        <v>1748</v>
      </c>
      <c r="O191" s="38">
        <v>1</v>
      </c>
      <c r="P191" s="38">
        <v>1</v>
      </c>
      <c r="Q191" s="35"/>
      <c r="S191" s="1">
        <f t="shared" si="63"/>
        <v>0</v>
      </c>
      <c r="T191" s="1">
        <f t="shared" si="64"/>
        <v>0</v>
      </c>
      <c r="U191" s="1">
        <f t="shared" si="65"/>
        <v>0</v>
      </c>
      <c r="V191" s="1">
        <f t="shared" si="66"/>
        <v>0</v>
      </c>
      <c r="W191" s="1">
        <f t="shared" si="67"/>
        <v>0</v>
      </c>
      <c r="X191" s="1">
        <f t="shared" si="68"/>
        <v>0</v>
      </c>
      <c r="Y191" s="1">
        <f t="shared" si="69"/>
        <v>0</v>
      </c>
      <c r="Z191" s="1">
        <f t="shared" si="70"/>
        <v>0</v>
      </c>
      <c r="AA191" s="1">
        <f t="shared" si="71"/>
        <v>0</v>
      </c>
      <c r="AB191" s="1">
        <f t="shared" si="72"/>
        <v>1</v>
      </c>
      <c r="AD191" s="1">
        <f t="shared" si="73"/>
        <v>1</v>
      </c>
      <c r="AE191" s="1">
        <f t="shared" si="74"/>
        <v>0</v>
      </c>
      <c r="AF191" s="1">
        <f t="shared" si="59"/>
        <v>1</v>
      </c>
      <c r="AG191" s="1">
        <f t="shared" si="60"/>
        <v>0</v>
      </c>
      <c r="AH191" s="1">
        <f t="shared" si="61"/>
        <v>1</v>
      </c>
      <c r="AI191" s="1">
        <f t="shared" si="62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1514</v>
      </c>
      <c r="E192" s="35" t="s">
        <v>168</v>
      </c>
      <c r="F192" s="35" t="s">
        <v>1515</v>
      </c>
      <c r="G192" s="35" t="s">
        <v>182</v>
      </c>
      <c r="H192" s="35" t="s">
        <v>357</v>
      </c>
      <c r="I192" s="34" t="s">
        <v>1516</v>
      </c>
      <c r="J192" s="34">
        <v>10</v>
      </c>
      <c r="K192" s="36" t="s">
        <v>963</v>
      </c>
      <c r="L192" s="36" t="s">
        <v>700</v>
      </c>
      <c r="M192" s="37" t="s">
        <v>977</v>
      </c>
      <c r="N192" s="37" t="s">
        <v>1742</v>
      </c>
      <c r="O192" s="38">
        <v>1</v>
      </c>
      <c r="P192" s="38">
        <v>1</v>
      </c>
      <c r="Q192" s="35"/>
      <c r="S192" s="1">
        <f t="shared" si="63"/>
        <v>0</v>
      </c>
      <c r="T192" s="1">
        <f t="shared" si="64"/>
        <v>0</v>
      </c>
      <c r="U192" s="1">
        <f t="shared" si="65"/>
        <v>0</v>
      </c>
      <c r="V192" s="1">
        <f t="shared" si="66"/>
        <v>0</v>
      </c>
      <c r="W192" s="1">
        <f t="shared" si="67"/>
        <v>0</v>
      </c>
      <c r="X192" s="1">
        <f t="shared" si="68"/>
        <v>0</v>
      </c>
      <c r="Y192" s="1">
        <f t="shared" si="69"/>
        <v>0</v>
      </c>
      <c r="Z192" s="1">
        <f t="shared" si="70"/>
        <v>0</v>
      </c>
      <c r="AA192" s="1">
        <f t="shared" si="71"/>
        <v>0</v>
      </c>
      <c r="AB192" s="1">
        <f t="shared" si="72"/>
        <v>1</v>
      </c>
      <c r="AD192" s="1">
        <f t="shared" si="73"/>
        <v>1</v>
      </c>
      <c r="AE192" s="1">
        <f t="shared" si="74"/>
        <v>0</v>
      </c>
      <c r="AF192" s="1">
        <f t="shared" si="59"/>
        <v>1</v>
      </c>
      <c r="AG192" s="1">
        <f t="shared" si="60"/>
        <v>0</v>
      </c>
      <c r="AH192" s="1">
        <f t="shared" si="61"/>
        <v>1</v>
      </c>
      <c r="AI192" s="1">
        <f t="shared" si="62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1772</v>
      </c>
      <c r="E193" s="35" t="s">
        <v>168</v>
      </c>
      <c r="F193" s="35" t="s">
        <v>1773</v>
      </c>
      <c r="G193" s="35" t="s">
        <v>1774</v>
      </c>
      <c r="H193" s="35" t="s">
        <v>357</v>
      </c>
      <c r="I193" s="34" t="s">
        <v>1775</v>
      </c>
      <c r="J193" s="34">
        <v>1</v>
      </c>
      <c r="K193" s="36" t="s">
        <v>710</v>
      </c>
      <c r="L193" s="36"/>
      <c r="M193" s="37"/>
      <c r="N193" s="37" t="s">
        <v>1763</v>
      </c>
      <c r="O193" s="38">
        <v>1</v>
      </c>
      <c r="P193" s="38"/>
      <c r="Q193" s="35"/>
      <c r="S193" s="1">
        <f t="shared" si="63"/>
        <v>1</v>
      </c>
      <c r="T193" s="1">
        <f t="shared" si="64"/>
        <v>0</v>
      </c>
      <c r="U193" s="1">
        <f t="shared" si="65"/>
        <v>0</v>
      </c>
      <c r="V193" s="1">
        <f t="shared" si="66"/>
        <v>0</v>
      </c>
      <c r="W193" s="1">
        <f t="shared" si="67"/>
        <v>0</v>
      </c>
      <c r="X193" s="1">
        <f t="shared" si="68"/>
        <v>0</v>
      </c>
      <c r="Y193" s="1">
        <f t="shared" si="69"/>
        <v>0</v>
      </c>
      <c r="Z193" s="1">
        <f t="shared" si="70"/>
        <v>0</v>
      </c>
      <c r="AA193" s="1">
        <f t="shared" si="71"/>
        <v>0</v>
      </c>
      <c r="AB193" s="1">
        <f t="shared" si="72"/>
        <v>0</v>
      </c>
      <c r="AD193" s="1">
        <f t="shared" si="73"/>
        <v>0</v>
      </c>
      <c r="AE193" s="1">
        <f t="shared" si="74"/>
        <v>1</v>
      </c>
      <c r="AF193" s="1">
        <f t="shared" si="59"/>
        <v>0</v>
      </c>
      <c r="AG193" s="1">
        <f t="shared" si="60"/>
        <v>1</v>
      </c>
      <c r="AH193" s="1">
        <f t="shared" si="61"/>
        <v>0</v>
      </c>
      <c r="AI193" s="1">
        <f t="shared" si="62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1033</v>
      </c>
      <c r="E194" s="48" t="s">
        <v>1097</v>
      </c>
      <c r="F194" s="48" t="s">
        <v>1034</v>
      </c>
      <c r="G194" s="48" t="s">
        <v>196</v>
      </c>
      <c r="H194" s="48" t="s">
        <v>357</v>
      </c>
      <c r="I194" s="47" t="s">
        <v>1035</v>
      </c>
      <c r="J194" s="47">
        <v>9</v>
      </c>
      <c r="K194" s="49" t="s">
        <v>729</v>
      </c>
      <c r="L194" s="49" t="s">
        <v>1719</v>
      </c>
      <c r="M194" s="50" t="s">
        <v>1619</v>
      </c>
      <c r="N194" s="50" t="s">
        <v>1750</v>
      </c>
      <c r="O194" s="51"/>
      <c r="P194" s="51"/>
      <c r="Q194" s="48"/>
      <c r="S194" s="1">
        <f t="shared" si="63"/>
        <v>0</v>
      </c>
      <c r="T194" s="1">
        <f t="shared" si="64"/>
        <v>0</v>
      </c>
      <c r="U194" s="1">
        <f t="shared" si="65"/>
        <v>0</v>
      </c>
      <c r="V194" s="1">
        <f t="shared" si="66"/>
        <v>0</v>
      </c>
      <c r="W194" s="1">
        <f t="shared" si="67"/>
        <v>0</v>
      </c>
      <c r="X194" s="1">
        <f t="shared" si="68"/>
        <v>0</v>
      </c>
      <c r="Y194" s="1">
        <f t="shared" si="69"/>
        <v>0</v>
      </c>
      <c r="Z194" s="1">
        <f t="shared" si="70"/>
        <v>0</v>
      </c>
      <c r="AA194" s="1">
        <f t="shared" si="71"/>
        <v>1</v>
      </c>
      <c r="AB194" s="1">
        <f t="shared" si="72"/>
        <v>0</v>
      </c>
      <c r="AD194" s="1">
        <f t="shared" si="73"/>
        <v>0</v>
      </c>
      <c r="AE194" s="1">
        <f t="shared" si="74"/>
        <v>0</v>
      </c>
      <c r="AF194" s="1">
        <f t="shared" si="59"/>
        <v>0</v>
      </c>
      <c r="AG194" s="1">
        <f t="shared" si="60"/>
        <v>0</v>
      </c>
      <c r="AH194" s="1">
        <f t="shared" si="61"/>
        <v>0</v>
      </c>
      <c r="AI194" s="1">
        <f t="shared" si="62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1629</v>
      </c>
      <c r="E195" s="48" t="s">
        <v>168</v>
      </c>
      <c r="F195" s="48" t="s">
        <v>1630</v>
      </c>
      <c r="G195" s="48" t="s">
        <v>215</v>
      </c>
      <c r="H195" s="48" t="s">
        <v>357</v>
      </c>
      <c r="I195" s="47" t="s">
        <v>1631</v>
      </c>
      <c r="J195" s="47">
        <v>1</v>
      </c>
      <c r="K195" s="49" t="s">
        <v>729</v>
      </c>
      <c r="L195" s="49" t="s">
        <v>701</v>
      </c>
      <c r="M195" s="50" t="s">
        <v>977</v>
      </c>
      <c r="N195" s="50" t="s">
        <v>1751</v>
      </c>
      <c r="O195" s="51"/>
      <c r="P195" s="51"/>
      <c r="Q195" s="48"/>
      <c r="S195" s="1">
        <f t="shared" si="63"/>
        <v>1</v>
      </c>
      <c r="T195" s="1">
        <f t="shared" si="64"/>
        <v>0</v>
      </c>
      <c r="U195" s="1">
        <f t="shared" si="65"/>
        <v>0</v>
      </c>
      <c r="V195" s="1">
        <f t="shared" si="66"/>
        <v>0</v>
      </c>
      <c r="W195" s="1">
        <f t="shared" si="67"/>
        <v>0</v>
      </c>
      <c r="X195" s="1">
        <f t="shared" si="68"/>
        <v>0</v>
      </c>
      <c r="Y195" s="1">
        <f t="shared" si="69"/>
        <v>0</v>
      </c>
      <c r="Z195" s="1">
        <f t="shared" si="70"/>
        <v>0</v>
      </c>
      <c r="AA195" s="1">
        <f t="shared" si="71"/>
        <v>0</v>
      </c>
      <c r="AB195" s="1">
        <f t="shared" si="72"/>
        <v>0</v>
      </c>
      <c r="AD195" s="1">
        <f t="shared" si="73"/>
        <v>0</v>
      </c>
      <c r="AE195" s="1">
        <f t="shared" si="74"/>
        <v>0</v>
      </c>
      <c r="AF195" s="1">
        <f t="shared" si="59"/>
        <v>0</v>
      </c>
      <c r="AG195" s="1">
        <f t="shared" si="60"/>
        <v>0</v>
      </c>
      <c r="AH195" s="1">
        <f t="shared" si="61"/>
        <v>0</v>
      </c>
      <c r="AI195" s="1">
        <f t="shared" si="62"/>
        <v>1</v>
      </c>
    </row>
    <row r="196" spans="1:35" ht="14.25" customHeight="1" x14ac:dyDescent="0.25">
      <c r="A196" s="41">
        <v>0</v>
      </c>
      <c r="B196" s="41">
        <v>1</v>
      </c>
      <c r="C196" s="41">
        <v>5</v>
      </c>
      <c r="D196" s="42" t="s">
        <v>149</v>
      </c>
      <c r="E196" s="42" t="s">
        <v>550</v>
      </c>
      <c r="F196" s="42" t="s">
        <v>1614</v>
      </c>
      <c r="G196" s="42" t="s">
        <v>1688</v>
      </c>
      <c r="H196" s="42" t="s">
        <v>357</v>
      </c>
      <c r="I196" s="41" t="s">
        <v>499</v>
      </c>
      <c r="J196" s="41">
        <v>99</v>
      </c>
      <c r="K196" s="43" t="s">
        <v>709</v>
      </c>
      <c r="L196" s="43" t="s">
        <v>696</v>
      </c>
      <c r="M196" s="44" t="s">
        <v>977</v>
      </c>
      <c r="N196" s="45"/>
      <c r="O196" s="46"/>
      <c r="P196" s="46">
        <v>1</v>
      </c>
      <c r="Q196" s="42"/>
      <c r="S196" s="1">
        <f t="shared" si="63"/>
        <v>0</v>
      </c>
      <c r="T196" s="1">
        <f t="shared" si="64"/>
        <v>0</v>
      </c>
      <c r="U196" s="1">
        <f t="shared" si="65"/>
        <v>0</v>
      </c>
      <c r="V196" s="1">
        <f t="shared" si="66"/>
        <v>0</v>
      </c>
      <c r="W196" s="1">
        <f t="shared" si="67"/>
        <v>0</v>
      </c>
      <c r="X196" s="1">
        <f t="shared" si="68"/>
        <v>0</v>
      </c>
      <c r="Y196" s="1">
        <f t="shared" si="69"/>
        <v>0</v>
      </c>
      <c r="Z196" s="1">
        <f t="shared" si="70"/>
        <v>0</v>
      </c>
      <c r="AA196" s="1">
        <f t="shared" si="71"/>
        <v>0</v>
      </c>
      <c r="AB196" s="1">
        <f t="shared" si="72"/>
        <v>0</v>
      </c>
      <c r="AD196" s="1">
        <f t="shared" si="73"/>
        <v>0</v>
      </c>
      <c r="AE196" s="1">
        <f t="shared" si="74"/>
        <v>0</v>
      </c>
      <c r="AF196" s="1">
        <f t="shared" si="59"/>
        <v>0</v>
      </c>
      <c r="AG196" s="1">
        <f t="shared" si="60"/>
        <v>0</v>
      </c>
      <c r="AH196" s="1">
        <f t="shared" si="61"/>
        <v>1</v>
      </c>
      <c r="AI196" s="1">
        <f t="shared" si="62"/>
        <v>0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16" t="s">
        <v>1226</v>
      </c>
      <c r="E197" s="16" t="s">
        <v>168</v>
      </c>
      <c r="F197" s="16" t="s">
        <v>1227</v>
      </c>
      <c r="G197" s="16" t="s">
        <v>1228</v>
      </c>
      <c r="H197" s="16" t="s">
        <v>357</v>
      </c>
      <c r="I197" s="15" t="s">
        <v>1229</v>
      </c>
      <c r="J197" s="15">
        <v>99</v>
      </c>
      <c r="K197" s="10" t="s">
        <v>710</v>
      </c>
      <c r="L197" s="10">
        <v>30</v>
      </c>
      <c r="M197" s="19" t="s">
        <v>977</v>
      </c>
      <c r="N197" s="19"/>
      <c r="Q197" s="16"/>
      <c r="S197" s="1">
        <f t="shared" si="63"/>
        <v>0</v>
      </c>
      <c r="T197" s="1">
        <f t="shared" si="64"/>
        <v>0</v>
      </c>
      <c r="U197" s="1">
        <f t="shared" si="65"/>
        <v>0</v>
      </c>
      <c r="V197" s="1">
        <f t="shared" si="66"/>
        <v>0</v>
      </c>
      <c r="W197" s="1">
        <f t="shared" si="67"/>
        <v>0</v>
      </c>
      <c r="X197" s="1">
        <f t="shared" si="68"/>
        <v>0</v>
      </c>
      <c r="Y197" s="1">
        <f t="shared" si="69"/>
        <v>0</v>
      </c>
      <c r="Z197" s="1">
        <f t="shared" si="70"/>
        <v>0</v>
      </c>
      <c r="AA197" s="1">
        <f t="shared" si="71"/>
        <v>0</v>
      </c>
      <c r="AB197" s="1">
        <f t="shared" si="72"/>
        <v>0</v>
      </c>
      <c r="AD197" s="1">
        <f t="shared" si="73"/>
        <v>0</v>
      </c>
      <c r="AE197" s="1">
        <f t="shared" si="74"/>
        <v>0</v>
      </c>
      <c r="AF197" s="1">
        <f t="shared" si="59"/>
        <v>0</v>
      </c>
      <c r="AG197" s="1">
        <f t="shared" si="60"/>
        <v>0</v>
      </c>
      <c r="AH197" s="1">
        <f t="shared" si="61"/>
        <v>0</v>
      </c>
      <c r="AI197" s="1">
        <f t="shared" si="62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1615</v>
      </c>
      <c r="E198" s="35" t="s">
        <v>174</v>
      </c>
      <c r="F198" s="35" t="s">
        <v>815</v>
      </c>
      <c r="G198" s="35" t="s">
        <v>39</v>
      </c>
      <c r="H198" s="35" t="s">
        <v>816</v>
      </c>
      <c r="I198" s="34" t="s">
        <v>817</v>
      </c>
      <c r="J198" s="34">
        <v>16</v>
      </c>
      <c r="K198" s="36" t="s">
        <v>964</v>
      </c>
      <c r="L198" s="36" t="s">
        <v>1757</v>
      </c>
      <c r="M198" s="37" t="s">
        <v>977</v>
      </c>
      <c r="N198" s="37" t="s">
        <v>1763</v>
      </c>
      <c r="O198" s="38">
        <v>1</v>
      </c>
      <c r="P198" s="38"/>
      <c r="Q198" s="35"/>
      <c r="S198" s="1">
        <f t="shared" si="63"/>
        <v>0</v>
      </c>
      <c r="T198" s="1">
        <f t="shared" si="64"/>
        <v>0</v>
      </c>
      <c r="U198" s="1">
        <f t="shared" si="65"/>
        <v>0</v>
      </c>
      <c r="V198" s="1">
        <f t="shared" si="66"/>
        <v>0</v>
      </c>
      <c r="W198" s="1">
        <f t="shared" si="67"/>
        <v>0</v>
      </c>
      <c r="X198" s="1">
        <f t="shared" si="68"/>
        <v>0</v>
      </c>
      <c r="Y198" s="1">
        <f t="shared" si="69"/>
        <v>0</v>
      </c>
      <c r="Z198" s="1">
        <f t="shared" si="70"/>
        <v>0</v>
      </c>
      <c r="AA198" s="1">
        <f t="shared" si="71"/>
        <v>0</v>
      </c>
      <c r="AB198" s="1">
        <f t="shared" si="72"/>
        <v>0</v>
      </c>
      <c r="AD198" s="1">
        <f t="shared" si="73"/>
        <v>0</v>
      </c>
      <c r="AE198" s="1">
        <f t="shared" si="74"/>
        <v>1</v>
      </c>
      <c r="AF198" s="1">
        <f t="shared" si="59"/>
        <v>0</v>
      </c>
      <c r="AG198" s="1">
        <f t="shared" si="60"/>
        <v>1</v>
      </c>
      <c r="AH198" s="1">
        <f t="shared" si="61"/>
        <v>0</v>
      </c>
      <c r="AI198" s="1">
        <f t="shared" si="62"/>
        <v>1</v>
      </c>
    </row>
    <row r="199" spans="1:35" ht="14.25" customHeight="1" x14ac:dyDescent="0.25">
      <c r="A199" s="41">
        <v>0</v>
      </c>
      <c r="B199" s="41">
        <v>1</v>
      </c>
      <c r="C199" s="41">
        <v>5</v>
      </c>
      <c r="D199" s="42" t="s">
        <v>507</v>
      </c>
      <c r="E199" s="42" t="s">
        <v>168</v>
      </c>
      <c r="F199" s="42" t="s">
        <v>508</v>
      </c>
      <c r="G199" s="42" t="s">
        <v>509</v>
      </c>
      <c r="H199" s="42" t="s">
        <v>357</v>
      </c>
      <c r="I199" s="41" t="s">
        <v>510</v>
      </c>
      <c r="J199" s="41">
        <v>99</v>
      </c>
      <c r="K199" s="43" t="s">
        <v>964</v>
      </c>
      <c r="L199" s="43" t="s">
        <v>701</v>
      </c>
      <c r="M199" s="44" t="s">
        <v>698</v>
      </c>
      <c r="N199" s="45"/>
      <c r="O199" s="46"/>
      <c r="P199" s="46">
        <v>1</v>
      </c>
      <c r="Q199" s="42"/>
      <c r="S199" s="1">
        <f t="shared" si="63"/>
        <v>0</v>
      </c>
      <c r="T199" s="1">
        <f t="shared" si="64"/>
        <v>0</v>
      </c>
      <c r="U199" s="1">
        <f t="shared" si="65"/>
        <v>0</v>
      </c>
      <c r="V199" s="1">
        <f t="shared" si="66"/>
        <v>0</v>
      </c>
      <c r="W199" s="1">
        <f t="shared" si="67"/>
        <v>0</v>
      </c>
      <c r="X199" s="1">
        <f t="shared" si="68"/>
        <v>0</v>
      </c>
      <c r="Y199" s="1">
        <f t="shared" si="69"/>
        <v>0</v>
      </c>
      <c r="Z199" s="1">
        <f t="shared" si="70"/>
        <v>0</v>
      </c>
      <c r="AA199" s="1">
        <f t="shared" si="71"/>
        <v>0</v>
      </c>
      <c r="AB199" s="1">
        <f t="shared" si="72"/>
        <v>0</v>
      </c>
      <c r="AD199" s="1">
        <f t="shared" si="73"/>
        <v>0</v>
      </c>
      <c r="AE199" s="1">
        <f t="shared" si="74"/>
        <v>0</v>
      </c>
      <c r="AF199" s="1">
        <f t="shared" si="59"/>
        <v>0</v>
      </c>
      <c r="AG199" s="1">
        <f t="shared" si="60"/>
        <v>0</v>
      </c>
      <c r="AH199" s="1">
        <f t="shared" si="61"/>
        <v>1</v>
      </c>
      <c r="AI199" s="1">
        <f t="shared" si="62"/>
        <v>0</v>
      </c>
    </row>
    <row r="200" spans="1:35" ht="14.25" customHeight="1" x14ac:dyDescent="0.25">
      <c r="A200" s="47">
        <v>0</v>
      </c>
      <c r="B200" s="47">
        <v>1</v>
      </c>
      <c r="C200" s="47">
        <v>6</v>
      </c>
      <c r="D200" s="48" t="s">
        <v>1465</v>
      </c>
      <c r="E200" s="48" t="s">
        <v>169</v>
      </c>
      <c r="F200" s="48" t="s">
        <v>1466</v>
      </c>
      <c r="G200" s="48" t="s">
        <v>181</v>
      </c>
      <c r="H200" s="48" t="s">
        <v>357</v>
      </c>
      <c r="I200" s="47" t="s">
        <v>1467</v>
      </c>
      <c r="J200" s="47">
        <v>99</v>
      </c>
      <c r="K200" s="49" t="s">
        <v>963</v>
      </c>
      <c r="L200" s="49" t="s">
        <v>703</v>
      </c>
      <c r="M200" s="50" t="s">
        <v>1468</v>
      </c>
      <c r="N200" s="50" t="s">
        <v>1749</v>
      </c>
      <c r="O200" s="51"/>
      <c r="P200" s="51"/>
      <c r="Q200" s="48"/>
      <c r="S200" s="1">
        <f t="shared" si="63"/>
        <v>0</v>
      </c>
      <c r="T200" s="1">
        <f t="shared" si="64"/>
        <v>0</v>
      </c>
      <c r="U200" s="1">
        <f t="shared" si="65"/>
        <v>0</v>
      </c>
      <c r="V200" s="1">
        <f t="shared" si="66"/>
        <v>0</v>
      </c>
      <c r="W200" s="1">
        <f t="shared" si="67"/>
        <v>0</v>
      </c>
      <c r="X200" s="1">
        <f t="shared" si="68"/>
        <v>0</v>
      </c>
      <c r="Y200" s="1">
        <f t="shared" si="69"/>
        <v>0</v>
      </c>
      <c r="Z200" s="1">
        <f t="shared" si="70"/>
        <v>0</v>
      </c>
      <c r="AA200" s="1">
        <f t="shared" si="71"/>
        <v>0</v>
      </c>
      <c r="AB200" s="1">
        <f t="shared" si="72"/>
        <v>0</v>
      </c>
      <c r="AD200" s="1">
        <f t="shared" si="73"/>
        <v>0</v>
      </c>
      <c r="AE200" s="1">
        <f t="shared" si="74"/>
        <v>0</v>
      </c>
      <c r="AF200" s="1">
        <f t="shared" ref="AF200:AF263" si="75">+O200*P200*(1-A200)</f>
        <v>0</v>
      </c>
      <c r="AG200" s="1">
        <f t="shared" ref="AG200:AG263" si="76">O200*(1-P200)*(1-A200)</f>
        <v>0</v>
      </c>
      <c r="AH200" s="1">
        <f t="shared" ref="AH200:AH263" si="77">+P200*(1-A200)</f>
        <v>0</v>
      </c>
      <c r="AI200" s="1">
        <f t="shared" ref="AI200:AI263" si="78">+(1-A200)*(1-P200)</f>
        <v>1</v>
      </c>
    </row>
    <row r="201" spans="1:35" ht="14.25" customHeight="1" x14ac:dyDescent="0.25">
      <c r="A201" s="34">
        <v>0</v>
      </c>
      <c r="B201" s="34">
        <v>1</v>
      </c>
      <c r="C201" s="34">
        <v>6</v>
      </c>
      <c r="D201" s="35" t="s">
        <v>1200</v>
      </c>
      <c r="E201" s="35" t="s">
        <v>1203</v>
      </c>
      <c r="F201" s="35" t="s">
        <v>1201</v>
      </c>
      <c r="G201" s="35" t="s">
        <v>39</v>
      </c>
      <c r="H201" s="35" t="s">
        <v>357</v>
      </c>
      <c r="I201" s="34" t="s">
        <v>1202</v>
      </c>
      <c r="J201" s="34">
        <v>99</v>
      </c>
      <c r="K201" s="36" t="s">
        <v>969</v>
      </c>
      <c r="L201" s="36" t="s">
        <v>39</v>
      </c>
      <c r="M201" s="37" t="s">
        <v>39</v>
      </c>
      <c r="N201" s="37" t="s">
        <v>1748</v>
      </c>
      <c r="O201" s="38">
        <v>1</v>
      </c>
      <c r="P201" s="38">
        <v>1</v>
      </c>
      <c r="Q201" s="39" t="s">
        <v>1923</v>
      </c>
      <c r="S201" s="1">
        <f t="shared" si="63"/>
        <v>0</v>
      </c>
      <c r="T201" s="1">
        <f t="shared" si="64"/>
        <v>0</v>
      </c>
      <c r="U201" s="1">
        <f t="shared" si="65"/>
        <v>0</v>
      </c>
      <c r="V201" s="1">
        <f t="shared" si="66"/>
        <v>0</v>
      </c>
      <c r="W201" s="1">
        <f t="shared" si="67"/>
        <v>0</v>
      </c>
      <c r="X201" s="1">
        <f t="shared" si="68"/>
        <v>0</v>
      </c>
      <c r="Y201" s="1">
        <f t="shared" si="69"/>
        <v>0</v>
      </c>
      <c r="Z201" s="1">
        <f t="shared" si="70"/>
        <v>0</v>
      </c>
      <c r="AA201" s="1">
        <f t="shared" si="71"/>
        <v>0</v>
      </c>
      <c r="AB201" s="1">
        <f t="shared" si="72"/>
        <v>0</v>
      </c>
      <c r="AD201" s="1">
        <f t="shared" si="73"/>
        <v>1</v>
      </c>
      <c r="AE201" s="1">
        <f t="shared" si="74"/>
        <v>0</v>
      </c>
      <c r="AF201" s="1">
        <f t="shared" si="75"/>
        <v>1</v>
      </c>
      <c r="AG201" s="1">
        <f t="shared" si="76"/>
        <v>0</v>
      </c>
      <c r="AH201" s="1">
        <f t="shared" si="77"/>
        <v>1</v>
      </c>
      <c r="AI201" s="1">
        <f t="shared" si="78"/>
        <v>0</v>
      </c>
    </row>
    <row r="202" spans="1:35" ht="14.25" customHeight="1" x14ac:dyDescent="0.25">
      <c r="A202" s="34">
        <v>0</v>
      </c>
      <c r="B202" s="34">
        <v>1</v>
      </c>
      <c r="C202" s="34">
        <v>6</v>
      </c>
      <c r="D202" s="35" t="s">
        <v>1663</v>
      </c>
      <c r="E202" s="35" t="s">
        <v>1671</v>
      </c>
      <c r="F202" s="35" t="s">
        <v>1698</v>
      </c>
      <c r="G202" s="35" t="s">
        <v>1699</v>
      </c>
      <c r="H202" s="35" t="s">
        <v>357</v>
      </c>
      <c r="I202" s="34" t="s">
        <v>1711</v>
      </c>
      <c r="J202" s="34">
        <v>1</v>
      </c>
      <c r="K202" s="36" t="s">
        <v>965</v>
      </c>
      <c r="L202" s="36" t="s">
        <v>39</v>
      </c>
      <c r="M202" s="37" t="s">
        <v>39</v>
      </c>
      <c r="N202" s="37" t="s">
        <v>1742</v>
      </c>
      <c r="O202" s="38">
        <v>1</v>
      </c>
      <c r="P202" s="38">
        <v>1</v>
      </c>
      <c r="Q202" s="35"/>
      <c r="S202" s="1">
        <f t="shared" si="63"/>
        <v>1</v>
      </c>
      <c r="T202" s="1">
        <f t="shared" si="64"/>
        <v>0</v>
      </c>
      <c r="U202" s="1">
        <f t="shared" si="65"/>
        <v>0</v>
      </c>
      <c r="V202" s="1">
        <f t="shared" si="66"/>
        <v>0</v>
      </c>
      <c r="W202" s="1">
        <f t="shared" si="67"/>
        <v>0</v>
      </c>
      <c r="X202" s="1">
        <f t="shared" si="68"/>
        <v>0</v>
      </c>
      <c r="Y202" s="1">
        <f t="shared" si="69"/>
        <v>0</v>
      </c>
      <c r="Z202" s="1">
        <f t="shared" si="70"/>
        <v>0</v>
      </c>
      <c r="AA202" s="1">
        <f t="shared" si="71"/>
        <v>0</v>
      </c>
      <c r="AB202" s="1">
        <f t="shared" si="72"/>
        <v>0</v>
      </c>
      <c r="AD202" s="1">
        <f t="shared" si="73"/>
        <v>1</v>
      </c>
      <c r="AE202" s="1">
        <f t="shared" si="74"/>
        <v>0</v>
      </c>
      <c r="AF202" s="1">
        <f t="shared" si="75"/>
        <v>1</v>
      </c>
      <c r="AG202" s="1">
        <f t="shared" si="76"/>
        <v>0</v>
      </c>
      <c r="AH202" s="1">
        <f t="shared" si="77"/>
        <v>1</v>
      </c>
      <c r="AI202" s="1">
        <f t="shared" si="78"/>
        <v>0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91</v>
      </c>
      <c r="E203" s="35" t="s">
        <v>170</v>
      </c>
      <c r="F203" s="35" t="s">
        <v>287</v>
      </c>
      <c r="G203" s="35" t="s">
        <v>232</v>
      </c>
      <c r="H203" s="35" t="s">
        <v>357</v>
      </c>
      <c r="I203" s="34" t="s">
        <v>442</v>
      </c>
      <c r="J203" s="34">
        <v>7</v>
      </c>
      <c r="K203" s="36" t="s">
        <v>729</v>
      </c>
      <c r="L203" s="36">
        <v>40</v>
      </c>
      <c r="M203" s="37" t="s">
        <v>39</v>
      </c>
      <c r="N203" s="37" t="s">
        <v>1763</v>
      </c>
      <c r="O203" s="38">
        <v>1</v>
      </c>
      <c r="P203" s="38"/>
      <c r="Q203" s="35"/>
      <c r="S203" s="1">
        <f t="shared" si="63"/>
        <v>0</v>
      </c>
      <c r="T203" s="1">
        <f t="shared" si="64"/>
        <v>0</v>
      </c>
      <c r="U203" s="1">
        <f t="shared" si="65"/>
        <v>0</v>
      </c>
      <c r="V203" s="1">
        <f t="shared" si="66"/>
        <v>0</v>
      </c>
      <c r="W203" s="1">
        <f t="shared" si="67"/>
        <v>0</v>
      </c>
      <c r="X203" s="1">
        <f t="shared" si="68"/>
        <v>0</v>
      </c>
      <c r="Y203" s="1">
        <f t="shared" si="69"/>
        <v>1</v>
      </c>
      <c r="Z203" s="1">
        <f t="shared" si="70"/>
        <v>0</v>
      </c>
      <c r="AA203" s="1">
        <f t="shared" si="71"/>
        <v>0</v>
      </c>
      <c r="AB203" s="1">
        <f t="shared" si="72"/>
        <v>0</v>
      </c>
      <c r="AD203" s="1">
        <f t="shared" si="73"/>
        <v>0</v>
      </c>
      <c r="AE203" s="1">
        <f t="shared" si="74"/>
        <v>1</v>
      </c>
      <c r="AF203" s="1">
        <f t="shared" si="75"/>
        <v>0</v>
      </c>
      <c r="AG203" s="1">
        <f t="shared" si="76"/>
        <v>1</v>
      </c>
      <c r="AH203" s="1">
        <f t="shared" si="77"/>
        <v>0</v>
      </c>
      <c r="AI203" s="1">
        <f t="shared" si="78"/>
        <v>1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9" t="s">
        <v>1886</v>
      </c>
      <c r="G204" s="35" t="s">
        <v>242</v>
      </c>
      <c r="H204" s="35" t="s">
        <v>357</v>
      </c>
      <c r="I204" s="34" t="s">
        <v>443</v>
      </c>
      <c r="J204" s="34">
        <v>1</v>
      </c>
      <c r="K204" s="36" t="s">
        <v>971</v>
      </c>
      <c r="L204" s="36" t="s">
        <v>39</v>
      </c>
      <c r="M204" s="37" t="s">
        <v>39</v>
      </c>
      <c r="N204" s="37" t="s">
        <v>1742</v>
      </c>
      <c r="O204" s="38">
        <v>1</v>
      </c>
      <c r="P204" s="38">
        <v>1</v>
      </c>
      <c r="Q204" s="35"/>
      <c r="S204" s="1">
        <f t="shared" si="63"/>
        <v>1</v>
      </c>
      <c r="T204" s="1">
        <f t="shared" si="64"/>
        <v>0</v>
      </c>
      <c r="U204" s="1">
        <f t="shared" si="65"/>
        <v>0</v>
      </c>
      <c r="V204" s="1">
        <f t="shared" si="66"/>
        <v>0</v>
      </c>
      <c r="W204" s="1">
        <f t="shared" si="67"/>
        <v>0</v>
      </c>
      <c r="X204" s="1">
        <f t="shared" si="68"/>
        <v>0</v>
      </c>
      <c r="Y204" s="1">
        <f t="shared" si="69"/>
        <v>0</v>
      </c>
      <c r="Z204" s="1">
        <f t="shared" si="70"/>
        <v>0</v>
      </c>
      <c r="AA204" s="1">
        <f t="shared" si="71"/>
        <v>0</v>
      </c>
      <c r="AB204" s="1">
        <f t="shared" si="72"/>
        <v>0</v>
      </c>
      <c r="AD204" s="1">
        <f t="shared" si="73"/>
        <v>1</v>
      </c>
      <c r="AE204" s="1">
        <f t="shared" si="74"/>
        <v>0</v>
      </c>
      <c r="AF204" s="1">
        <f t="shared" si="75"/>
        <v>1</v>
      </c>
      <c r="AG204" s="1">
        <f t="shared" si="76"/>
        <v>0</v>
      </c>
      <c r="AH204" s="1">
        <f t="shared" si="77"/>
        <v>1</v>
      </c>
      <c r="AI204" s="1">
        <f t="shared" si="78"/>
        <v>0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93</v>
      </c>
      <c r="E205" s="35" t="s">
        <v>169</v>
      </c>
      <c r="F205" s="35" t="s">
        <v>289</v>
      </c>
      <c r="G205" s="35" t="s">
        <v>202</v>
      </c>
      <c r="H205" s="35" t="s">
        <v>357</v>
      </c>
      <c r="I205" s="34" t="s">
        <v>444</v>
      </c>
      <c r="J205" s="34">
        <v>2</v>
      </c>
      <c r="K205" s="36" t="s">
        <v>969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Q205" s="35"/>
      <c r="S205" s="1">
        <f t="shared" ref="S205:S267" si="79">IF(J205=$S$7,1,0)</f>
        <v>0</v>
      </c>
      <c r="T205" s="1">
        <f t="shared" ref="T205:T267" si="80">IF(J205=$T$7,1,0)</f>
        <v>1</v>
      </c>
      <c r="U205" s="1">
        <f t="shared" ref="U205:U267" si="81">IF(J205=$U$7,1,0)</f>
        <v>0</v>
      </c>
      <c r="V205" s="1">
        <f t="shared" ref="V205:V267" si="82">IF(J205=$V$7,1,0)</f>
        <v>0</v>
      </c>
      <c r="W205" s="1">
        <f t="shared" ref="W205:W267" si="83">IF(J205=$W$7,1,0)</f>
        <v>0</v>
      </c>
      <c r="X205" s="1">
        <f t="shared" ref="X205:X267" si="84">IF(J205=$X$7,1,0)</f>
        <v>0</v>
      </c>
      <c r="Y205" s="1">
        <f t="shared" ref="Y205:Y267" si="85">IF(J205=$Y$7,1,0)</f>
        <v>0</v>
      </c>
      <c r="Z205" s="1">
        <f t="shared" ref="Z205:Z267" si="86">IF(J205=$Z$7,1,0)</f>
        <v>0</v>
      </c>
      <c r="AA205" s="1">
        <f t="shared" ref="AA205:AA267" si="87">IF(J205=$AA$7,1,0)</f>
        <v>0</v>
      </c>
      <c r="AB205" s="1">
        <f t="shared" ref="AB205:AB267" si="88">IF(J205=$AB$7,1,0)</f>
        <v>0</v>
      </c>
      <c r="AD205" s="1">
        <f t="shared" ref="AD205:AD267" si="89">+O205*P205</f>
        <v>1</v>
      </c>
      <c r="AE205" s="1">
        <f t="shared" ref="AE205:AE267" si="90">O205*(1-P205)</f>
        <v>0</v>
      </c>
      <c r="AF205" s="1">
        <f t="shared" si="75"/>
        <v>1</v>
      </c>
      <c r="AG205" s="1">
        <f t="shared" si="76"/>
        <v>0</v>
      </c>
      <c r="AH205" s="1">
        <f t="shared" si="77"/>
        <v>1</v>
      </c>
      <c r="AI205" s="1">
        <f t="shared" si="78"/>
        <v>0</v>
      </c>
    </row>
    <row r="206" spans="1:35" ht="14.25" customHeight="1" x14ac:dyDescent="0.25">
      <c r="A206" s="47">
        <v>0</v>
      </c>
      <c r="B206" s="47">
        <v>1</v>
      </c>
      <c r="C206" s="47">
        <v>6</v>
      </c>
      <c r="D206" s="48" t="s">
        <v>1290</v>
      </c>
      <c r="E206" s="48" t="s">
        <v>169</v>
      </c>
      <c r="F206" s="48" t="s">
        <v>1160</v>
      </c>
      <c r="G206" s="48" t="s">
        <v>1356</v>
      </c>
      <c r="H206" s="48" t="s">
        <v>357</v>
      </c>
      <c r="I206" s="47" t="s">
        <v>1161</v>
      </c>
      <c r="J206" s="47">
        <v>99</v>
      </c>
      <c r="K206" s="49" t="s">
        <v>709</v>
      </c>
      <c r="L206" s="49">
        <v>45</v>
      </c>
      <c r="M206" s="50" t="s">
        <v>39</v>
      </c>
      <c r="N206" s="50" t="s">
        <v>1750</v>
      </c>
      <c r="O206" s="51"/>
      <c r="P206" s="51"/>
      <c r="Q206" s="48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75"/>
        <v>0</v>
      </c>
      <c r="AG206" s="1">
        <f t="shared" si="76"/>
        <v>0</v>
      </c>
      <c r="AH206" s="1">
        <f t="shared" si="77"/>
        <v>0</v>
      </c>
      <c r="AI206" s="1">
        <f t="shared" si="78"/>
        <v>1</v>
      </c>
    </row>
    <row r="207" spans="1:35" ht="14.25" customHeight="1" x14ac:dyDescent="0.25">
      <c r="A207" s="41">
        <v>0</v>
      </c>
      <c r="B207" s="41">
        <v>1</v>
      </c>
      <c r="C207" s="41">
        <v>6</v>
      </c>
      <c r="D207" s="57" t="s">
        <v>1806</v>
      </c>
      <c r="E207" s="42" t="s">
        <v>169</v>
      </c>
      <c r="F207" s="42" t="s">
        <v>1781</v>
      </c>
      <c r="G207" s="42"/>
      <c r="H207" s="42" t="s">
        <v>357</v>
      </c>
      <c r="I207" s="41" t="s">
        <v>1782</v>
      </c>
      <c r="J207" s="41"/>
      <c r="K207" s="43" t="s">
        <v>710</v>
      </c>
      <c r="L207" s="43"/>
      <c r="M207" s="44"/>
      <c r="N207" s="45"/>
      <c r="O207" s="46"/>
      <c r="P207" s="46">
        <v>1</v>
      </c>
      <c r="Q207" s="42"/>
      <c r="S207" s="1">
        <f t="shared" si="79"/>
        <v>0</v>
      </c>
      <c r="T207" s="1">
        <f t="shared" si="80"/>
        <v>0</v>
      </c>
      <c r="U207" s="1">
        <f t="shared" si="81"/>
        <v>0</v>
      </c>
      <c r="V207" s="1">
        <f t="shared" si="82"/>
        <v>0</v>
      </c>
      <c r="W207" s="1">
        <f t="shared" si="83"/>
        <v>0</v>
      </c>
      <c r="X207" s="1">
        <f t="shared" si="84"/>
        <v>0</v>
      </c>
      <c r="Y207" s="1">
        <f t="shared" si="85"/>
        <v>0</v>
      </c>
      <c r="Z207" s="1">
        <f t="shared" si="86"/>
        <v>0</v>
      </c>
      <c r="AA207" s="1">
        <f t="shared" si="87"/>
        <v>0</v>
      </c>
      <c r="AB207" s="1">
        <f t="shared" si="88"/>
        <v>0</v>
      </c>
      <c r="AD207" s="1">
        <f t="shared" si="89"/>
        <v>0</v>
      </c>
      <c r="AE207" s="1">
        <f t="shared" si="90"/>
        <v>0</v>
      </c>
      <c r="AF207" s="1">
        <f t="shared" si="75"/>
        <v>0</v>
      </c>
      <c r="AG207" s="1">
        <f t="shared" si="76"/>
        <v>0</v>
      </c>
      <c r="AH207" s="1">
        <f t="shared" si="77"/>
        <v>1</v>
      </c>
      <c r="AI207" s="1">
        <f t="shared" si="78"/>
        <v>0</v>
      </c>
    </row>
    <row r="208" spans="1:35" ht="14.25" customHeight="1" x14ac:dyDescent="0.25">
      <c r="A208" s="34">
        <v>0</v>
      </c>
      <c r="B208" s="34">
        <v>1</v>
      </c>
      <c r="C208" s="34">
        <v>6</v>
      </c>
      <c r="D208" s="35" t="s">
        <v>1021</v>
      </c>
      <c r="E208" s="35" t="s">
        <v>169</v>
      </c>
      <c r="F208" s="35" t="s">
        <v>1022</v>
      </c>
      <c r="G208" s="35" t="s">
        <v>1113</v>
      </c>
      <c r="H208" s="35" t="s">
        <v>357</v>
      </c>
      <c r="I208" s="34" t="s">
        <v>1023</v>
      </c>
      <c r="J208" s="34">
        <v>99</v>
      </c>
      <c r="K208" s="36" t="s">
        <v>971</v>
      </c>
      <c r="L208" s="36" t="s">
        <v>39</v>
      </c>
      <c r="M208" s="37" t="s">
        <v>39</v>
      </c>
      <c r="N208" s="37" t="s">
        <v>1742</v>
      </c>
      <c r="O208" s="38">
        <v>1</v>
      </c>
      <c r="P208" s="38">
        <v>1</v>
      </c>
      <c r="Q208" s="35"/>
      <c r="S208" s="1">
        <f t="shared" si="79"/>
        <v>0</v>
      </c>
      <c r="T208" s="1">
        <f t="shared" si="80"/>
        <v>0</v>
      </c>
      <c r="U208" s="1">
        <f t="shared" si="81"/>
        <v>0</v>
      </c>
      <c r="V208" s="1">
        <f t="shared" si="82"/>
        <v>0</v>
      </c>
      <c r="W208" s="1">
        <f t="shared" si="83"/>
        <v>0</v>
      </c>
      <c r="X208" s="1">
        <f t="shared" si="84"/>
        <v>0</v>
      </c>
      <c r="Y208" s="1">
        <f t="shared" si="85"/>
        <v>0</v>
      </c>
      <c r="Z208" s="1">
        <f t="shared" si="86"/>
        <v>0</v>
      </c>
      <c r="AA208" s="1">
        <f t="shared" si="87"/>
        <v>0</v>
      </c>
      <c r="AB208" s="1">
        <f t="shared" si="88"/>
        <v>0</v>
      </c>
      <c r="AD208" s="1">
        <f t="shared" si="89"/>
        <v>1</v>
      </c>
      <c r="AE208" s="1">
        <f t="shared" si="90"/>
        <v>0</v>
      </c>
      <c r="AF208" s="1">
        <f t="shared" si="75"/>
        <v>1</v>
      </c>
      <c r="AG208" s="1">
        <f t="shared" si="76"/>
        <v>0</v>
      </c>
      <c r="AH208" s="1">
        <f t="shared" si="77"/>
        <v>1</v>
      </c>
      <c r="AI208" s="1">
        <f t="shared" si="78"/>
        <v>0</v>
      </c>
    </row>
    <row r="209" spans="1:35" ht="14.25" customHeight="1" x14ac:dyDescent="0.25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292</v>
      </c>
      <c r="G209" s="48" t="s">
        <v>196</v>
      </c>
      <c r="H209" s="48" t="s">
        <v>357</v>
      </c>
      <c r="I209" s="47" t="s">
        <v>446</v>
      </c>
      <c r="J209" s="47">
        <v>9</v>
      </c>
      <c r="K209" s="49" t="s">
        <v>709</v>
      </c>
      <c r="L209" s="49" t="s">
        <v>701</v>
      </c>
      <c r="M209" s="50" t="s">
        <v>713</v>
      </c>
      <c r="N209" s="50" t="s">
        <v>1754</v>
      </c>
      <c r="O209" s="51"/>
      <c r="P209" s="51"/>
      <c r="Q209" s="48"/>
      <c r="S209" s="1">
        <f t="shared" si="79"/>
        <v>0</v>
      </c>
      <c r="T209" s="1">
        <f t="shared" si="80"/>
        <v>0</v>
      </c>
      <c r="U209" s="1">
        <f t="shared" si="81"/>
        <v>0</v>
      </c>
      <c r="V209" s="1">
        <f t="shared" si="82"/>
        <v>0</v>
      </c>
      <c r="W209" s="1">
        <f t="shared" si="83"/>
        <v>0</v>
      </c>
      <c r="X209" s="1">
        <f t="shared" si="84"/>
        <v>0</v>
      </c>
      <c r="Y209" s="1">
        <f t="shared" si="85"/>
        <v>0</v>
      </c>
      <c r="Z209" s="1">
        <f t="shared" si="86"/>
        <v>0</v>
      </c>
      <c r="AA209" s="1">
        <f t="shared" si="87"/>
        <v>1</v>
      </c>
      <c r="AB209" s="1">
        <f t="shared" si="88"/>
        <v>0</v>
      </c>
      <c r="AD209" s="1">
        <f t="shared" si="89"/>
        <v>0</v>
      </c>
      <c r="AE209" s="1">
        <f t="shared" si="90"/>
        <v>0</v>
      </c>
      <c r="AF209" s="1">
        <f t="shared" si="75"/>
        <v>0</v>
      </c>
      <c r="AG209" s="1">
        <f t="shared" si="76"/>
        <v>0</v>
      </c>
      <c r="AH209" s="1">
        <f t="shared" si="77"/>
        <v>0</v>
      </c>
      <c r="AI209" s="1">
        <f t="shared" si="78"/>
        <v>1</v>
      </c>
    </row>
    <row r="210" spans="1:35" ht="14.25" customHeight="1" x14ac:dyDescent="0.25">
      <c r="A210" s="41">
        <v>0</v>
      </c>
      <c r="B210" s="41">
        <v>1</v>
      </c>
      <c r="C210" s="41">
        <v>6</v>
      </c>
      <c r="D210" s="42" t="s">
        <v>1624</v>
      </c>
      <c r="E210" s="42" t="s">
        <v>1625</v>
      </c>
      <c r="F210" s="42" t="s">
        <v>1626</v>
      </c>
      <c r="G210" s="42" t="s">
        <v>194</v>
      </c>
      <c r="H210" s="42" t="s">
        <v>357</v>
      </c>
      <c r="I210" s="41" t="s">
        <v>1627</v>
      </c>
      <c r="J210" s="41">
        <v>10</v>
      </c>
      <c r="K210" s="43" t="s">
        <v>963</v>
      </c>
      <c r="L210" s="43" t="s">
        <v>693</v>
      </c>
      <c r="M210" s="44" t="s">
        <v>1628</v>
      </c>
      <c r="N210" s="45"/>
      <c r="O210" s="46"/>
      <c r="P210" s="46">
        <v>1</v>
      </c>
      <c r="Q210" s="42"/>
      <c r="S210" s="1">
        <f t="shared" si="79"/>
        <v>0</v>
      </c>
      <c r="T210" s="1">
        <f t="shared" si="80"/>
        <v>0</v>
      </c>
      <c r="U210" s="1">
        <f t="shared" si="81"/>
        <v>0</v>
      </c>
      <c r="V210" s="1">
        <f t="shared" si="82"/>
        <v>0</v>
      </c>
      <c r="W210" s="1">
        <f t="shared" si="83"/>
        <v>0</v>
      </c>
      <c r="X210" s="1">
        <f t="shared" si="84"/>
        <v>0</v>
      </c>
      <c r="Y210" s="1">
        <f t="shared" si="85"/>
        <v>0</v>
      </c>
      <c r="Z210" s="1">
        <f t="shared" si="86"/>
        <v>0</v>
      </c>
      <c r="AA210" s="1">
        <f t="shared" si="87"/>
        <v>0</v>
      </c>
      <c r="AB210" s="1">
        <f t="shared" si="88"/>
        <v>1</v>
      </c>
      <c r="AD210" s="1">
        <f t="shared" si="89"/>
        <v>0</v>
      </c>
      <c r="AE210" s="1">
        <f t="shared" si="90"/>
        <v>0</v>
      </c>
      <c r="AF210" s="1">
        <f t="shared" si="75"/>
        <v>0</v>
      </c>
      <c r="AG210" s="1">
        <f t="shared" si="76"/>
        <v>0</v>
      </c>
      <c r="AH210" s="1">
        <f t="shared" si="77"/>
        <v>1</v>
      </c>
      <c r="AI210" s="1">
        <f t="shared" si="78"/>
        <v>0</v>
      </c>
    </row>
    <row r="211" spans="1:35" ht="14.25" customHeight="1" x14ac:dyDescent="0.25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293</v>
      </c>
      <c r="G211" s="48" t="s">
        <v>294</v>
      </c>
      <c r="H211" s="48" t="s">
        <v>357</v>
      </c>
      <c r="I211" s="47" t="s">
        <v>447</v>
      </c>
      <c r="J211" s="47">
        <v>7</v>
      </c>
      <c r="K211" s="49" t="s">
        <v>709</v>
      </c>
      <c r="L211" s="49" t="s">
        <v>701</v>
      </c>
      <c r="M211" s="50" t="s">
        <v>705</v>
      </c>
      <c r="N211" s="50" t="s">
        <v>1749</v>
      </c>
      <c r="O211" s="51"/>
      <c r="P211" s="51"/>
      <c r="Q211" s="48"/>
      <c r="S211" s="1">
        <f t="shared" si="79"/>
        <v>0</v>
      </c>
      <c r="T211" s="1">
        <f t="shared" si="80"/>
        <v>0</v>
      </c>
      <c r="U211" s="1">
        <f t="shared" si="81"/>
        <v>0</v>
      </c>
      <c r="V211" s="1">
        <f t="shared" si="82"/>
        <v>0</v>
      </c>
      <c r="W211" s="1">
        <f t="shared" si="83"/>
        <v>0</v>
      </c>
      <c r="X211" s="1">
        <f t="shared" si="84"/>
        <v>0</v>
      </c>
      <c r="Y211" s="1">
        <f t="shared" si="85"/>
        <v>1</v>
      </c>
      <c r="Z211" s="1">
        <f t="shared" si="86"/>
        <v>0</v>
      </c>
      <c r="AA211" s="1">
        <f t="shared" si="87"/>
        <v>0</v>
      </c>
      <c r="AB211" s="1">
        <f t="shared" si="88"/>
        <v>0</v>
      </c>
      <c r="AD211" s="1">
        <f t="shared" si="89"/>
        <v>0</v>
      </c>
      <c r="AE211" s="1">
        <f t="shared" si="90"/>
        <v>0</v>
      </c>
      <c r="AF211" s="1">
        <f t="shared" si="75"/>
        <v>0</v>
      </c>
      <c r="AG211" s="1">
        <f t="shared" si="76"/>
        <v>0</v>
      </c>
      <c r="AH211" s="1">
        <f t="shared" si="77"/>
        <v>0</v>
      </c>
      <c r="AI211" s="1">
        <f t="shared" si="78"/>
        <v>1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1095</v>
      </c>
      <c r="E212" s="35" t="s">
        <v>169</v>
      </c>
      <c r="F212" s="35" t="s">
        <v>666</v>
      </c>
      <c r="G212" s="35" t="s">
        <v>181</v>
      </c>
      <c r="H212" s="35" t="s">
        <v>357</v>
      </c>
      <c r="I212" s="34" t="s">
        <v>384</v>
      </c>
      <c r="J212" s="34">
        <v>10</v>
      </c>
      <c r="K212" s="36" t="s">
        <v>729</v>
      </c>
      <c r="L212" s="36" t="s">
        <v>711</v>
      </c>
      <c r="M212" s="37" t="s">
        <v>714</v>
      </c>
      <c r="N212" s="37" t="s">
        <v>1765</v>
      </c>
      <c r="O212" s="38">
        <v>1</v>
      </c>
      <c r="P212" s="38"/>
      <c r="Q212" s="35"/>
      <c r="S212" s="1">
        <f t="shared" si="79"/>
        <v>0</v>
      </c>
      <c r="T212" s="1">
        <f t="shared" si="80"/>
        <v>0</v>
      </c>
      <c r="U212" s="1">
        <f t="shared" si="81"/>
        <v>0</v>
      </c>
      <c r="V212" s="1">
        <f t="shared" si="82"/>
        <v>0</v>
      </c>
      <c r="W212" s="1">
        <f t="shared" si="83"/>
        <v>0</v>
      </c>
      <c r="X212" s="1">
        <f t="shared" si="84"/>
        <v>0</v>
      </c>
      <c r="Y212" s="1">
        <f t="shared" si="85"/>
        <v>0</v>
      </c>
      <c r="Z212" s="1">
        <f t="shared" si="86"/>
        <v>0</v>
      </c>
      <c r="AA212" s="1">
        <f t="shared" si="87"/>
        <v>0</v>
      </c>
      <c r="AB212" s="1">
        <f t="shared" si="88"/>
        <v>1</v>
      </c>
      <c r="AD212" s="1">
        <f t="shared" si="89"/>
        <v>0</v>
      </c>
      <c r="AE212" s="1">
        <f t="shared" si="90"/>
        <v>1</v>
      </c>
      <c r="AF212" s="1">
        <f t="shared" si="75"/>
        <v>0</v>
      </c>
      <c r="AG212" s="1">
        <f t="shared" si="76"/>
        <v>1</v>
      </c>
      <c r="AH212" s="1">
        <f t="shared" si="77"/>
        <v>0</v>
      </c>
      <c r="AI212" s="1">
        <f t="shared" si="78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1243</v>
      </c>
      <c r="E213" s="35" t="s">
        <v>167</v>
      </c>
      <c r="F213" s="35" t="s">
        <v>1244</v>
      </c>
      <c r="G213" s="35" t="s">
        <v>1246</v>
      </c>
      <c r="H213" s="35" t="s">
        <v>357</v>
      </c>
      <c r="I213" s="34" t="s">
        <v>1245</v>
      </c>
      <c r="J213" s="34">
        <v>99</v>
      </c>
      <c r="K213" s="36" t="s">
        <v>729</v>
      </c>
      <c r="L213" s="36" t="s">
        <v>700</v>
      </c>
      <c r="M213" s="37" t="s">
        <v>1415</v>
      </c>
      <c r="N213" s="37" t="s">
        <v>1758</v>
      </c>
      <c r="O213" s="38">
        <v>1</v>
      </c>
      <c r="P213" s="38"/>
      <c r="Q213" s="35"/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1</v>
      </c>
      <c r="AF213" s="1">
        <f t="shared" si="75"/>
        <v>0</v>
      </c>
      <c r="AG213" s="1">
        <f t="shared" si="76"/>
        <v>1</v>
      </c>
      <c r="AH213" s="1">
        <f t="shared" si="77"/>
        <v>0</v>
      </c>
      <c r="AI213" s="1">
        <f t="shared" si="78"/>
        <v>1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985</v>
      </c>
      <c r="E214" s="35" t="s">
        <v>167</v>
      </c>
      <c r="F214" s="35" t="s">
        <v>983</v>
      </c>
      <c r="G214" s="35" t="s">
        <v>1115</v>
      </c>
      <c r="H214" s="35" t="s">
        <v>357</v>
      </c>
      <c r="I214" s="34" t="s">
        <v>984</v>
      </c>
      <c r="J214" s="34">
        <v>1</v>
      </c>
      <c r="K214" s="36" t="s">
        <v>963</v>
      </c>
      <c r="L214" s="36" t="s">
        <v>696</v>
      </c>
      <c r="M214" s="37" t="s">
        <v>1416</v>
      </c>
      <c r="N214" s="37" t="s">
        <v>1763</v>
      </c>
      <c r="O214" s="38">
        <v>1</v>
      </c>
      <c r="P214" s="38"/>
      <c r="Q214" s="35"/>
      <c r="S214" s="1">
        <f t="shared" si="79"/>
        <v>1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0</v>
      </c>
      <c r="AE214" s="1">
        <f t="shared" si="90"/>
        <v>1</v>
      </c>
      <c r="AF214" s="1">
        <f t="shared" si="75"/>
        <v>0</v>
      </c>
      <c r="AG214" s="1">
        <f t="shared" si="76"/>
        <v>1</v>
      </c>
      <c r="AH214" s="1">
        <f t="shared" si="77"/>
        <v>0</v>
      </c>
      <c r="AI214" s="1">
        <f t="shared" si="78"/>
        <v>1</v>
      </c>
    </row>
    <row r="215" spans="1:35" ht="14.25" customHeight="1" x14ac:dyDescent="0.25">
      <c r="A215" s="47">
        <v>0</v>
      </c>
      <c r="B215" s="47">
        <v>1</v>
      </c>
      <c r="C215" s="47">
        <v>6</v>
      </c>
      <c r="D215" s="48" t="s">
        <v>526</v>
      </c>
      <c r="E215" s="48" t="s">
        <v>169</v>
      </c>
      <c r="F215" s="48" t="s">
        <v>527</v>
      </c>
      <c r="G215" s="48" t="s">
        <v>528</v>
      </c>
      <c r="H215" s="48" t="s">
        <v>357</v>
      </c>
      <c r="I215" s="47" t="s">
        <v>529</v>
      </c>
      <c r="J215" s="47">
        <v>99</v>
      </c>
      <c r="K215" s="49" t="s">
        <v>709</v>
      </c>
      <c r="L215" s="49" t="s">
        <v>701</v>
      </c>
      <c r="M215" s="50" t="s">
        <v>714</v>
      </c>
      <c r="N215" s="50" t="s">
        <v>1824</v>
      </c>
      <c r="O215" s="51"/>
      <c r="P215" s="51"/>
      <c r="Q215" s="48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0</v>
      </c>
      <c r="AF215" s="1">
        <f t="shared" si="75"/>
        <v>0</v>
      </c>
      <c r="AG215" s="1">
        <f t="shared" si="76"/>
        <v>0</v>
      </c>
      <c r="AH215" s="1">
        <f t="shared" si="77"/>
        <v>0</v>
      </c>
      <c r="AI215" s="1">
        <f t="shared" si="78"/>
        <v>1</v>
      </c>
    </row>
    <row r="216" spans="1:35" ht="14.25" customHeight="1" x14ac:dyDescent="0.25">
      <c r="A216" s="41">
        <v>0</v>
      </c>
      <c r="B216" s="41">
        <v>1</v>
      </c>
      <c r="C216" s="41">
        <v>6</v>
      </c>
      <c r="D216" s="42" t="s">
        <v>1852</v>
      </c>
      <c r="E216" s="42" t="s">
        <v>1853</v>
      </c>
      <c r="F216" s="42" t="s">
        <v>1854</v>
      </c>
      <c r="G216" s="42"/>
      <c r="H216" s="42" t="s">
        <v>357</v>
      </c>
      <c r="I216" s="41" t="s">
        <v>1855</v>
      </c>
      <c r="J216" s="41"/>
      <c r="K216" s="43" t="s">
        <v>710</v>
      </c>
      <c r="L216" s="43"/>
      <c r="M216" s="44"/>
      <c r="N216" s="45"/>
      <c r="O216" s="46"/>
      <c r="P216" s="46">
        <v>1</v>
      </c>
      <c r="Q216" s="42"/>
      <c r="S216" s="1">
        <f t="shared" si="79"/>
        <v>0</v>
      </c>
      <c r="T216" s="1">
        <f t="shared" si="80"/>
        <v>0</v>
      </c>
      <c r="U216" s="1">
        <f t="shared" si="81"/>
        <v>0</v>
      </c>
      <c r="V216" s="1">
        <f t="shared" si="82"/>
        <v>0</v>
      </c>
      <c r="W216" s="1">
        <f t="shared" si="83"/>
        <v>0</v>
      </c>
      <c r="X216" s="1">
        <f t="shared" si="84"/>
        <v>0</v>
      </c>
      <c r="Y216" s="1">
        <f t="shared" si="85"/>
        <v>0</v>
      </c>
      <c r="Z216" s="1">
        <f t="shared" si="86"/>
        <v>0</v>
      </c>
      <c r="AA216" s="1">
        <f t="shared" si="87"/>
        <v>0</v>
      </c>
      <c r="AB216" s="1">
        <f t="shared" si="88"/>
        <v>0</v>
      </c>
      <c r="AD216" s="1">
        <f t="shared" si="89"/>
        <v>0</v>
      </c>
      <c r="AE216" s="1">
        <f t="shared" si="90"/>
        <v>0</v>
      </c>
      <c r="AF216" s="1">
        <f t="shared" si="75"/>
        <v>0</v>
      </c>
      <c r="AG216" s="1">
        <f t="shared" si="76"/>
        <v>0</v>
      </c>
      <c r="AH216" s="1">
        <f t="shared" si="77"/>
        <v>1</v>
      </c>
      <c r="AI216" s="1">
        <f t="shared" si="78"/>
        <v>0</v>
      </c>
    </row>
    <row r="217" spans="1:35" ht="14.25" customHeight="1" x14ac:dyDescent="0.25">
      <c r="A217" s="47">
        <v>0</v>
      </c>
      <c r="B217" s="47">
        <v>1</v>
      </c>
      <c r="C217" s="47">
        <v>6</v>
      </c>
      <c r="D217" s="48" t="s">
        <v>1495</v>
      </c>
      <c r="E217" s="48" t="s">
        <v>169</v>
      </c>
      <c r="F217" s="48" t="s">
        <v>1497</v>
      </c>
      <c r="G217" s="48" t="s">
        <v>1498</v>
      </c>
      <c r="H217" s="48" t="s">
        <v>357</v>
      </c>
      <c r="I217" s="47" t="s">
        <v>1496</v>
      </c>
      <c r="J217" s="47">
        <v>99</v>
      </c>
      <c r="K217" s="49" t="s">
        <v>710</v>
      </c>
      <c r="L217" s="49">
        <v>62</v>
      </c>
      <c r="M217" s="50"/>
      <c r="N217" s="50" t="s">
        <v>1749</v>
      </c>
      <c r="O217" s="51"/>
      <c r="P217" s="51"/>
      <c r="Q217" s="48"/>
      <c r="S217" s="1">
        <f t="shared" si="79"/>
        <v>0</v>
      </c>
      <c r="T217" s="1">
        <f t="shared" si="80"/>
        <v>0</v>
      </c>
      <c r="U217" s="1">
        <f t="shared" si="81"/>
        <v>0</v>
      </c>
      <c r="V217" s="1">
        <f t="shared" si="82"/>
        <v>0</v>
      </c>
      <c r="W217" s="1">
        <f t="shared" si="83"/>
        <v>0</v>
      </c>
      <c r="X217" s="1">
        <f t="shared" si="84"/>
        <v>0</v>
      </c>
      <c r="Y217" s="1">
        <f t="shared" si="85"/>
        <v>0</v>
      </c>
      <c r="Z217" s="1">
        <f t="shared" si="86"/>
        <v>0</v>
      </c>
      <c r="AA217" s="1">
        <f t="shared" si="87"/>
        <v>0</v>
      </c>
      <c r="AB217" s="1">
        <f t="shared" si="88"/>
        <v>0</v>
      </c>
      <c r="AD217" s="1">
        <f t="shared" si="89"/>
        <v>0</v>
      </c>
      <c r="AE217" s="1">
        <f t="shared" si="90"/>
        <v>0</v>
      </c>
      <c r="AF217" s="1">
        <f t="shared" si="75"/>
        <v>0</v>
      </c>
      <c r="AG217" s="1">
        <f t="shared" si="76"/>
        <v>0</v>
      </c>
      <c r="AH217" s="1">
        <f t="shared" si="77"/>
        <v>0</v>
      </c>
      <c r="AI217" s="1">
        <f t="shared" si="78"/>
        <v>1</v>
      </c>
    </row>
    <row r="218" spans="1:35" ht="14.25" customHeight="1" x14ac:dyDescent="0.25">
      <c r="A218" s="34">
        <v>0</v>
      </c>
      <c r="B218" s="34">
        <v>1</v>
      </c>
      <c r="C218" s="34">
        <v>6</v>
      </c>
      <c r="D218" s="35" t="s">
        <v>1210</v>
      </c>
      <c r="E218" s="35" t="s">
        <v>167</v>
      </c>
      <c r="F218" s="35" t="s">
        <v>1685</v>
      </c>
      <c r="G218" s="35" t="s">
        <v>215</v>
      </c>
      <c r="H218" s="35" t="s">
        <v>357</v>
      </c>
      <c r="I218" s="34" t="s">
        <v>1211</v>
      </c>
      <c r="J218" s="34">
        <v>1</v>
      </c>
      <c r="K218" s="36" t="s">
        <v>969</v>
      </c>
      <c r="L218" s="36" t="s">
        <v>693</v>
      </c>
      <c r="M218" s="37" t="s">
        <v>1587</v>
      </c>
      <c r="N218" s="37" t="s">
        <v>1770</v>
      </c>
      <c r="O218" s="38">
        <v>1</v>
      </c>
      <c r="P218" s="38"/>
      <c r="Q218" s="35"/>
      <c r="S218" s="1">
        <f t="shared" si="79"/>
        <v>1</v>
      </c>
      <c r="T218" s="1">
        <f t="shared" si="80"/>
        <v>0</v>
      </c>
      <c r="U218" s="1">
        <f t="shared" si="81"/>
        <v>0</v>
      </c>
      <c r="V218" s="1">
        <f t="shared" si="82"/>
        <v>0</v>
      </c>
      <c r="W218" s="1">
        <f t="shared" si="83"/>
        <v>0</v>
      </c>
      <c r="X218" s="1">
        <f t="shared" si="84"/>
        <v>0</v>
      </c>
      <c r="Y218" s="1">
        <f t="shared" si="85"/>
        <v>0</v>
      </c>
      <c r="Z218" s="1">
        <f t="shared" si="86"/>
        <v>0</v>
      </c>
      <c r="AA218" s="1">
        <f t="shared" si="87"/>
        <v>0</v>
      </c>
      <c r="AB218" s="1">
        <f t="shared" si="88"/>
        <v>0</v>
      </c>
      <c r="AD218" s="1">
        <f t="shared" si="89"/>
        <v>0</v>
      </c>
      <c r="AE218" s="1">
        <f t="shared" si="90"/>
        <v>1</v>
      </c>
      <c r="AF218" s="1">
        <f t="shared" si="75"/>
        <v>0</v>
      </c>
      <c r="AG218" s="1">
        <f t="shared" si="76"/>
        <v>1</v>
      </c>
      <c r="AH218" s="1">
        <f t="shared" si="77"/>
        <v>0</v>
      </c>
      <c r="AI218" s="1">
        <f t="shared" si="78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299</v>
      </c>
      <c r="G219" s="35" t="s">
        <v>288</v>
      </c>
      <c r="H219" s="35" t="s">
        <v>357</v>
      </c>
      <c r="I219" s="34" t="s">
        <v>1128</v>
      </c>
      <c r="J219" s="34">
        <v>10</v>
      </c>
      <c r="K219" s="36" t="s">
        <v>963</v>
      </c>
      <c r="L219" s="36" t="s">
        <v>701</v>
      </c>
      <c r="M219" s="37" t="s">
        <v>712</v>
      </c>
      <c r="N219" s="37" t="s">
        <v>1764</v>
      </c>
      <c r="O219" s="38">
        <v>1</v>
      </c>
      <c r="P219" s="38"/>
      <c r="Q219" s="35"/>
      <c r="S219" s="1">
        <f t="shared" si="79"/>
        <v>0</v>
      </c>
      <c r="T219" s="1">
        <f t="shared" si="80"/>
        <v>0</v>
      </c>
      <c r="U219" s="1">
        <f t="shared" si="81"/>
        <v>0</v>
      </c>
      <c r="V219" s="1">
        <f t="shared" si="82"/>
        <v>0</v>
      </c>
      <c r="W219" s="1">
        <f t="shared" si="83"/>
        <v>0</v>
      </c>
      <c r="X219" s="1">
        <f t="shared" si="84"/>
        <v>0</v>
      </c>
      <c r="Y219" s="1">
        <f t="shared" si="85"/>
        <v>0</v>
      </c>
      <c r="Z219" s="1">
        <f t="shared" si="86"/>
        <v>0</v>
      </c>
      <c r="AA219" s="1">
        <f t="shared" si="87"/>
        <v>0</v>
      </c>
      <c r="AB219" s="1">
        <f t="shared" si="88"/>
        <v>1</v>
      </c>
      <c r="AD219" s="1">
        <f t="shared" si="89"/>
        <v>0</v>
      </c>
      <c r="AE219" s="1">
        <f t="shared" si="90"/>
        <v>1</v>
      </c>
      <c r="AF219" s="1">
        <f t="shared" si="75"/>
        <v>0</v>
      </c>
      <c r="AG219" s="1">
        <f t="shared" si="76"/>
        <v>1</v>
      </c>
      <c r="AH219" s="1">
        <f t="shared" si="77"/>
        <v>0</v>
      </c>
      <c r="AI219" s="1">
        <f t="shared" si="78"/>
        <v>1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608</v>
      </c>
      <c r="E220" s="35" t="s">
        <v>167</v>
      </c>
      <c r="F220" s="35" t="s">
        <v>610</v>
      </c>
      <c r="G220" s="35" t="s">
        <v>39</v>
      </c>
      <c r="H220" s="35" t="s">
        <v>357</v>
      </c>
      <c r="I220" s="34" t="s">
        <v>609</v>
      </c>
      <c r="J220" s="34">
        <v>99</v>
      </c>
      <c r="K220" s="36" t="s">
        <v>963</v>
      </c>
      <c r="L220" s="36" t="s">
        <v>700</v>
      </c>
      <c r="M220" s="37" t="s">
        <v>977</v>
      </c>
      <c r="N220" s="37" t="s">
        <v>1764</v>
      </c>
      <c r="O220" s="38">
        <v>1</v>
      </c>
      <c r="P220" s="38"/>
      <c r="Q220" s="35"/>
      <c r="S220" s="1">
        <f t="shared" si="79"/>
        <v>0</v>
      </c>
      <c r="T220" s="1">
        <f t="shared" si="80"/>
        <v>0</v>
      </c>
      <c r="U220" s="1">
        <f t="shared" si="81"/>
        <v>0</v>
      </c>
      <c r="V220" s="1">
        <f t="shared" si="82"/>
        <v>0</v>
      </c>
      <c r="W220" s="1">
        <f t="shared" si="83"/>
        <v>0</v>
      </c>
      <c r="X220" s="1">
        <f t="shared" si="84"/>
        <v>0</v>
      </c>
      <c r="Y220" s="1">
        <f t="shared" si="85"/>
        <v>0</v>
      </c>
      <c r="Z220" s="1">
        <f t="shared" si="86"/>
        <v>0</v>
      </c>
      <c r="AA220" s="1">
        <f t="shared" si="87"/>
        <v>0</v>
      </c>
      <c r="AB220" s="1">
        <f t="shared" si="88"/>
        <v>0</v>
      </c>
      <c r="AD220" s="1">
        <f t="shared" si="89"/>
        <v>0</v>
      </c>
      <c r="AE220" s="1">
        <f t="shared" si="90"/>
        <v>1</v>
      </c>
      <c r="AF220" s="1">
        <f t="shared" si="75"/>
        <v>0</v>
      </c>
      <c r="AG220" s="1">
        <f t="shared" si="76"/>
        <v>1</v>
      </c>
      <c r="AH220" s="1">
        <f t="shared" si="77"/>
        <v>0</v>
      </c>
      <c r="AI220" s="1">
        <f t="shared" si="78"/>
        <v>1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1175</v>
      </c>
      <c r="E221" s="35" t="s">
        <v>167</v>
      </c>
      <c r="F221" s="35" t="s">
        <v>1177</v>
      </c>
      <c r="G221" s="35" t="s">
        <v>222</v>
      </c>
      <c r="H221" s="35" t="s">
        <v>357</v>
      </c>
      <c r="I221" s="34" t="s">
        <v>1176</v>
      </c>
      <c r="J221" s="34">
        <v>8</v>
      </c>
      <c r="K221" s="36" t="s">
        <v>709</v>
      </c>
      <c r="L221" s="36" t="s">
        <v>1728</v>
      </c>
      <c r="M221" s="37" t="s">
        <v>1417</v>
      </c>
      <c r="N221" s="37" t="s">
        <v>1763</v>
      </c>
      <c r="O221" s="38">
        <v>1</v>
      </c>
      <c r="P221" s="38"/>
      <c r="Q221" s="35"/>
      <c r="S221" s="1">
        <f t="shared" si="79"/>
        <v>0</v>
      </c>
      <c r="T221" s="1">
        <f t="shared" si="80"/>
        <v>0</v>
      </c>
      <c r="U221" s="1">
        <f t="shared" si="81"/>
        <v>0</v>
      </c>
      <c r="V221" s="1">
        <f t="shared" si="82"/>
        <v>0</v>
      </c>
      <c r="W221" s="1">
        <f t="shared" si="83"/>
        <v>0</v>
      </c>
      <c r="X221" s="1">
        <f t="shared" si="84"/>
        <v>0</v>
      </c>
      <c r="Y221" s="1">
        <f t="shared" si="85"/>
        <v>0</v>
      </c>
      <c r="Z221" s="1">
        <f t="shared" si="86"/>
        <v>1</v>
      </c>
      <c r="AA221" s="1">
        <f t="shared" si="87"/>
        <v>0</v>
      </c>
      <c r="AB221" s="1">
        <f t="shared" si="88"/>
        <v>0</v>
      </c>
      <c r="AD221" s="1">
        <f t="shared" si="89"/>
        <v>0</v>
      </c>
      <c r="AE221" s="1">
        <f t="shared" si="90"/>
        <v>1</v>
      </c>
      <c r="AF221" s="1">
        <f t="shared" si="75"/>
        <v>0</v>
      </c>
      <c r="AG221" s="1">
        <f t="shared" si="76"/>
        <v>1</v>
      </c>
      <c r="AH221" s="1">
        <f t="shared" si="77"/>
        <v>0</v>
      </c>
      <c r="AI221" s="1">
        <f t="shared" si="78"/>
        <v>1</v>
      </c>
    </row>
    <row r="222" spans="1:35" ht="14.25" customHeight="1" x14ac:dyDescent="0.25">
      <c r="A222" s="47">
        <v>0</v>
      </c>
      <c r="B222" s="47">
        <v>1</v>
      </c>
      <c r="C222" s="47">
        <v>6</v>
      </c>
      <c r="D222" s="48" t="s">
        <v>569</v>
      </c>
      <c r="E222" s="48" t="s">
        <v>169</v>
      </c>
      <c r="F222" s="48" t="s">
        <v>667</v>
      </c>
      <c r="G222" s="48" t="s">
        <v>204</v>
      </c>
      <c r="H222" s="48" t="s">
        <v>357</v>
      </c>
      <c r="I222" s="47" t="s">
        <v>588</v>
      </c>
      <c r="J222" s="47">
        <v>10</v>
      </c>
      <c r="K222" s="49" t="s">
        <v>969</v>
      </c>
      <c r="L222" s="49" t="s">
        <v>700</v>
      </c>
      <c r="M222" s="50" t="s">
        <v>712</v>
      </c>
      <c r="N222" s="50" t="s">
        <v>1754</v>
      </c>
      <c r="O222" s="51"/>
      <c r="P222" s="51"/>
      <c r="Q222" s="48"/>
      <c r="S222" s="1">
        <f t="shared" si="79"/>
        <v>0</v>
      </c>
      <c r="T222" s="1">
        <f t="shared" si="80"/>
        <v>0</v>
      </c>
      <c r="U222" s="1">
        <f t="shared" si="81"/>
        <v>0</v>
      </c>
      <c r="V222" s="1">
        <f t="shared" si="82"/>
        <v>0</v>
      </c>
      <c r="W222" s="1">
        <f t="shared" si="83"/>
        <v>0</v>
      </c>
      <c r="X222" s="1">
        <f t="shared" si="84"/>
        <v>0</v>
      </c>
      <c r="Y222" s="1">
        <f t="shared" si="85"/>
        <v>0</v>
      </c>
      <c r="Z222" s="1">
        <f t="shared" si="86"/>
        <v>0</v>
      </c>
      <c r="AA222" s="1">
        <f t="shared" si="87"/>
        <v>0</v>
      </c>
      <c r="AB222" s="1">
        <f t="shared" si="88"/>
        <v>1</v>
      </c>
      <c r="AD222" s="1">
        <f t="shared" si="89"/>
        <v>0</v>
      </c>
      <c r="AE222" s="1">
        <f t="shared" si="90"/>
        <v>0</v>
      </c>
      <c r="AF222" s="1">
        <f t="shared" si="75"/>
        <v>0</v>
      </c>
      <c r="AG222" s="1">
        <f t="shared" si="76"/>
        <v>0</v>
      </c>
      <c r="AH222" s="1">
        <f t="shared" si="77"/>
        <v>0</v>
      </c>
      <c r="AI222" s="1">
        <f t="shared" si="78"/>
        <v>1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904</v>
      </c>
      <c r="E223" s="48" t="s">
        <v>169</v>
      </c>
      <c r="F223" s="48" t="s">
        <v>945</v>
      </c>
      <c r="G223" s="48" t="s">
        <v>946</v>
      </c>
      <c r="H223" s="48" t="s">
        <v>357</v>
      </c>
      <c r="I223" s="47" t="s">
        <v>960</v>
      </c>
      <c r="J223" s="47">
        <v>99</v>
      </c>
      <c r="K223" s="49" t="s">
        <v>709</v>
      </c>
      <c r="L223" s="49" t="s">
        <v>696</v>
      </c>
      <c r="M223" s="50" t="s">
        <v>1418</v>
      </c>
      <c r="N223" s="50" t="s">
        <v>1753</v>
      </c>
      <c r="O223" s="51"/>
      <c r="P223" s="51"/>
      <c r="Q223" s="48"/>
      <c r="S223" s="1">
        <f t="shared" si="79"/>
        <v>0</v>
      </c>
      <c r="T223" s="1">
        <f t="shared" si="80"/>
        <v>0</v>
      </c>
      <c r="U223" s="1">
        <f t="shared" si="81"/>
        <v>0</v>
      </c>
      <c r="V223" s="1">
        <f t="shared" si="82"/>
        <v>0</v>
      </c>
      <c r="W223" s="1">
        <f t="shared" si="83"/>
        <v>0</v>
      </c>
      <c r="X223" s="1">
        <f t="shared" si="84"/>
        <v>0</v>
      </c>
      <c r="Y223" s="1">
        <f t="shared" si="85"/>
        <v>0</v>
      </c>
      <c r="Z223" s="1">
        <f t="shared" si="86"/>
        <v>0</v>
      </c>
      <c r="AA223" s="1">
        <f t="shared" si="87"/>
        <v>0</v>
      </c>
      <c r="AB223" s="1">
        <f t="shared" si="88"/>
        <v>0</v>
      </c>
      <c r="AD223" s="1">
        <f t="shared" si="89"/>
        <v>0</v>
      </c>
      <c r="AE223" s="1">
        <f t="shared" si="90"/>
        <v>0</v>
      </c>
      <c r="AF223" s="1">
        <f t="shared" si="75"/>
        <v>0</v>
      </c>
      <c r="AG223" s="1">
        <f t="shared" si="76"/>
        <v>0</v>
      </c>
      <c r="AH223" s="1">
        <f t="shared" si="77"/>
        <v>0</v>
      </c>
      <c r="AI223" s="1">
        <f t="shared" si="78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668</v>
      </c>
      <c r="G224" s="35" t="s">
        <v>670</v>
      </c>
      <c r="H224" s="35" t="s">
        <v>357</v>
      </c>
      <c r="I224" s="34" t="s">
        <v>451</v>
      </c>
      <c r="J224" s="34">
        <v>99</v>
      </c>
      <c r="K224" s="36" t="s">
        <v>729</v>
      </c>
      <c r="L224" s="36" t="s">
        <v>703</v>
      </c>
      <c r="M224" s="37" t="s">
        <v>714</v>
      </c>
      <c r="N224" s="37" t="s">
        <v>1764</v>
      </c>
      <c r="O224" s="38">
        <v>1</v>
      </c>
      <c r="P224" s="38"/>
      <c r="Q224" s="35"/>
      <c r="S224" s="1">
        <f t="shared" si="79"/>
        <v>0</v>
      </c>
      <c r="T224" s="1">
        <f t="shared" si="80"/>
        <v>0</v>
      </c>
      <c r="U224" s="1">
        <f t="shared" si="81"/>
        <v>0</v>
      </c>
      <c r="V224" s="1">
        <f t="shared" si="82"/>
        <v>0</v>
      </c>
      <c r="W224" s="1">
        <f t="shared" si="83"/>
        <v>0</v>
      </c>
      <c r="X224" s="1">
        <f t="shared" si="84"/>
        <v>0</v>
      </c>
      <c r="Y224" s="1">
        <f t="shared" si="85"/>
        <v>0</v>
      </c>
      <c r="Z224" s="1">
        <f t="shared" si="86"/>
        <v>0</v>
      </c>
      <c r="AA224" s="1">
        <f t="shared" si="87"/>
        <v>0</v>
      </c>
      <c r="AB224" s="1">
        <f t="shared" si="88"/>
        <v>0</v>
      </c>
      <c r="AD224" s="1">
        <f t="shared" si="89"/>
        <v>0</v>
      </c>
      <c r="AE224" s="1">
        <f t="shared" si="90"/>
        <v>1</v>
      </c>
      <c r="AF224" s="1">
        <f t="shared" si="75"/>
        <v>0</v>
      </c>
      <c r="AG224" s="1">
        <f t="shared" si="76"/>
        <v>1</v>
      </c>
      <c r="AH224" s="1">
        <f t="shared" si="77"/>
        <v>0</v>
      </c>
      <c r="AI224" s="1">
        <f t="shared" si="78"/>
        <v>1</v>
      </c>
    </row>
    <row r="225" spans="1:35" ht="14.25" customHeight="1" x14ac:dyDescent="0.25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669</v>
      </c>
      <c r="G225" s="42" t="s">
        <v>670</v>
      </c>
      <c r="H225" s="42" t="s">
        <v>357</v>
      </c>
      <c r="I225" s="41" t="s">
        <v>636</v>
      </c>
      <c r="J225" s="41">
        <v>99</v>
      </c>
      <c r="K225" s="43" t="s">
        <v>961</v>
      </c>
      <c r="L225" s="43" t="s">
        <v>700</v>
      </c>
      <c r="M225" s="44" t="s">
        <v>1419</v>
      </c>
      <c r="N225" s="45"/>
      <c r="O225" s="46"/>
      <c r="P225" s="46">
        <v>1</v>
      </c>
      <c r="Q225" s="42"/>
      <c r="S225" s="1">
        <f t="shared" si="79"/>
        <v>0</v>
      </c>
      <c r="T225" s="1">
        <f t="shared" si="80"/>
        <v>0</v>
      </c>
      <c r="U225" s="1">
        <f t="shared" si="81"/>
        <v>0</v>
      </c>
      <c r="V225" s="1">
        <f t="shared" si="82"/>
        <v>0</v>
      </c>
      <c r="W225" s="1">
        <f t="shared" si="83"/>
        <v>0</v>
      </c>
      <c r="X225" s="1">
        <f t="shared" si="84"/>
        <v>0</v>
      </c>
      <c r="Y225" s="1">
        <f t="shared" si="85"/>
        <v>0</v>
      </c>
      <c r="Z225" s="1">
        <f t="shared" si="86"/>
        <v>0</v>
      </c>
      <c r="AA225" s="1">
        <f t="shared" si="87"/>
        <v>0</v>
      </c>
      <c r="AB225" s="1">
        <f t="shared" si="88"/>
        <v>0</v>
      </c>
      <c r="AD225" s="1">
        <f t="shared" si="89"/>
        <v>0</v>
      </c>
      <c r="AE225" s="1">
        <f t="shared" si="90"/>
        <v>0</v>
      </c>
      <c r="AF225" s="1">
        <f t="shared" si="75"/>
        <v>0</v>
      </c>
      <c r="AG225" s="1">
        <f t="shared" si="76"/>
        <v>0</v>
      </c>
      <c r="AH225" s="1">
        <f t="shared" si="77"/>
        <v>1</v>
      </c>
      <c r="AI225" s="1">
        <f t="shared" si="78"/>
        <v>0</v>
      </c>
    </row>
    <row r="226" spans="1:35" ht="14.25" customHeight="1" x14ac:dyDescent="0.25">
      <c r="A226" s="47">
        <v>0</v>
      </c>
      <c r="B226" s="47">
        <v>1</v>
      </c>
      <c r="C226" s="47">
        <v>7</v>
      </c>
      <c r="D226" s="48" t="s">
        <v>655</v>
      </c>
      <c r="E226" s="48" t="s">
        <v>29</v>
      </c>
      <c r="F226" s="48" t="s">
        <v>631</v>
      </c>
      <c r="G226" s="48" t="s">
        <v>234</v>
      </c>
      <c r="H226" s="48" t="s">
        <v>357</v>
      </c>
      <c r="I226" s="47" t="s">
        <v>632</v>
      </c>
      <c r="J226" s="47">
        <v>99</v>
      </c>
      <c r="K226" s="49" t="s">
        <v>720</v>
      </c>
      <c r="L226" s="49" t="s">
        <v>703</v>
      </c>
      <c r="M226" s="50" t="s">
        <v>980</v>
      </c>
      <c r="N226" s="50" t="s">
        <v>1824</v>
      </c>
      <c r="O226" s="51"/>
      <c r="P226" s="51"/>
      <c r="Q226" s="48"/>
      <c r="S226" s="1">
        <f t="shared" si="79"/>
        <v>0</v>
      </c>
      <c r="T226" s="1">
        <f t="shared" si="80"/>
        <v>0</v>
      </c>
      <c r="U226" s="1">
        <f t="shared" si="81"/>
        <v>0</v>
      </c>
      <c r="V226" s="1">
        <f t="shared" si="82"/>
        <v>0</v>
      </c>
      <c r="W226" s="1">
        <f t="shared" si="83"/>
        <v>0</v>
      </c>
      <c r="X226" s="1">
        <f t="shared" si="84"/>
        <v>0</v>
      </c>
      <c r="Y226" s="1">
        <f t="shared" si="85"/>
        <v>0</v>
      </c>
      <c r="Z226" s="1">
        <f t="shared" si="86"/>
        <v>0</v>
      </c>
      <c r="AA226" s="1">
        <f t="shared" si="87"/>
        <v>0</v>
      </c>
      <c r="AB226" s="1">
        <f t="shared" si="88"/>
        <v>0</v>
      </c>
      <c r="AD226" s="1">
        <f t="shared" si="89"/>
        <v>0</v>
      </c>
      <c r="AE226" s="1">
        <f t="shared" si="90"/>
        <v>0</v>
      </c>
      <c r="AF226" s="1">
        <f t="shared" si="75"/>
        <v>0</v>
      </c>
      <c r="AG226" s="1">
        <f t="shared" si="76"/>
        <v>0</v>
      </c>
      <c r="AH226" s="1">
        <f t="shared" si="77"/>
        <v>0</v>
      </c>
      <c r="AI226" s="1">
        <f t="shared" si="78"/>
        <v>1</v>
      </c>
    </row>
    <row r="227" spans="1:35" ht="14.25" customHeight="1" x14ac:dyDescent="0.25">
      <c r="A227" s="15">
        <v>0</v>
      </c>
      <c r="B227" s="15">
        <v>1</v>
      </c>
      <c r="C227" s="15">
        <v>7</v>
      </c>
      <c r="D227" s="16" t="s">
        <v>990</v>
      </c>
      <c r="E227" s="16" t="s">
        <v>29</v>
      </c>
      <c r="F227" s="16" t="s">
        <v>991</v>
      </c>
      <c r="G227" s="16" t="s">
        <v>992</v>
      </c>
      <c r="H227" s="16" t="s">
        <v>357</v>
      </c>
      <c r="I227" s="15" t="s">
        <v>989</v>
      </c>
      <c r="J227" s="15">
        <v>99</v>
      </c>
      <c r="K227" s="10" t="s">
        <v>710</v>
      </c>
      <c r="L227" s="10">
        <v>20</v>
      </c>
      <c r="M227" s="19" t="s">
        <v>980</v>
      </c>
      <c r="N227" s="19"/>
      <c r="Q227" s="16"/>
      <c r="S227" s="1">
        <f t="shared" si="79"/>
        <v>0</v>
      </c>
      <c r="T227" s="1">
        <f t="shared" si="80"/>
        <v>0</v>
      </c>
      <c r="U227" s="1">
        <f t="shared" si="81"/>
        <v>0</v>
      </c>
      <c r="V227" s="1">
        <f t="shared" si="82"/>
        <v>0</v>
      </c>
      <c r="W227" s="1">
        <f t="shared" si="83"/>
        <v>0</v>
      </c>
      <c r="X227" s="1">
        <f t="shared" si="84"/>
        <v>0</v>
      </c>
      <c r="Y227" s="1">
        <f t="shared" si="85"/>
        <v>0</v>
      </c>
      <c r="Z227" s="1">
        <f t="shared" si="86"/>
        <v>0</v>
      </c>
      <c r="AA227" s="1">
        <f t="shared" si="87"/>
        <v>0</v>
      </c>
      <c r="AB227" s="1">
        <f t="shared" si="88"/>
        <v>0</v>
      </c>
      <c r="AD227" s="1">
        <f t="shared" si="89"/>
        <v>0</v>
      </c>
      <c r="AE227" s="1">
        <f t="shared" si="90"/>
        <v>0</v>
      </c>
      <c r="AF227" s="1">
        <f t="shared" si="75"/>
        <v>0</v>
      </c>
      <c r="AG227" s="1">
        <f t="shared" si="76"/>
        <v>0</v>
      </c>
      <c r="AH227" s="1">
        <f t="shared" si="77"/>
        <v>0</v>
      </c>
      <c r="AI227" s="1">
        <f t="shared" si="78"/>
        <v>1</v>
      </c>
    </row>
    <row r="228" spans="1:35" ht="14.25" customHeight="1" x14ac:dyDescent="0.25">
      <c r="A228" s="15">
        <v>0</v>
      </c>
      <c r="B228" s="15">
        <v>1</v>
      </c>
      <c r="C228" s="15">
        <v>7</v>
      </c>
      <c r="D228" s="16" t="s">
        <v>596</v>
      </c>
      <c r="E228" s="16" t="s">
        <v>29</v>
      </c>
      <c r="F228" s="16" t="s">
        <v>597</v>
      </c>
      <c r="G228" s="16" t="s">
        <v>1083</v>
      </c>
      <c r="H228" s="16" t="s">
        <v>357</v>
      </c>
      <c r="I228" s="15" t="s">
        <v>598</v>
      </c>
      <c r="J228" s="15">
        <v>99</v>
      </c>
      <c r="K228" s="10" t="s">
        <v>710</v>
      </c>
      <c r="L228" s="10">
        <v>35</v>
      </c>
      <c r="M228" s="19" t="s">
        <v>1419</v>
      </c>
      <c r="N228" s="19"/>
      <c r="Q228" s="16"/>
      <c r="S228" s="1">
        <f t="shared" si="79"/>
        <v>0</v>
      </c>
      <c r="T228" s="1">
        <f t="shared" si="80"/>
        <v>0</v>
      </c>
      <c r="U228" s="1">
        <f t="shared" si="81"/>
        <v>0</v>
      </c>
      <c r="V228" s="1">
        <f t="shared" si="82"/>
        <v>0</v>
      </c>
      <c r="W228" s="1">
        <f t="shared" si="83"/>
        <v>0</v>
      </c>
      <c r="X228" s="1">
        <f t="shared" si="84"/>
        <v>0</v>
      </c>
      <c r="Y228" s="1">
        <f t="shared" si="85"/>
        <v>0</v>
      </c>
      <c r="Z228" s="1">
        <f t="shared" si="86"/>
        <v>0</v>
      </c>
      <c r="AA228" s="1">
        <f t="shared" si="87"/>
        <v>0</v>
      </c>
      <c r="AB228" s="1">
        <f t="shared" si="88"/>
        <v>0</v>
      </c>
      <c r="AD228" s="1">
        <f t="shared" si="89"/>
        <v>0</v>
      </c>
      <c r="AE228" s="1">
        <f t="shared" si="90"/>
        <v>0</v>
      </c>
      <c r="AF228" s="1">
        <f t="shared" si="75"/>
        <v>0</v>
      </c>
      <c r="AG228" s="1">
        <f t="shared" si="76"/>
        <v>0</v>
      </c>
      <c r="AH228" s="1">
        <f t="shared" si="77"/>
        <v>0</v>
      </c>
      <c r="AI228" s="1">
        <f t="shared" si="78"/>
        <v>1</v>
      </c>
    </row>
    <row r="229" spans="1:35" ht="14.25" customHeight="1" x14ac:dyDescent="0.25">
      <c r="A229" s="41">
        <v>0</v>
      </c>
      <c r="B229" s="41">
        <v>1</v>
      </c>
      <c r="C229" s="41">
        <v>7</v>
      </c>
      <c r="D229" s="42" t="s">
        <v>1642</v>
      </c>
      <c r="E229" s="42" t="s">
        <v>29</v>
      </c>
      <c r="F229" s="42" t="s">
        <v>1697</v>
      </c>
      <c r="G229" s="42" t="s">
        <v>315</v>
      </c>
      <c r="H229" s="42" t="s">
        <v>357</v>
      </c>
      <c r="I229" s="41" t="s">
        <v>1643</v>
      </c>
      <c r="J229" s="41"/>
      <c r="K229" s="43" t="s">
        <v>720</v>
      </c>
      <c r="L229" s="43">
        <v>45</v>
      </c>
      <c r="M229" s="44" t="s">
        <v>1815</v>
      </c>
      <c r="N229" s="45"/>
      <c r="O229" s="46"/>
      <c r="P229" s="46">
        <v>1</v>
      </c>
      <c r="Q229" s="42"/>
      <c r="S229" s="1">
        <f t="shared" si="79"/>
        <v>0</v>
      </c>
      <c r="T229" s="1">
        <f t="shared" si="80"/>
        <v>0</v>
      </c>
      <c r="U229" s="1">
        <f t="shared" si="81"/>
        <v>0</v>
      </c>
      <c r="V229" s="1">
        <f t="shared" si="82"/>
        <v>0</v>
      </c>
      <c r="W229" s="1">
        <f t="shared" si="83"/>
        <v>0</v>
      </c>
      <c r="X229" s="1">
        <f t="shared" si="84"/>
        <v>0</v>
      </c>
      <c r="Y229" s="1">
        <f t="shared" si="85"/>
        <v>0</v>
      </c>
      <c r="Z229" s="1">
        <f t="shared" si="86"/>
        <v>0</v>
      </c>
      <c r="AA229" s="1">
        <f t="shared" si="87"/>
        <v>0</v>
      </c>
      <c r="AB229" s="1">
        <f t="shared" si="88"/>
        <v>0</v>
      </c>
      <c r="AD229" s="1">
        <f t="shared" si="89"/>
        <v>0</v>
      </c>
      <c r="AE229" s="1">
        <f t="shared" si="90"/>
        <v>0</v>
      </c>
      <c r="AF229" s="1">
        <f t="shared" si="75"/>
        <v>0</v>
      </c>
      <c r="AG229" s="1">
        <f t="shared" si="76"/>
        <v>0</v>
      </c>
      <c r="AH229" s="1">
        <f t="shared" si="77"/>
        <v>1</v>
      </c>
      <c r="AI229" s="1">
        <f t="shared" si="78"/>
        <v>0</v>
      </c>
    </row>
    <row r="230" spans="1:35" ht="14.25" customHeight="1" x14ac:dyDescent="0.25">
      <c r="A230" s="34">
        <v>0</v>
      </c>
      <c r="B230" s="34">
        <v>1</v>
      </c>
      <c r="C230" s="34">
        <v>7</v>
      </c>
      <c r="D230" s="35" t="s">
        <v>866</v>
      </c>
      <c r="E230" s="35" t="s">
        <v>29</v>
      </c>
      <c r="F230" s="35" t="s">
        <v>867</v>
      </c>
      <c r="G230" s="35" t="s">
        <v>204</v>
      </c>
      <c r="H230" s="35" t="s">
        <v>357</v>
      </c>
      <c r="I230" s="34" t="s">
        <v>868</v>
      </c>
      <c r="J230" s="34">
        <v>10</v>
      </c>
      <c r="K230" s="36" t="s">
        <v>720</v>
      </c>
      <c r="L230" s="36" t="s">
        <v>700</v>
      </c>
      <c r="M230" s="37" t="s">
        <v>1419</v>
      </c>
      <c r="N230" s="37" t="s">
        <v>1770</v>
      </c>
      <c r="O230" s="38">
        <v>1</v>
      </c>
      <c r="P230" s="38"/>
      <c r="Q230" s="35"/>
      <c r="S230" s="1">
        <f t="shared" si="79"/>
        <v>0</v>
      </c>
      <c r="T230" s="1">
        <f t="shared" si="80"/>
        <v>0</v>
      </c>
      <c r="U230" s="1">
        <f t="shared" si="81"/>
        <v>0</v>
      </c>
      <c r="V230" s="1">
        <f t="shared" si="82"/>
        <v>0</v>
      </c>
      <c r="W230" s="1">
        <f t="shared" si="83"/>
        <v>0</v>
      </c>
      <c r="X230" s="1">
        <f t="shared" si="84"/>
        <v>0</v>
      </c>
      <c r="Y230" s="1">
        <f t="shared" si="85"/>
        <v>0</v>
      </c>
      <c r="Z230" s="1">
        <f t="shared" si="86"/>
        <v>0</v>
      </c>
      <c r="AA230" s="1">
        <f t="shared" si="87"/>
        <v>0</v>
      </c>
      <c r="AB230" s="1">
        <f t="shared" si="88"/>
        <v>1</v>
      </c>
      <c r="AD230" s="1">
        <f t="shared" si="89"/>
        <v>0</v>
      </c>
      <c r="AE230" s="1">
        <f t="shared" si="90"/>
        <v>1</v>
      </c>
      <c r="AF230" s="1">
        <f t="shared" si="75"/>
        <v>0</v>
      </c>
      <c r="AG230" s="1">
        <f t="shared" si="76"/>
        <v>1</v>
      </c>
      <c r="AH230" s="1">
        <f t="shared" si="77"/>
        <v>0</v>
      </c>
      <c r="AI230" s="1">
        <f t="shared" si="78"/>
        <v>1</v>
      </c>
    </row>
    <row r="231" spans="1:35" ht="14.25" customHeight="1" x14ac:dyDescent="0.25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283</v>
      </c>
      <c r="G231" s="42" t="s">
        <v>232</v>
      </c>
      <c r="H231" s="42" t="s">
        <v>357</v>
      </c>
      <c r="I231" s="41" t="s">
        <v>439</v>
      </c>
      <c r="J231" s="41">
        <v>7</v>
      </c>
      <c r="K231" s="43" t="s">
        <v>720</v>
      </c>
      <c r="L231" s="43" t="s">
        <v>703</v>
      </c>
      <c r="M231" s="44" t="s">
        <v>980</v>
      </c>
      <c r="N231" s="45"/>
      <c r="O231" s="46"/>
      <c r="P231" s="46">
        <v>1</v>
      </c>
      <c r="Q231" s="42"/>
      <c r="S231" s="1">
        <f t="shared" si="79"/>
        <v>0</v>
      </c>
      <c r="T231" s="1">
        <f t="shared" si="80"/>
        <v>0</v>
      </c>
      <c r="U231" s="1">
        <f t="shared" si="81"/>
        <v>0</v>
      </c>
      <c r="V231" s="1">
        <f t="shared" si="82"/>
        <v>0</v>
      </c>
      <c r="W231" s="1">
        <f t="shared" si="83"/>
        <v>0</v>
      </c>
      <c r="X231" s="1">
        <f t="shared" si="84"/>
        <v>0</v>
      </c>
      <c r="Y231" s="1">
        <f t="shared" si="85"/>
        <v>1</v>
      </c>
      <c r="Z231" s="1">
        <f t="shared" si="86"/>
        <v>0</v>
      </c>
      <c r="AA231" s="1">
        <f t="shared" si="87"/>
        <v>0</v>
      </c>
      <c r="AB231" s="1">
        <f t="shared" si="88"/>
        <v>0</v>
      </c>
      <c r="AD231" s="1">
        <f t="shared" si="89"/>
        <v>0</v>
      </c>
      <c r="AE231" s="1">
        <f t="shared" si="90"/>
        <v>0</v>
      </c>
      <c r="AF231" s="1">
        <f t="shared" si="75"/>
        <v>0</v>
      </c>
      <c r="AG231" s="1">
        <f t="shared" si="76"/>
        <v>0</v>
      </c>
      <c r="AH231" s="1">
        <f t="shared" si="77"/>
        <v>1</v>
      </c>
      <c r="AI231" s="1">
        <f t="shared" si="78"/>
        <v>0</v>
      </c>
    </row>
    <row r="232" spans="1:35" ht="14.25" customHeight="1" x14ac:dyDescent="0.25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1616</v>
      </c>
      <c r="G232" s="42" t="s">
        <v>39</v>
      </c>
      <c r="H232" s="42" t="s">
        <v>357</v>
      </c>
      <c r="I232" s="41" t="s">
        <v>1617</v>
      </c>
      <c r="J232" s="41">
        <v>99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Q232" s="42"/>
      <c r="S232" s="1">
        <f t="shared" si="79"/>
        <v>0</v>
      </c>
      <c r="T232" s="1">
        <f t="shared" si="80"/>
        <v>0</v>
      </c>
      <c r="U232" s="1">
        <f t="shared" si="81"/>
        <v>0</v>
      </c>
      <c r="V232" s="1">
        <f t="shared" si="82"/>
        <v>0</v>
      </c>
      <c r="W232" s="1">
        <f t="shared" si="83"/>
        <v>0</v>
      </c>
      <c r="X232" s="1">
        <f t="shared" si="84"/>
        <v>0</v>
      </c>
      <c r="Y232" s="1">
        <f t="shared" si="85"/>
        <v>0</v>
      </c>
      <c r="Z232" s="1">
        <f t="shared" si="86"/>
        <v>0</v>
      </c>
      <c r="AA232" s="1">
        <f t="shared" si="87"/>
        <v>0</v>
      </c>
      <c r="AB232" s="1">
        <f t="shared" si="88"/>
        <v>0</v>
      </c>
      <c r="AD232" s="1">
        <f t="shared" si="89"/>
        <v>0</v>
      </c>
      <c r="AE232" s="1">
        <f t="shared" si="90"/>
        <v>0</v>
      </c>
      <c r="AF232" s="1">
        <f t="shared" si="75"/>
        <v>0</v>
      </c>
      <c r="AG232" s="1">
        <f t="shared" si="76"/>
        <v>0</v>
      </c>
      <c r="AH232" s="1">
        <f t="shared" si="77"/>
        <v>0</v>
      </c>
      <c r="AI232" s="1">
        <f t="shared" si="78"/>
        <v>0</v>
      </c>
    </row>
    <row r="233" spans="1:35" ht="14.25" customHeight="1" x14ac:dyDescent="0.25">
      <c r="A233" s="52">
        <v>0</v>
      </c>
      <c r="B233" s="52">
        <v>1</v>
      </c>
      <c r="C233" s="52">
        <v>7</v>
      </c>
      <c r="D233" s="58" t="s">
        <v>1499</v>
      </c>
      <c r="E233" s="53" t="s">
        <v>29</v>
      </c>
      <c r="F233" s="58" t="s">
        <v>1011</v>
      </c>
      <c r="G233" s="58" t="s">
        <v>1112</v>
      </c>
      <c r="H233" s="58" t="s">
        <v>357</v>
      </c>
      <c r="I233" s="66" t="s">
        <v>1120</v>
      </c>
      <c r="J233" s="52">
        <v>10</v>
      </c>
      <c r="K233" s="54" t="s">
        <v>720</v>
      </c>
      <c r="L233" s="54" t="s">
        <v>701</v>
      </c>
      <c r="M233" s="55" t="s">
        <v>980</v>
      </c>
      <c r="N233" s="55" t="s">
        <v>1758</v>
      </c>
      <c r="O233" s="56">
        <v>1</v>
      </c>
      <c r="P233" s="56"/>
      <c r="Q233" s="58"/>
      <c r="S233" s="1">
        <f t="shared" si="79"/>
        <v>0</v>
      </c>
      <c r="T233" s="1">
        <f t="shared" si="80"/>
        <v>0</v>
      </c>
      <c r="U233" s="1">
        <f t="shared" si="81"/>
        <v>0</v>
      </c>
      <c r="V233" s="1">
        <f t="shared" si="82"/>
        <v>0</v>
      </c>
      <c r="W233" s="1">
        <f t="shared" si="83"/>
        <v>0</v>
      </c>
      <c r="X233" s="1">
        <f t="shared" si="84"/>
        <v>0</v>
      </c>
      <c r="Y233" s="1">
        <f t="shared" si="85"/>
        <v>0</v>
      </c>
      <c r="Z233" s="1">
        <f t="shared" si="86"/>
        <v>0</v>
      </c>
      <c r="AA233" s="1">
        <f t="shared" si="87"/>
        <v>0</v>
      </c>
      <c r="AB233" s="1">
        <f t="shared" si="88"/>
        <v>1</v>
      </c>
      <c r="AD233" s="1">
        <f t="shared" si="89"/>
        <v>0</v>
      </c>
      <c r="AE233" s="1">
        <f t="shared" si="90"/>
        <v>1</v>
      </c>
      <c r="AF233" s="1">
        <f t="shared" si="75"/>
        <v>0</v>
      </c>
      <c r="AG233" s="1">
        <f t="shared" si="76"/>
        <v>1</v>
      </c>
      <c r="AH233" s="1">
        <f t="shared" si="77"/>
        <v>0</v>
      </c>
      <c r="AI233" s="1">
        <f t="shared" si="78"/>
        <v>1</v>
      </c>
    </row>
    <row r="234" spans="1:35" ht="14.25" customHeight="1" x14ac:dyDescent="0.25">
      <c r="A234" s="47">
        <v>0</v>
      </c>
      <c r="B234" s="47">
        <v>1</v>
      </c>
      <c r="C234" s="47">
        <v>7</v>
      </c>
      <c r="D234" s="48" t="s">
        <v>1500</v>
      </c>
      <c r="E234" s="48" t="s">
        <v>29</v>
      </c>
      <c r="F234" s="48" t="s">
        <v>1009</v>
      </c>
      <c r="G234" s="48" t="s">
        <v>242</v>
      </c>
      <c r="H234" s="48" t="s">
        <v>357</v>
      </c>
      <c r="I234" s="47" t="s">
        <v>1010</v>
      </c>
      <c r="J234" s="47">
        <v>1</v>
      </c>
      <c r="K234" s="49" t="s">
        <v>968</v>
      </c>
      <c r="L234" s="49" t="s">
        <v>701</v>
      </c>
      <c r="M234" s="50" t="s">
        <v>980</v>
      </c>
      <c r="N234" s="50" t="s">
        <v>1751</v>
      </c>
      <c r="O234" s="51"/>
      <c r="P234" s="51"/>
      <c r="Q234" s="48"/>
      <c r="S234" s="1">
        <f t="shared" si="79"/>
        <v>1</v>
      </c>
      <c r="T234" s="1">
        <f t="shared" si="80"/>
        <v>0</v>
      </c>
      <c r="U234" s="1">
        <f t="shared" si="81"/>
        <v>0</v>
      </c>
      <c r="V234" s="1">
        <f t="shared" si="82"/>
        <v>0</v>
      </c>
      <c r="W234" s="1">
        <f t="shared" si="83"/>
        <v>0</v>
      </c>
      <c r="X234" s="1">
        <f t="shared" si="84"/>
        <v>0</v>
      </c>
      <c r="Y234" s="1">
        <f t="shared" si="85"/>
        <v>0</v>
      </c>
      <c r="Z234" s="1">
        <f t="shared" si="86"/>
        <v>0</v>
      </c>
      <c r="AA234" s="1">
        <f t="shared" si="87"/>
        <v>0</v>
      </c>
      <c r="AB234" s="1">
        <f t="shared" si="88"/>
        <v>0</v>
      </c>
      <c r="AD234" s="1">
        <f t="shared" si="89"/>
        <v>0</v>
      </c>
      <c r="AE234" s="1">
        <f t="shared" si="90"/>
        <v>0</v>
      </c>
      <c r="AF234" s="1">
        <f t="shared" si="75"/>
        <v>0</v>
      </c>
      <c r="AG234" s="1">
        <f t="shared" si="76"/>
        <v>0</v>
      </c>
      <c r="AH234" s="1">
        <f t="shared" si="77"/>
        <v>0</v>
      </c>
      <c r="AI234" s="1">
        <f t="shared" si="78"/>
        <v>1</v>
      </c>
    </row>
    <row r="235" spans="1:35" ht="14.25" customHeight="1" x14ac:dyDescent="0.25">
      <c r="A235" s="47">
        <v>0</v>
      </c>
      <c r="B235" s="47">
        <v>1</v>
      </c>
      <c r="C235" s="47">
        <v>7</v>
      </c>
      <c r="D235" s="48" t="s">
        <v>905</v>
      </c>
      <c r="E235" s="48" t="s">
        <v>29</v>
      </c>
      <c r="F235" s="48" t="s">
        <v>906</v>
      </c>
      <c r="G235" s="48" t="s">
        <v>39</v>
      </c>
      <c r="H235" s="48" t="s">
        <v>358</v>
      </c>
      <c r="I235" s="47" t="s">
        <v>907</v>
      </c>
      <c r="J235" s="47">
        <v>11</v>
      </c>
      <c r="K235" s="49" t="s">
        <v>710</v>
      </c>
      <c r="L235" s="49">
        <v>35</v>
      </c>
      <c r="M235" s="50" t="s">
        <v>1419</v>
      </c>
      <c r="N235" s="50" t="s">
        <v>1762</v>
      </c>
      <c r="O235" s="51"/>
      <c r="P235" s="51"/>
      <c r="Q235" s="68" t="s">
        <v>1918</v>
      </c>
      <c r="S235" s="1">
        <f t="shared" si="79"/>
        <v>0</v>
      </c>
      <c r="T235" s="1">
        <f t="shared" si="80"/>
        <v>0</v>
      </c>
      <c r="U235" s="1">
        <f t="shared" si="81"/>
        <v>0</v>
      </c>
      <c r="V235" s="1">
        <f t="shared" si="82"/>
        <v>0</v>
      </c>
      <c r="W235" s="1">
        <f t="shared" si="83"/>
        <v>0</v>
      </c>
      <c r="X235" s="1">
        <f t="shared" si="84"/>
        <v>0</v>
      </c>
      <c r="Y235" s="1">
        <f t="shared" si="85"/>
        <v>0</v>
      </c>
      <c r="Z235" s="1">
        <f t="shared" si="86"/>
        <v>0</v>
      </c>
      <c r="AA235" s="1">
        <f t="shared" si="87"/>
        <v>0</v>
      </c>
      <c r="AB235" s="1">
        <f t="shared" si="88"/>
        <v>0</v>
      </c>
      <c r="AD235" s="1">
        <f t="shared" si="89"/>
        <v>0</v>
      </c>
      <c r="AE235" s="1">
        <f t="shared" si="90"/>
        <v>0</v>
      </c>
      <c r="AF235" s="1">
        <f t="shared" si="75"/>
        <v>0</v>
      </c>
      <c r="AG235" s="1">
        <f t="shared" si="76"/>
        <v>0</v>
      </c>
      <c r="AH235" s="1">
        <f t="shared" si="77"/>
        <v>0</v>
      </c>
      <c r="AI235" s="1">
        <f t="shared" si="78"/>
        <v>1</v>
      </c>
    </row>
    <row r="236" spans="1:35" ht="14.25" customHeight="1" x14ac:dyDescent="0.25">
      <c r="A236" s="34">
        <v>0</v>
      </c>
      <c r="B236" s="34">
        <v>1</v>
      </c>
      <c r="C236" s="34">
        <v>7</v>
      </c>
      <c r="D236" s="39" t="s">
        <v>1094</v>
      </c>
      <c r="E236" s="35" t="s">
        <v>29</v>
      </c>
      <c r="F236" s="39" t="s">
        <v>993</v>
      </c>
      <c r="G236" s="39" t="s">
        <v>205</v>
      </c>
      <c r="H236" s="39" t="s">
        <v>357</v>
      </c>
      <c r="I236" s="40" t="s">
        <v>994</v>
      </c>
      <c r="J236" s="34">
        <v>99</v>
      </c>
      <c r="K236" s="36" t="s">
        <v>720</v>
      </c>
      <c r="L236" s="36" t="s">
        <v>701</v>
      </c>
      <c r="M236" s="37" t="s">
        <v>1457</v>
      </c>
      <c r="N236" s="37" t="s">
        <v>1742</v>
      </c>
      <c r="O236" s="38">
        <v>1</v>
      </c>
      <c r="P236" s="38">
        <v>1</v>
      </c>
      <c r="Q236" s="39"/>
      <c r="S236" s="1">
        <f t="shared" si="79"/>
        <v>0</v>
      </c>
      <c r="T236" s="1">
        <f t="shared" si="80"/>
        <v>0</v>
      </c>
      <c r="U236" s="1">
        <f t="shared" si="81"/>
        <v>0</v>
      </c>
      <c r="V236" s="1">
        <f t="shared" si="82"/>
        <v>0</v>
      </c>
      <c r="W236" s="1">
        <f t="shared" si="83"/>
        <v>0</v>
      </c>
      <c r="X236" s="1">
        <f t="shared" si="84"/>
        <v>0</v>
      </c>
      <c r="Y236" s="1">
        <f t="shared" si="85"/>
        <v>0</v>
      </c>
      <c r="Z236" s="1">
        <f t="shared" si="86"/>
        <v>0</v>
      </c>
      <c r="AA236" s="1">
        <f t="shared" si="87"/>
        <v>0</v>
      </c>
      <c r="AB236" s="1">
        <f t="shared" si="88"/>
        <v>0</v>
      </c>
      <c r="AD236" s="1">
        <f t="shared" si="89"/>
        <v>1</v>
      </c>
      <c r="AE236" s="1">
        <f t="shared" si="90"/>
        <v>0</v>
      </c>
      <c r="AF236" s="1">
        <f t="shared" si="75"/>
        <v>1</v>
      </c>
      <c r="AG236" s="1">
        <f t="shared" si="76"/>
        <v>0</v>
      </c>
      <c r="AH236" s="1">
        <f t="shared" si="77"/>
        <v>1</v>
      </c>
      <c r="AI236" s="1">
        <f t="shared" si="78"/>
        <v>0</v>
      </c>
    </row>
    <row r="237" spans="1:35" ht="14.25" customHeight="1" x14ac:dyDescent="0.25">
      <c r="A237" s="15">
        <v>0</v>
      </c>
      <c r="B237" s="15">
        <v>1</v>
      </c>
      <c r="C237" s="15">
        <v>7</v>
      </c>
      <c r="D237" s="16" t="s">
        <v>758</v>
      </c>
      <c r="E237" s="16" t="s">
        <v>29</v>
      </c>
      <c r="F237" s="16" t="s">
        <v>759</v>
      </c>
      <c r="G237" s="16" t="s">
        <v>760</v>
      </c>
      <c r="H237" s="16" t="s">
        <v>357</v>
      </c>
      <c r="I237" s="15" t="s">
        <v>761</v>
      </c>
      <c r="J237" s="15">
        <v>99</v>
      </c>
      <c r="K237" s="10" t="s">
        <v>710</v>
      </c>
      <c r="L237" s="10">
        <v>20</v>
      </c>
      <c r="M237" s="19" t="s">
        <v>1130</v>
      </c>
      <c r="N237" s="17"/>
      <c r="Q237" s="16"/>
      <c r="S237" s="1">
        <f t="shared" si="79"/>
        <v>0</v>
      </c>
      <c r="T237" s="1">
        <f t="shared" si="80"/>
        <v>0</v>
      </c>
      <c r="U237" s="1">
        <f t="shared" si="81"/>
        <v>0</v>
      </c>
      <c r="V237" s="1">
        <f t="shared" si="82"/>
        <v>0</v>
      </c>
      <c r="W237" s="1">
        <f t="shared" si="83"/>
        <v>0</v>
      </c>
      <c r="X237" s="1">
        <f t="shared" si="84"/>
        <v>0</v>
      </c>
      <c r="Y237" s="1">
        <f t="shared" si="85"/>
        <v>0</v>
      </c>
      <c r="Z237" s="1">
        <f t="shared" si="86"/>
        <v>0</v>
      </c>
      <c r="AA237" s="1">
        <f t="shared" si="87"/>
        <v>0</v>
      </c>
      <c r="AB237" s="1">
        <f t="shared" si="88"/>
        <v>0</v>
      </c>
      <c r="AD237" s="1">
        <f t="shared" si="89"/>
        <v>0</v>
      </c>
      <c r="AE237" s="1">
        <f t="shared" si="90"/>
        <v>0</v>
      </c>
      <c r="AF237" s="1">
        <f t="shared" si="75"/>
        <v>0</v>
      </c>
      <c r="AG237" s="1">
        <f t="shared" si="76"/>
        <v>0</v>
      </c>
      <c r="AH237" s="1">
        <f t="shared" si="77"/>
        <v>0</v>
      </c>
      <c r="AI237" s="1">
        <f t="shared" si="78"/>
        <v>1</v>
      </c>
    </row>
    <row r="238" spans="1:35" ht="14.25" customHeight="1" x14ac:dyDescent="0.25">
      <c r="A238" s="34">
        <v>0</v>
      </c>
      <c r="B238" s="34">
        <v>1</v>
      </c>
      <c r="C238" s="34">
        <v>7</v>
      </c>
      <c r="D238" s="39" t="s">
        <v>835</v>
      </c>
      <c r="E238" s="35" t="s">
        <v>29</v>
      </c>
      <c r="F238" s="39" t="s">
        <v>836</v>
      </c>
      <c r="G238" s="39" t="s">
        <v>935</v>
      </c>
      <c r="H238" s="39" t="s">
        <v>357</v>
      </c>
      <c r="I238" s="40" t="s">
        <v>837</v>
      </c>
      <c r="J238" s="34">
        <v>99</v>
      </c>
      <c r="K238" s="36" t="s">
        <v>962</v>
      </c>
      <c r="L238" s="36" t="s">
        <v>701</v>
      </c>
      <c r="M238" s="37" t="s">
        <v>980</v>
      </c>
      <c r="N238" s="37" t="s">
        <v>1840</v>
      </c>
      <c r="O238" s="38">
        <v>1</v>
      </c>
      <c r="P238" s="38"/>
      <c r="Q238" s="39"/>
      <c r="S238" s="1">
        <f t="shared" si="79"/>
        <v>0</v>
      </c>
      <c r="T238" s="1">
        <f t="shared" si="80"/>
        <v>0</v>
      </c>
      <c r="U238" s="1">
        <f t="shared" si="81"/>
        <v>0</v>
      </c>
      <c r="V238" s="1">
        <f t="shared" si="82"/>
        <v>0</v>
      </c>
      <c r="W238" s="1">
        <f t="shared" si="83"/>
        <v>0</v>
      </c>
      <c r="X238" s="1">
        <f t="shared" si="84"/>
        <v>0</v>
      </c>
      <c r="Y238" s="1">
        <f t="shared" si="85"/>
        <v>0</v>
      </c>
      <c r="Z238" s="1">
        <f t="shared" si="86"/>
        <v>0</v>
      </c>
      <c r="AA238" s="1">
        <f t="shared" si="87"/>
        <v>0</v>
      </c>
      <c r="AB238" s="1">
        <f t="shared" si="88"/>
        <v>0</v>
      </c>
      <c r="AD238" s="1">
        <f t="shared" si="89"/>
        <v>0</v>
      </c>
      <c r="AE238" s="1">
        <f t="shared" si="90"/>
        <v>1</v>
      </c>
      <c r="AF238" s="1">
        <f t="shared" si="75"/>
        <v>0</v>
      </c>
      <c r="AG238" s="1">
        <f t="shared" si="76"/>
        <v>1</v>
      </c>
      <c r="AH238" s="1">
        <f t="shared" si="77"/>
        <v>0</v>
      </c>
      <c r="AI238" s="1">
        <f t="shared" si="78"/>
        <v>1</v>
      </c>
    </row>
    <row r="239" spans="1:35" ht="14.25" customHeight="1" x14ac:dyDescent="0.25">
      <c r="A239" s="34">
        <v>0</v>
      </c>
      <c r="B239" s="34">
        <v>1</v>
      </c>
      <c r="C239" s="34">
        <v>7</v>
      </c>
      <c r="D239" s="39" t="s">
        <v>1735</v>
      </c>
      <c r="E239" s="35" t="s">
        <v>29</v>
      </c>
      <c r="F239" s="39" t="s">
        <v>1736</v>
      </c>
      <c r="G239" s="39" t="s">
        <v>251</v>
      </c>
      <c r="H239" s="39" t="s">
        <v>357</v>
      </c>
      <c r="I239" s="40" t="s">
        <v>1737</v>
      </c>
      <c r="J239" s="34"/>
      <c r="K239" s="36" t="s">
        <v>710</v>
      </c>
      <c r="L239" s="36"/>
      <c r="M239" s="37"/>
      <c r="N239" s="37" t="s">
        <v>1742</v>
      </c>
      <c r="O239" s="38">
        <v>1</v>
      </c>
      <c r="P239" s="38">
        <v>1</v>
      </c>
      <c r="Q239" s="39"/>
      <c r="S239" s="1">
        <f t="shared" si="79"/>
        <v>0</v>
      </c>
      <c r="T239" s="1">
        <f t="shared" si="80"/>
        <v>0</v>
      </c>
      <c r="U239" s="1">
        <f t="shared" si="81"/>
        <v>0</v>
      </c>
      <c r="V239" s="1">
        <f t="shared" si="82"/>
        <v>0</v>
      </c>
      <c r="W239" s="1">
        <f t="shared" si="83"/>
        <v>0</v>
      </c>
      <c r="X239" s="1">
        <f t="shared" si="84"/>
        <v>0</v>
      </c>
      <c r="Y239" s="1">
        <f t="shared" si="85"/>
        <v>0</v>
      </c>
      <c r="Z239" s="1">
        <f t="shared" si="86"/>
        <v>0</v>
      </c>
      <c r="AA239" s="1">
        <f t="shared" si="87"/>
        <v>0</v>
      </c>
      <c r="AB239" s="1">
        <f t="shared" si="88"/>
        <v>0</v>
      </c>
      <c r="AD239" s="1">
        <f t="shared" si="89"/>
        <v>1</v>
      </c>
      <c r="AE239" s="1">
        <f t="shared" si="90"/>
        <v>0</v>
      </c>
      <c r="AF239" s="1">
        <f t="shared" si="75"/>
        <v>1</v>
      </c>
      <c r="AG239" s="1">
        <f t="shared" si="76"/>
        <v>0</v>
      </c>
      <c r="AH239" s="1">
        <f t="shared" si="77"/>
        <v>1</v>
      </c>
      <c r="AI239" s="1">
        <f t="shared" si="78"/>
        <v>0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5" t="s">
        <v>908</v>
      </c>
      <c r="E240" s="35" t="s">
        <v>29</v>
      </c>
      <c r="F240" s="35" t="s">
        <v>909</v>
      </c>
      <c r="G240" s="35" t="s">
        <v>230</v>
      </c>
      <c r="H240" s="35" t="s">
        <v>357</v>
      </c>
      <c r="I240" s="34" t="s">
        <v>910</v>
      </c>
      <c r="J240" s="34">
        <v>99</v>
      </c>
      <c r="K240" s="36" t="s">
        <v>720</v>
      </c>
      <c r="L240" s="36" t="s">
        <v>701</v>
      </c>
      <c r="M240" s="37" t="s">
        <v>1420</v>
      </c>
      <c r="N240" s="37" t="s">
        <v>1763</v>
      </c>
      <c r="O240" s="38">
        <v>1</v>
      </c>
      <c r="P240" s="38"/>
      <c r="Q240" s="35"/>
      <c r="S240" s="1">
        <f t="shared" si="79"/>
        <v>0</v>
      </c>
      <c r="T240" s="1">
        <f t="shared" si="80"/>
        <v>0</v>
      </c>
      <c r="U240" s="1">
        <f t="shared" si="81"/>
        <v>0</v>
      </c>
      <c r="V240" s="1">
        <f t="shared" si="82"/>
        <v>0</v>
      </c>
      <c r="W240" s="1">
        <f t="shared" si="83"/>
        <v>0</v>
      </c>
      <c r="X240" s="1">
        <f t="shared" si="84"/>
        <v>0</v>
      </c>
      <c r="Y240" s="1">
        <f t="shared" si="85"/>
        <v>0</v>
      </c>
      <c r="Z240" s="1">
        <f t="shared" si="86"/>
        <v>0</v>
      </c>
      <c r="AA240" s="1">
        <f t="shared" si="87"/>
        <v>0</v>
      </c>
      <c r="AB240" s="1">
        <f t="shared" si="88"/>
        <v>0</v>
      </c>
      <c r="AD240" s="1">
        <f t="shared" si="89"/>
        <v>0</v>
      </c>
      <c r="AE240" s="1">
        <f t="shared" si="90"/>
        <v>1</v>
      </c>
      <c r="AF240" s="1">
        <f t="shared" si="75"/>
        <v>0</v>
      </c>
      <c r="AG240" s="1">
        <f t="shared" si="76"/>
        <v>1</v>
      </c>
      <c r="AH240" s="1">
        <f t="shared" si="77"/>
        <v>0</v>
      </c>
      <c r="AI240" s="1">
        <f t="shared" si="78"/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284</v>
      </c>
      <c r="G241" s="42" t="s">
        <v>240</v>
      </c>
      <c r="H241" s="42" t="s">
        <v>357</v>
      </c>
      <c r="I241" s="41" t="s">
        <v>441</v>
      </c>
      <c r="J241" s="41">
        <v>4</v>
      </c>
      <c r="K241" s="43" t="s">
        <v>961</v>
      </c>
      <c r="L241" s="43" t="s">
        <v>39</v>
      </c>
      <c r="M241" s="44" t="s">
        <v>39</v>
      </c>
      <c r="N241" s="45"/>
      <c r="O241" s="46"/>
      <c r="P241" s="46">
        <v>1</v>
      </c>
      <c r="Q241" s="42"/>
      <c r="S241" s="1">
        <f t="shared" si="79"/>
        <v>0</v>
      </c>
      <c r="T241" s="1">
        <f t="shared" si="80"/>
        <v>0</v>
      </c>
      <c r="U241" s="1">
        <f t="shared" si="81"/>
        <v>0</v>
      </c>
      <c r="V241" s="1">
        <f t="shared" si="82"/>
        <v>1</v>
      </c>
      <c r="W241" s="1">
        <f t="shared" si="83"/>
        <v>0</v>
      </c>
      <c r="X241" s="1">
        <f t="shared" si="84"/>
        <v>0</v>
      </c>
      <c r="Y241" s="1">
        <f t="shared" si="85"/>
        <v>0</v>
      </c>
      <c r="Z241" s="1">
        <f t="shared" si="86"/>
        <v>0</v>
      </c>
      <c r="AA241" s="1">
        <f t="shared" si="87"/>
        <v>0</v>
      </c>
      <c r="AB241" s="1">
        <f t="shared" si="88"/>
        <v>0</v>
      </c>
      <c r="AD241" s="1">
        <f t="shared" si="89"/>
        <v>0</v>
      </c>
      <c r="AE241" s="1">
        <f t="shared" si="90"/>
        <v>0</v>
      </c>
      <c r="AF241" s="1">
        <f t="shared" si="75"/>
        <v>0</v>
      </c>
      <c r="AG241" s="1">
        <f t="shared" si="76"/>
        <v>0</v>
      </c>
      <c r="AH241" s="1">
        <f t="shared" si="77"/>
        <v>1</v>
      </c>
      <c r="AI241" s="1">
        <f t="shared" si="78"/>
        <v>0</v>
      </c>
    </row>
    <row r="242" spans="1:35" ht="14.25" customHeight="1" x14ac:dyDescent="0.25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285</v>
      </c>
      <c r="G242" s="48" t="s">
        <v>286</v>
      </c>
      <c r="H242" s="48" t="s">
        <v>357</v>
      </c>
      <c r="I242" s="47" t="s">
        <v>950</v>
      </c>
      <c r="J242" s="47">
        <v>99</v>
      </c>
      <c r="K242" s="49" t="s">
        <v>962</v>
      </c>
      <c r="L242" s="49" t="s">
        <v>701</v>
      </c>
      <c r="M242" s="50" t="s">
        <v>980</v>
      </c>
      <c r="N242" s="50" t="s">
        <v>1824</v>
      </c>
      <c r="O242" s="51"/>
      <c r="P242" s="51"/>
      <c r="Q242" s="48"/>
      <c r="S242" s="1">
        <f t="shared" si="79"/>
        <v>0</v>
      </c>
      <c r="T242" s="1">
        <f t="shared" si="80"/>
        <v>0</v>
      </c>
      <c r="U242" s="1">
        <f t="shared" si="81"/>
        <v>0</v>
      </c>
      <c r="V242" s="1">
        <f t="shared" si="82"/>
        <v>0</v>
      </c>
      <c r="W242" s="1">
        <f t="shared" si="83"/>
        <v>0</v>
      </c>
      <c r="X242" s="1">
        <f t="shared" si="84"/>
        <v>0</v>
      </c>
      <c r="Y242" s="1">
        <f t="shared" si="85"/>
        <v>0</v>
      </c>
      <c r="Z242" s="1">
        <f t="shared" si="86"/>
        <v>0</v>
      </c>
      <c r="AA242" s="1">
        <f t="shared" si="87"/>
        <v>0</v>
      </c>
      <c r="AB242" s="1">
        <f t="shared" si="88"/>
        <v>0</v>
      </c>
      <c r="AD242" s="1">
        <f t="shared" si="89"/>
        <v>0</v>
      </c>
      <c r="AE242" s="1">
        <f t="shared" si="90"/>
        <v>0</v>
      </c>
      <c r="AF242" s="1">
        <f t="shared" si="75"/>
        <v>0</v>
      </c>
      <c r="AG242" s="1">
        <f t="shared" si="76"/>
        <v>0</v>
      </c>
      <c r="AH242" s="1">
        <f t="shared" si="77"/>
        <v>0</v>
      </c>
      <c r="AI242" s="1">
        <f t="shared" si="78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9" t="s">
        <v>1651</v>
      </c>
      <c r="E243" s="35" t="s">
        <v>29</v>
      </c>
      <c r="F243" s="39" t="s">
        <v>1550</v>
      </c>
      <c r="G243" s="39" t="s">
        <v>39</v>
      </c>
      <c r="H243" s="39" t="s">
        <v>893</v>
      </c>
      <c r="I243" s="40" t="s">
        <v>1551</v>
      </c>
      <c r="J243" s="34">
        <v>17</v>
      </c>
      <c r="K243" s="36" t="s">
        <v>720</v>
      </c>
      <c r="L243" s="36" t="s">
        <v>704</v>
      </c>
      <c r="M243" s="37" t="s">
        <v>1472</v>
      </c>
      <c r="N243" s="37" t="s">
        <v>1742</v>
      </c>
      <c r="O243" s="38">
        <v>1</v>
      </c>
      <c r="P243" s="38">
        <v>1</v>
      </c>
      <c r="Q243" s="39"/>
      <c r="S243" s="1">
        <f t="shared" si="79"/>
        <v>0</v>
      </c>
      <c r="T243" s="1">
        <f t="shared" si="80"/>
        <v>0</v>
      </c>
      <c r="U243" s="1">
        <f t="shared" si="81"/>
        <v>0</v>
      </c>
      <c r="V243" s="1">
        <f t="shared" si="82"/>
        <v>0</v>
      </c>
      <c r="W243" s="1">
        <f t="shared" si="83"/>
        <v>0</v>
      </c>
      <c r="X243" s="1">
        <f t="shared" si="84"/>
        <v>0</v>
      </c>
      <c r="Y243" s="1">
        <f t="shared" si="85"/>
        <v>0</v>
      </c>
      <c r="Z243" s="1">
        <f t="shared" si="86"/>
        <v>0</v>
      </c>
      <c r="AA243" s="1">
        <f t="shared" si="87"/>
        <v>0</v>
      </c>
      <c r="AB243" s="1">
        <f t="shared" si="88"/>
        <v>0</v>
      </c>
      <c r="AD243" s="1">
        <f t="shared" si="89"/>
        <v>1</v>
      </c>
      <c r="AE243" s="1">
        <f t="shared" si="90"/>
        <v>0</v>
      </c>
      <c r="AF243" s="1">
        <f t="shared" si="75"/>
        <v>1</v>
      </c>
      <c r="AG243" s="1">
        <f t="shared" si="76"/>
        <v>0</v>
      </c>
      <c r="AH243" s="1">
        <f t="shared" si="77"/>
        <v>1</v>
      </c>
      <c r="AI243" s="1">
        <f t="shared" si="78"/>
        <v>0</v>
      </c>
    </row>
    <row r="244" spans="1:35" ht="14.25" customHeight="1" x14ac:dyDescent="0.25">
      <c r="A244" s="47">
        <v>0</v>
      </c>
      <c r="B244" s="47">
        <v>1</v>
      </c>
      <c r="C244" s="47">
        <v>7</v>
      </c>
      <c r="D244" s="48" t="s">
        <v>1469</v>
      </c>
      <c r="E244" s="48" t="s">
        <v>29</v>
      </c>
      <c r="F244" s="48" t="s">
        <v>1470</v>
      </c>
      <c r="G244" s="48" t="s">
        <v>324</v>
      </c>
      <c r="H244" s="48" t="s">
        <v>357</v>
      </c>
      <c r="I244" s="47" t="s">
        <v>1471</v>
      </c>
      <c r="J244" s="47">
        <v>99</v>
      </c>
      <c r="K244" s="49" t="s">
        <v>710</v>
      </c>
      <c r="L244" s="49">
        <v>30</v>
      </c>
      <c r="M244" s="50" t="s">
        <v>1472</v>
      </c>
      <c r="N244" s="50" t="s">
        <v>1817</v>
      </c>
      <c r="O244" s="51"/>
      <c r="P244" s="51"/>
      <c r="Q244" s="48"/>
      <c r="S244" s="1">
        <f t="shared" si="79"/>
        <v>0</v>
      </c>
      <c r="T244" s="1">
        <f t="shared" si="80"/>
        <v>0</v>
      </c>
      <c r="U244" s="1">
        <f t="shared" si="81"/>
        <v>0</v>
      </c>
      <c r="V244" s="1">
        <f t="shared" si="82"/>
        <v>0</v>
      </c>
      <c r="W244" s="1">
        <f t="shared" si="83"/>
        <v>0</v>
      </c>
      <c r="X244" s="1">
        <f t="shared" si="84"/>
        <v>0</v>
      </c>
      <c r="Y244" s="1">
        <f t="shared" si="85"/>
        <v>0</v>
      </c>
      <c r="Z244" s="1">
        <f t="shared" si="86"/>
        <v>0</v>
      </c>
      <c r="AA244" s="1">
        <f t="shared" si="87"/>
        <v>0</v>
      </c>
      <c r="AB244" s="1">
        <f t="shared" si="88"/>
        <v>0</v>
      </c>
      <c r="AD244" s="1">
        <f t="shared" si="89"/>
        <v>0</v>
      </c>
      <c r="AE244" s="1">
        <f t="shared" si="90"/>
        <v>0</v>
      </c>
      <c r="AF244" s="1">
        <f t="shared" si="75"/>
        <v>0</v>
      </c>
      <c r="AG244" s="1">
        <f t="shared" si="76"/>
        <v>0</v>
      </c>
      <c r="AH244" s="1">
        <f t="shared" si="77"/>
        <v>0</v>
      </c>
      <c r="AI244" s="1">
        <f t="shared" si="78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853</v>
      </c>
      <c r="E245" s="35" t="s">
        <v>29</v>
      </c>
      <c r="F245" s="39" t="s">
        <v>854</v>
      </c>
      <c r="G245" s="39" t="s">
        <v>224</v>
      </c>
      <c r="H245" s="39" t="s">
        <v>357</v>
      </c>
      <c r="I245" s="40" t="s">
        <v>855</v>
      </c>
      <c r="J245" s="34">
        <v>99</v>
      </c>
      <c r="K245" s="36" t="s">
        <v>962</v>
      </c>
      <c r="L245" s="36" t="s">
        <v>701</v>
      </c>
      <c r="M245" s="37" t="s">
        <v>980</v>
      </c>
      <c r="N245" s="37" t="s">
        <v>1864</v>
      </c>
      <c r="O245" s="38">
        <v>1</v>
      </c>
      <c r="P245" s="38"/>
      <c r="Q245" s="39"/>
      <c r="S245" s="1">
        <f t="shared" si="79"/>
        <v>0</v>
      </c>
      <c r="T245" s="1">
        <f t="shared" si="80"/>
        <v>0</v>
      </c>
      <c r="U245" s="1">
        <f t="shared" si="81"/>
        <v>0</v>
      </c>
      <c r="V245" s="1">
        <f t="shared" si="82"/>
        <v>0</v>
      </c>
      <c r="W245" s="1">
        <f t="shared" si="83"/>
        <v>0</v>
      </c>
      <c r="X245" s="1">
        <f t="shared" si="84"/>
        <v>0</v>
      </c>
      <c r="Y245" s="1">
        <f t="shared" si="85"/>
        <v>0</v>
      </c>
      <c r="Z245" s="1">
        <f t="shared" si="86"/>
        <v>0</v>
      </c>
      <c r="AA245" s="1">
        <f t="shared" si="87"/>
        <v>0</v>
      </c>
      <c r="AB245" s="1">
        <f t="shared" si="88"/>
        <v>0</v>
      </c>
      <c r="AD245" s="1">
        <f t="shared" si="89"/>
        <v>0</v>
      </c>
      <c r="AE245" s="1">
        <f t="shared" si="90"/>
        <v>1</v>
      </c>
      <c r="AF245" s="1">
        <f t="shared" si="75"/>
        <v>0</v>
      </c>
      <c r="AG245" s="1">
        <f t="shared" si="76"/>
        <v>1</v>
      </c>
      <c r="AH245" s="1">
        <f t="shared" si="77"/>
        <v>0</v>
      </c>
      <c r="AI245" s="1">
        <f t="shared" si="78"/>
        <v>1</v>
      </c>
    </row>
    <row r="246" spans="1:35" ht="14.25" customHeight="1" x14ac:dyDescent="0.25">
      <c r="A246" s="34">
        <v>1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937</v>
      </c>
      <c r="G246" s="39" t="s">
        <v>282</v>
      </c>
      <c r="H246" s="39" t="s">
        <v>357</v>
      </c>
      <c r="I246" s="40" t="s">
        <v>856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Q246" s="39"/>
      <c r="S246" s="1">
        <f t="shared" si="79"/>
        <v>0</v>
      </c>
      <c r="T246" s="1">
        <f t="shared" si="80"/>
        <v>0</v>
      </c>
      <c r="U246" s="1">
        <f t="shared" si="81"/>
        <v>0</v>
      </c>
      <c r="V246" s="1">
        <f t="shared" si="82"/>
        <v>0</v>
      </c>
      <c r="W246" s="1">
        <f t="shared" si="83"/>
        <v>0</v>
      </c>
      <c r="X246" s="1">
        <f t="shared" si="84"/>
        <v>0</v>
      </c>
      <c r="Y246" s="1">
        <f t="shared" si="85"/>
        <v>0</v>
      </c>
      <c r="Z246" s="1">
        <f t="shared" si="86"/>
        <v>0</v>
      </c>
      <c r="AA246" s="1">
        <f t="shared" si="87"/>
        <v>0</v>
      </c>
      <c r="AB246" s="1">
        <f t="shared" si="88"/>
        <v>0</v>
      </c>
      <c r="AD246" s="1">
        <f t="shared" si="89"/>
        <v>0</v>
      </c>
      <c r="AE246" s="1">
        <f t="shared" si="90"/>
        <v>1</v>
      </c>
      <c r="AF246" s="1">
        <f t="shared" si="75"/>
        <v>0</v>
      </c>
      <c r="AG246" s="1">
        <f t="shared" si="76"/>
        <v>0</v>
      </c>
      <c r="AH246" s="1">
        <f t="shared" si="77"/>
        <v>0</v>
      </c>
      <c r="AI246" s="1">
        <f t="shared" si="78"/>
        <v>0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5" t="s">
        <v>1230</v>
      </c>
      <c r="E247" s="35" t="s">
        <v>29</v>
      </c>
      <c r="F247" s="35" t="s">
        <v>1231</v>
      </c>
      <c r="G247" s="35" t="s">
        <v>240</v>
      </c>
      <c r="H247" s="35" t="s">
        <v>357</v>
      </c>
      <c r="I247" s="34" t="s">
        <v>1375</v>
      </c>
      <c r="J247" s="34">
        <v>99</v>
      </c>
      <c r="K247" s="36" t="s">
        <v>720</v>
      </c>
      <c r="L247" s="36" t="s">
        <v>701</v>
      </c>
      <c r="M247" s="37" t="s">
        <v>1421</v>
      </c>
      <c r="N247" s="37" t="s">
        <v>1770</v>
      </c>
      <c r="O247" s="38">
        <v>1</v>
      </c>
      <c r="P247" s="38"/>
      <c r="Q247" s="35"/>
      <c r="S247" s="1">
        <f t="shared" si="79"/>
        <v>0</v>
      </c>
      <c r="T247" s="1">
        <f t="shared" si="80"/>
        <v>0</v>
      </c>
      <c r="U247" s="1">
        <f t="shared" si="81"/>
        <v>0</v>
      </c>
      <c r="V247" s="1">
        <f t="shared" si="82"/>
        <v>0</v>
      </c>
      <c r="W247" s="1">
        <f t="shared" si="83"/>
        <v>0</v>
      </c>
      <c r="X247" s="1">
        <f t="shared" si="84"/>
        <v>0</v>
      </c>
      <c r="Y247" s="1">
        <f t="shared" si="85"/>
        <v>0</v>
      </c>
      <c r="Z247" s="1">
        <f t="shared" si="86"/>
        <v>0</v>
      </c>
      <c r="AA247" s="1">
        <f t="shared" si="87"/>
        <v>0</v>
      </c>
      <c r="AB247" s="1">
        <f t="shared" si="88"/>
        <v>0</v>
      </c>
      <c r="AD247" s="1">
        <f t="shared" si="89"/>
        <v>0</v>
      </c>
      <c r="AE247" s="1">
        <f t="shared" si="90"/>
        <v>1</v>
      </c>
      <c r="AF247" s="1">
        <f t="shared" si="75"/>
        <v>0</v>
      </c>
      <c r="AG247" s="1">
        <f t="shared" si="76"/>
        <v>1</v>
      </c>
      <c r="AH247" s="1">
        <f t="shared" si="77"/>
        <v>0</v>
      </c>
      <c r="AI247" s="1">
        <f t="shared" si="78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1247</v>
      </c>
      <c r="E248" s="35" t="s">
        <v>29</v>
      </c>
      <c r="F248" s="39" t="s">
        <v>1248</v>
      </c>
      <c r="G248" s="39" t="s">
        <v>240</v>
      </c>
      <c r="H248" s="39" t="s">
        <v>357</v>
      </c>
      <c r="I248" s="40" t="s">
        <v>1249</v>
      </c>
      <c r="J248" s="34">
        <v>99</v>
      </c>
      <c r="K248" s="36" t="s">
        <v>720</v>
      </c>
      <c r="L248" s="36" t="s">
        <v>700</v>
      </c>
      <c r="M248" s="37" t="s">
        <v>1421</v>
      </c>
      <c r="N248" s="37" t="s">
        <v>1840</v>
      </c>
      <c r="O248" s="38">
        <v>1</v>
      </c>
      <c r="P248" s="38"/>
      <c r="Q248" s="39"/>
      <c r="S248" s="1">
        <f t="shared" si="79"/>
        <v>0</v>
      </c>
      <c r="T248" s="1">
        <f t="shared" si="80"/>
        <v>0</v>
      </c>
      <c r="U248" s="1">
        <f t="shared" si="81"/>
        <v>0</v>
      </c>
      <c r="V248" s="1">
        <f t="shared" si="82"/>
        <v>0</v>
      </c>
      <c r="W248" s="1">
        <f t="shared" si="83"/>
        <v>0</v>
      </c>
      <c r="X248" s="1">
        <f t="shared" si="84"/>
        <v>0</v>
      </c>
      <c r="Y248" s="1">
        <f t="shared" si="85"/>
        <v>0</v>
      </c>
      <c r="Z248" s="1">
        <f t="shared" si="86"/>
        <v>0</v>
      </c>
      <c r="AA248" s="1">
        <f t="shared" si="87"/>
        <v>0</v>
      </c>
      <c r="AB248" s="1">
        <f t="shared" si="88"/>
        <v>0</v>
      </c>
      <c r="AD248" s="1">
        <f t="shared" si="89"/>
        <v>0</v>
      </c>
      <c r="AE248" s="1">
        <f t="shared" si="90"/>
        <v>1</v>
      </c>
      <c r="AF248" s="1">
        <f t="shared" si="75"/>
        <v>0</v>
      </c>
      <c r="AG248" s="1">
        <f t="shared" si="76"/>
        <v>1</v>
      </c>
      <c r="AH248" s="1">
        <f t="shared" si="77"/>
        <v>0</v>
      </c>
      <c r="AI248" s="1">
        <f t="shared" si="78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291</v>
      </c>
      <c r="G249" s="39" t="s">
        <v>192</v>
      </c>
      <c r="H249" s="39" t="s">
        <v>357</v>
      </c>
      <c r="I249" s="40" t="s">
        <v>445</v>
      </c>
      <c r="J249" s="34">
        <v>99</v>
      </c>
      <c r="K249" s="36" t="s">
        <v>720</v>
      </c>
      <c r="L249" s="36" t="s">
        <v>701</v>
      </c>
      <c r="M249" s="37" t="s">
        <v>1422</v>
      </c>
      <c r="N249" s="37" t="s">
        <v>1765</v>
      </c>
      <c r="O249" s="38">
        <v>1</v>
      </c>
      <c r="P249" s="38"/>
      <c r="Q249" s="39"/>
      <c r="S249" s="1">
        <f t="shared" si="79"/>
        <v>0</v>
      </c>
      <c r="T249" s="1">
        <f t="shared" si="80"/>
        <v>0</v>
      </c>
      <c r="U249" s="1">
        <f t="shared" si="81"/>
        <v>0</v>
      </c>
      <c r="V249" s="1">
        <f t="shared" si="82"/>
        <v>0</v>
      </c>
      <c r="W249" s="1">
        <f t="shared" si="83"/>
        <v>0</v>
      </c>
      <c r="X249" s="1">
        <f t="shared" si="84"/>
        <v>0</v>
      </c>
      <c r="Y249" s="1">
        <f t="shared" si="85"/>
        <v>0</v>
      </c>
      <c r="Z249" s="1">
        <f t="shared" si="86"/>
        <v>0</v>
      </c>
      <c r="AA249" s="1">
        <f t="shared" si="87"/>
        <v>0</v>
      </c>
      <c r="AB249" s="1">
        <f t="shared" si="88"/>
        <v>0</v>
      </c>
      <c r="AD249" s="1">
        <f t="shared" si="89"/>
        <v>0</v>
      </c>
      <c r="AE249" s="1">
        <f t="shared" si="90"/>
        <v>1</v>
      </c>
      <c r="AF249" s="1">
        <f t="shared" si="75"/>
        <v>0</v>
      </c>
      <c r="AG249" s="1">
        <f t="shared" si="76"/>
        <v>1</v>
      </c>
      <c r="AH249" s="1">
        <f t="shared" si="77"/>
        <v>0</v>
      </c>
      <c r="AI249" s="1">
        <f t="shared" si="78"/>
        <v>1</v>
      </c>
    </row>
    <row r="250" spans="1:35" ht="14.25" customHeight="1" x14ac:dyDescent="0.25">
      <c r="A250" s="47">
        <v>0</v>
      </c>
      <c r="B250" s="47">
        <v>1</v>
      </c>
      <c r="C250" s="47">
        <v>7</v>
      </c>
      <c r="D250" s="48" t="s">
        <v>877</v>
      </c>
      <c r="E250" s="48" t="s">
        <v>29</v>
      </c>
      <c r="F250" s="48" t="s">
        <v>878</v>
      </c>
      <c r="G250" s="48" t="s">
        <v>196</v>
      </c>
      <c r="H250" s="48" t="s">
        <v>357</v>
      </c>
      <c r="I250" s="47" t="s">
        <v>879</v>
      </c>
      <c r="J250" s="47">
        <v>9</v>
      </c>
      <c r="K250" s="49" t="s">
        <v>720</v>
      </c>
      <c r="L250" s="49" t="s">
        <v>703</v>
      </c>
      <c r="M250" s="50" t="s">
        <v>715</v>
      </c>
      <c r="N250" s="50" t="s">
        <v>1750</v>
      </c>
      <c r="O250" s="51"/>
      <c r="P250" s="51"/>
      <c r="Q250" s="48"/>
      <c r="S250" s="1">
        <f t="shared" si="79"/>
        <v>0</v>
      </c>
      <c r="T250" s="1">
        <f t="shared" si="80"/>
        <v>0</v>
      </c>
      <c r="U250" s="1">
        <f t="shared" si="81"/>
        <v>0</v>
      </c>
      <c r="V250" s="1">
        <f t="shared" si="82"/>
        <v>0</v>
      </c>
      <c r="W250" s="1">
        <f t="shared" si="83"/>
        <v>0</v>
      </c>
      <c r="X250" s="1">
        <f t="shared" si="84"/>
        <v>0</v>
      </c>
      <c r="Y250" s="1">
        <f t="shared" si="85"/>
        <v>0</v>
      </c>
      <c r="Z250" s="1">
        <f t="shared" si="86"/>
        <v>0</v>
      </c>
      <c r="AA250" s="1">
        <f t="shared" si="87"/>
        <v>1</v>
      </c>
      <c r="AB250" s="1">
        <f t="shared" si="88"/>
        <v>0</v>
      </c>
      <c r="AD250" s="1">
        <f t="shared" si="89"/>
        <v>0</v>
      </c>
      <c r="AE250" s="1">
        <f t="shared" si="90"/>
        <v>0</v>
      </c>
      <c r="AF250" s="1">
        <f t="shared" si="75"/>
        <v>0</v>
      </c>
      <c r="AG250" s="1">
        <f t="shared" si="76"/>
        <v>0</v>
      </c>
      <c r="AH250" s="1">
        <f t="shared" si="77"/>
        <v>0</v>
      </c>
      <c r="AI250" s="1">
        <f t="shared" si="78"/>
        <v>1</v>
      </c>
    </row>
    <row r="251" spans="1:35" ht="14.25" customHeight="1" x14ac:dyDescent="0.25">
      <c r="A251" s="47">
        <v>1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1078</v>
      </c>
      <c r="G251" s="48" t="s">
        <v>324</v>
      </c>
      <c r="H251" s="48" t="s">
        <v>357</v>
      </c>
      <c r="I251" s="47" t="s">
        <v>1079</v>
      </c>
      <c r="J251" s="47">
        <v>99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Q251" s="48"/>
      <c r="S251" s="1">
        <f t="shared" si="79"/>
        <v>0</v>
      </c>
      <c r="T251" s="1">
        <f t="shared" si="80"/>
        <v>0</v>
      </c>
      <c r="U251" s="1">
        <f t="shared" si="81"/>
        <v>0</v>
      </c>
      <c r="V251" s="1">
        <f t="shared" si="82"/>
        <v>0</v>
      </c>
      <c r="W251" s="1">
        <f t="shared" si="83"/>
        <v>0</v>
      </c>
      <c r="X251" s="1">
        <f t="shared" si="84"/>
        <v>0</v>
      </c>
      <c r="Y251" s="1">
        <f t="shared" si="85"/>
        <v>0</v>
      </c>
      <c r="Z251" s="1">
        <f t="shared" si="86"/>
        <v>0</v>
      </c>
      <c r="AA251" s="1">
        <f t="shared" si="87"/>
        <v>0</v>
      </c>
      <c r="AB251" s="1">
        <f t="shared" si="88"/>
        <v>0</v>
      </c>
      <c r="AD251" s="1">
        <f t="shared" si="89"/>
        <v>0</v>
      </c>
      <c r="AE251" s="1">
        <f t="shared" si="90"/>
        <v>0</v>
      </c>
      <c r="AF251" s="1">
        <f t="shared" si="75"/>
        <v>0</v>
      </c>
      <c r="AG251" s="1">
        <f t="shared" si="76"/>
        <v>0</v>
      </c>
      <c r="AH251" s="1">
        <f t="shared" si="77"/>
        <v>0</v>
      </c>
      <c r="AI251" s="1">
        <f t="shared" si="78"/>
        <v>0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295</v>
      </c>
      <c r="G252" s="48" t="s">
        <v>296</v>
      </c>
      <c r="H252" s="48" t="s">
        <v>357</v>
      </c>
      <c r="I252" s="47" t="s">
        <v>1127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1754</v>
      </c>
      <c r="O252" s="51"/>
      <c r="P252" s="51"/>
      <c r="Q252" s="48"/>
      <c r="S252" s="1">
        <f t="shared" si="79"/>
        <v>0</v>
      </c>
      <c r="T252" s="1">
        <f t="shared" si="80"/>
        <v>0</v>
      </c>
      <c r="U252" s="1">
        <f t="shared" si="81"/>
        <v>0</v>
      </c>
      <c r="V252" s="1">
        <f t="shared" si="82"/>
        <v>0</v>
      </c>
      <c r="W252" s="1">
        <f t="shared" si="83"/>
        <v>0</v>
      </c>
      <c r="X252" s="1">
        <f t="shared" si="84"/>
        <v>0</v>
      </c>
      <c r="Y252" s="1">
        <f t="shared" si="85"/>
        <v>0</v>
      </c>
      <c r="Z252" s="1">
        <f t="shared" si="86"/>
        <v>0</v>
      </c>
      <c r="AA252" s="1">
        <f t="shared" si="87"/>
        <v>0</v>
      </c>
      <c r="AB252" s="1">
        <f t="shared" si="88"/>
        <v>0</v>
      </c>
      <c r="AD252" s="1">
        <f t="shared" si="89"/>
        <v>0</v>
      </c>
      <c r="AE252" s="1">
        <f t="shared" si="90"/>
        <v>0</v>
      </c>
      <c r="AF252" s="1">
        <f t="shared" si="75"/>
        <v>0</v>
      </c>
      <c r="AG252" s="1">
        <f t="shared" si="76"/>
        <v>0</v>
      </c>
      <c r="AH252" s="1">
        <f t="shared" si="77"/>
        <v>0</v>
      </c>
      <c r="AI252" s="1">
        <f t="shared" si="78"/>
        <v>1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537</v>
      </c>
      <c r="E253" s="48" t="s">
        <v>29</v>
      </c>
      <c r="F253" s="48" t="s">
        <v>671</v>
      </c>
      <c r="G253" s="48" t="s">
        <v>39</v>
      </c>
      <c r="H253" s="48" t="s">
        <v>538</v>
      </c>
      <c r="I253" s="47" t="s">
        <v>1705</v>
      </c>
      <c r="J253" s="47">
        <v>14</v>
      </c>
      <c r="K253" s="49" t="s">
        <v>961</v>
      </c>
      <c r="L253" s="49">
        <v>40</v>
      </c>
      <c r="M253" s="50" t="s">
        <v>715</v>
      </c>
      <c r="N253" s="50" t="s">
        <v>1750</v>
      </c>
      <c r="O253" s="51"/>
      <c r="P253" s="51"/>
      <c r="Q253" s="48"/>
      <c r="S253" s="1">
        <f t="shared" si="79"/>
        <v>0</v>
      </c>
      <c r="T253" s="1">
        <f t="shared" si="80"/>
        <v>0</v>
      </c>
      <c r="U253" s="1">
        <f t="shared" si="81"/>
        <v>0</v>
      </c>
      <c r="V253" s="1">
        <f t="shared" si="82"/>
        <v>0</v>
      </c>
      <c r="W253" s="1">
        <f t="shared" si="83"/>
        <v>0</v>
      </c>
      <c r="X253" s="1">
        <f t="shared" si="84"/>
        <v>0</v>
      </c>
      <c r="Y253" s="1">
        <f t="shared" si="85"/>
        <v>0</v>
      </c>
      <c r="Z253" s="1">
        <f t="shared" si="86"/>
        <v>0</v>
      </c>
      <c r="AA253" s="1">
        <f t="shared" si="87"/>
        <v>0</v>
      </c>
      <c r="AB253" s="1">
        <f t="shared" si="88"/>
        <v>0</v>
      </c>
      <c r="AD253" s="1">
        <f t="shared" si="89"/>
        <v>0</v>
      </c>
      <c r="AE253" s="1">
        <f t="shared" si="90"/>
        <v>0</v>
      </c>
      <c r="AF253" s="1">
        <f t="shared" si="75"/>
        <v>0</v>
      </c>
      <c r="AG253" s="1">
        <f t="shared" si="76"/>
        <v>0</v>
      </c>
      <c r="AH253" s="1">
        <f t="shared" si="77"/>
        <v>0</v>
      </c>
      <c r="AI253" s="1">
        <f t="shared" si="78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1335</v>
      </c>
      <c r="E254" s="35" t="s">
        <v>29</v>
      </c>
      <c r="F254" s="39" t="s">
        <v>1359</v>
      </c>
      <c r="G254" s="39" t="s">
        <v>39</v>
      </c>
      <c r="H254" s="39" t="s">
        <v>357</v>
      </c>
      <c r="I254" s="40" t="s">
        <v>1162</v>
      </c>
      <c r="J254" s="34">
        <v>99</v>
      </c>
      <c r="K254" s="36" t="s">
        <v>720</v>
      </c>
      <c r="L254" s="36" t="s">
        <v>700</v>
      </c>
      <c r="M254" s="37" t="s">
        <v>1423</v>
      </c>
      <c r="N254" s="37" t="s">
        <v>1748</v>
      </c>
      <c r="O254" s="38">
        <v>1</v>
      </c>
      <c r="P254" s="38">
        <v>1</v>
      </c>
      <c r="Q254" s="39"/>
      <c r="S254" s="1">
        <f t="shared" si="79"/>
        <v>0</v>
      </c>
      <c r="T254" s="1">
        <f t="shared" si="80"/>
        <v>0</v>
      </c>
      <c r="U254" s="1">
        <f t="shared" si="81"/>
        <v>0</v>
      </c>
      <c r="V254" s="1">
        <f t="shared" si="82"/>
        <v>0</v>
      </c>
      <c r="W254" s="1">
        <f t="shared" si="83"/>
        <v>0</v>
      </c>
      <c r="X254" s="1">
        <f t="shared" si="84"/>
        <v>0</v>
      </c>
      <c r="Y254" s="1">
        <f t="shared" si="85"/>
        <v>0</v>
      </c>
      <c r="Z254" s="1">
        <f t="shared" si="86"/>
        <v>0</v>
      </c>
      <c r="AA254" s="1">
        <f t="shared" si="87"/>
        <v>0</v>
      </c>
      <c r="AB254" s="1">
        <f t="shared" si="88"/>
        <v>0</v>
      </c>
      <c r="AD254" s="1">
        <f t="shared" si="89"/>
        <v>1</v>
      </c>
      <c r="AE254" s="1">
        <f t="shared" si="90"/>
        <v>0</v>
      </c>
      <c r="AF254" s="1">
        <f t="shared" si="75"/>
        <v>1</v>
      </c>
      <c r="AG254" s="1">
        <f t="shared" si="76"/>
        <v>0</v>
      </c>
      <c r="AH254" s="1">
        <f t="shared" si="77"/>
        <v>1</v>
      </c>
      <c r="AI254" s="1">
        <f t="shared" si="78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298</v>
      </c>
      <c r="G255" s="48" t="s">
        <v>266</v>
      </c>
      <c r="H255" s="48" t="s">
        <v>357</v>
      </c>
      <c r="I255" s="47" t="s">
        <v>449</v>
      </c>
      <c r="J255" s="47">
        <v>1</v>
      </c>
      <c r="K255" s="49" t="s">
        <v>720</v>
      </c>
      <c r="L255" s="49" t="s">
        <v>701</v>
      </c>
      <c r="M255" s="50" t="s">
        <v>715</v>
      </c>
      <c r="N255" s="50" t="s">
        <v>1750</v>
      </c>
      <c r="O255" s="51"/>
      <c r="P255" s="51"/>
      <c r="Q255" s="48"/>
      <c r="S255" s="1">
        <f t="shared" si="79"/>
        <v>1</v>
      </c>
      <c r="T255" s="1">
        <f t="shared" si="80"/>
        <v>0</v>
      </c>
      <c r="U255" s="1">
        <f t="shared" si="81"/>
        <v>0</v>
      </c>
      <c r="V255" s="1">
        <f t="shared" si="82"/>
        <v>0</v>
      </c>
      <c r="W255" s="1">
        <f t="shared" si="83"/>
        <v>0</v>
      </c>
      <c r="X255" s="1">
        <f t="shared" si="84"/>
        <v>0</v>
      </c>
      <c r="Y255" s="1">
        <f t="shared" si="85"/>
        <v>0</v>
      </c>
      <c r="Z255" s="1">
        <f t="shared" si="86"/>
        <v>0</v>
      </c>
      <c r="AA255" s="1">
        <f t="shared" si="87"/>
        <v>0</v>
      </c>
      <c r="AB255" s="1">
        <f t="shared" si="88"/>
        <v>0</v>
      </c>
      <c r="AD255" s="1">
        <f t="shared" si="89"/>
        <v>0</v>
      </c>
      <c r="AE255" s="1">
        <f t="shared" si="90"/>
        <v>0</v>
      </c>
      <c r="AF255" s="1">
        <f t="shared" si="75"/>
        <v>0</v>
      </c>
      <c r="AG255" s="1">
        <f t="shared" si="76"/>
        <v>0</v>
      </c>
      <c r="AH255" s="1">
        <f t="shared" si="77"/>
        <v>0</v>
      </c>
      <c r="AI255" s="1">
        <f t="shared" si="78"/>
        <v>1</v>
      </c>
    </row>
    <row r="256" spans="1:35" ht="14.25" customHeight="1" x14ac:dyDescent="0.25">
      <c r="A256" s="15">
        <v>0</v>
      </c>
      <c r="B256" s="15">
        <v>1</v>
      </c>
      <c r="C256" s="15">
        <v>7</v>
      </c>
      <c r="D256" s="16" t="s">
        <v>762</v>
      </c>
      <c r="E256" s="16" t="s">
        <v>29</v>
      </c>
      <c r="F256" s="16" t="s">
        <v>763</v>
      </c>
      <c r="G256" s="16" t="s">
        <v>39</v>
      </c>
      <c r="H256" s="16" t="s">
        <v>764</v>
      </c>
      <c r="I256" s="15" t="s">
        <v>765</v>
      </c>
      <c r="J256" s="15">
        <v>18</v>
      </c>
      <c r="K256" s="10" t="s">
        <v>710</v>
      </c>
      <c r="L256" s="10" t="s">
        <v>704</v>
      </c>
      <c r="M256" s="19" t="s">
        <v>715</v>
      </c>
      <c r="N256" s="17"/>
      <c r="Q256" s="16"/>
      <c r="S256" s="1">
        <f t="shared" si="79"/>
        <v>0</v>
      </c>
      <c r="T256" s="1">
        <f t="shared" si="80"/>
        <v>0</v>
      </c>
      <c r="U256" s="1">
        <f t="shared" si="81"/>
        <v>0</v>
      </c>
      <c r="V256" s="1">
        <f t="shared" si="82"/>
        <v>0</v>
      </c>
      <c r="W256" s="1">
        <f t="shared" si="83"/>
        <v>0</v>
      </c>
      <c r="X256" s="1">
        <f t="shared" si="84"/>
        <v>0</v>
      </c>
      <c r="Y256" s="1">
        <f t="shared" si="85"/>
        <v>0</v>
      </c>
      <c r="Z256" s="1">
        <f t="shared" si="86"/>
        <v>0</v>
      </c>
      <c r="AA256" s="1">
        <f t="shared" si="87"/>
        <v>0</v>
      </c>
      <c r="AB256" s="1">
        <f t="shared" si="88"/>
        <v>0</v>
      </c>
      <c r="AD256" s="1">
        <f t="shared" si="89"/>
        <v>0</v>
      </c>
      <c r="AE256" s="1">
        <f t="shared" si="90"/>
        <v>0</v>
      </c>
      <c r="AF256" s="1">
        <f t="shared" si="75"/>
        <v>0</v>
      </c>
      <c r="AG256" s="1">
        <f t="shared" si="76"/>
        <v>0</v>
      </c>
      <c r="AH256" s="1">
        <f t="shared" si="77"/>
        <v>0</v>
      </c>
      <c r="AI256" s="1">
        <f t="shared" si="78"/>
        <v>1</v>
      </c>
    </row>
    <row r="257" spans="1:35" ht="14.25" customHeight="1" x14ac:dyDescent="0.25">
      <c r="A257" s="15">
        <v>1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766</v>
      </c>
      <c r="G257" s="16" t="s">
        <v>39</v>
      </c>
      <c r="H257" s="16" t="s">
        <v>752</v>
      </c>
      <c r="I257" s="15" t="s">
        <v>767</v>
      </c>
      <c r="J257" s="15">
        <v>17</v>
      </c>
      <c r="K257" s="10" t="s">
        <v>710</v>
      </c>
      <c r="L257" s="10" t="s">
        <v>704</v>
      </c>
      <c r="M257" s="19" t="s">
        <v>715</v>
      </c>
      <c r="N257" s="17"/>
      <c r="Q257" s="16"/>
      <c r="S257" s="1">
        <f t="shared" si="79"/>
        <v>0</v>
      </c>
      <c r="T257" s="1">
        <f t="shared" si="80"/>
        <v>0</v>
      </c>
      <c r="U257" s="1">
        <f t="shared" si="81"/>
        <v>0</v>
      </c>
      <c r="V257" s="1">
        <f t="shared" si="82"/>
        <v>0</v>
      </c>
      <c r="W257" s="1">
        <f t="shared" si="83"/>
        <v>0</v>
      </c>
      <c r="X257" s="1">
        <f t="shared" si="84"/>
        <v>0</v>
      </c>
      <c r="Y257" s="1">
        <f t="shared" si="85"/>
        <v>0</v>
      </c>
      <c r="Z257" s="1">
        <f t="shared" si="86"/>
        <v>0</v>
      </c>
      <c r="AA257" s="1">
        <f t="shared" si="87"/>
        <v>0</v>
      </c>
      <c r="AB257" s="1">
        <f t="shared" si="88"/>
        <v>0</v>
      </c>
      <c r="AD257" s="1">
        <f t="shared" si="89"/>
        <v>0</v>
      </c>
      <c r="AE257" s="1">
        <f t="shared" si="90"/>
        <v>0</v>
      </c>
      <c r="AF257" s="1">
        <f t="shared" si="75"/>
        <v>0</v>
      </c>
      <c r="AG257" s="1">
        <f t="shared" si="76"/>
        <v>0</v>
      </c>
      <c r="AH257" s="1">
        <f t="shared" si="77"/>
        <v>0</v>
      </c>
      <c r="AI257" s="1">
        <f t="shared" si="78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1533</v>
      </c>
      <c r="E258" s="35" t="s">
        <v>29</v>
      </c>
      <c r="F258" s="39" t="s">
        <v>1686</v>
      </c>
      <c r="G258" s="39" t="s">
        <v>1687</v>
      </c>
      <c r="H258" s="39" t="s">
        <v>357</v>
      </c>
      <c r="I258" s="40" t="s">
        <v>1534</v>
      </c>
      <c r="J258" s="34">
        <v>99</v>
      </c>
      <c r="K258" s="36" t="s">
        <v>720</v>
      </c>
      <c r="L258" s="36" t="s">
        <v>39</v>
      </c>
      <c r="M258" s="37" t="s">
        <v>39</v>
      </c>
      <c r="N258" s="37" t="s">
        <v>1742</v>
      </c>
      <c r="O258" s="38">
        <v>1</v>
      </c>
      <c r="P258" s="38">
        <v>1</v>
      </c>
      <c r="Q258" s="39"/>
      <c r="S258" s="1">
        <f t="shared" si="79"/>
        <v>0</v>
      </c>
      <c r="T258" s="1">
        <f t="shared" si="80"/>
        <v>0</v>
      </c>
      <c r="U258" s="1">
        <f t="shared" si="81"/>
        <v>0</v>
      </c>
      <c r="V258" s="1">
        <f t="shared" si="82"/>
        <v>0</v>
      </c>
      <c r="W258" s="1">
        <f t="shared" si="83"/>
        <v>0</v>
      </c>
      <c r="X258" s="1">
        <f t="shared" si="84"/>
        <v>0</v>
      </c>
      <c r="Y258" s="1">
        <f t="shared" si="85"/>
        <v>0</v>
      </c>
      <c r="Z258" s="1">
        <f t="shared" si="86"/>
        <v>0</v>
      </c>
      <c r="AA258" s="1">
        <f t="shared" si="87"/>
        <v>0</v>
      </c>
      <c r="AB258" s="1">
        <f t="shared" si="88"/>
        <v>0</v>
      </c>
      <c r="AD258" s="1">
        <f t="shared" si="89"/>
        <v>1</v>
      </c>
      <c r="AE258" s="1">
        <f t="shared" si="90"/>
        <v>0</v>
      </c>
      <c r="AF258" s="1">
        <f t="shared" si="75"/>
        <v>1</v>
      </c>
      <c r="AG258" s="1">
        <f t="shared" si="76"/>
        <v>0</v>
      </c>
      <c r="AH258" s="1">
        <f t="shared" si="77"/>
        <v>1</v>
      </c>
      <c r="AI258" s="1">
        <f t="shared" si="78"/>
        <v>0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1156</v>
      </c>
      <c r="E259" s="16" t="s">
        <v>29</v>
      </c>
      <c r="F259" s="16" t="s">
        <v>1157</v>
      </c>
      <c r="G259" s="16" t="s">
        <v>1159</v>
      </c>
      <c r="H259" s="16" t="s">
        <v>357</v>
      </c>
      <c r="I259" s="15" t="s">
        <v>1158</v>
      </c>
      <c r="J259" s="15">
        <v>99</v>
      </c>
      <c r="K259" s="10" t="s">
        <v>710</v>
      </c>
      <c r="L259" s="10">
        <v>30</v>
      </c>
      <c r="M259" s="19" t="s">
        <v>1424</v>
      </c>
      <c r="N259" s="19"/>
      <c r="Q259" s="16"/>
      <c r="S259" s="1">
        <f t="shared" si="79"/>
        <v>0</v>
      </c>
      <c r="T259" s="1">
        <f t="shared" si="80"/>
        <v>0</v>
      </c>
      <c r="U259" s="1">
        <f t="shared" si="81"/>
        <v>0</v>
      </c>
      <c r="V259" s="1">
        <f t="shared" si="82"/>
        <v>0</v>
      </c>
      <c r="W259" s="1">
        <f t="shared" si="83"/>
        <v>0</v>
      </c>
      <c r="X259" s="1">
        <f t="shared" si="84"/>
        <v>0</v>
      </c>
      <c r="Y259" s="1">
        <f t="shared" si="85"/>
        <v>0</v>
      </c>
      <c r="Z259" s="1">
        <f t="shared" si="86"/>
        <v>0</v>
      </c>
      <c r="AA259" s="1">
        <f t="shared" si="87"/>
        <v>0</v>
      </c>
      <c r="AB259" s="1">
        <f t="shared" si="88"/>
        <v>0</v>
      </c>
      <c r="AD259" s="1">
        <f t="shared" si="89"/>
        <v>0</v>
      </c>
      <c r="AE259" s="1">
        <f t="shared" si="90"/>
        <v>0</v>
      </c>
      <c r="AF259" s="1">
        <f t="shared" si="75"/>
        <v>0</v>
      </c>
      <c r="AG259" s="1">
        <f t="shared" si="76"/>
        <v>0</v>
      </c>
      <c r="AH259" s="1">
        <f t="shared" si="77"/>
        <v>0</v>
      </c>
      <c r="AI259" s="1">
        <f t="shared" si="78"/>
        <v>1</v>
      </c>
    </row>
    <row r="260" spans="1:35" ht="14.25" customHeight="1" x14ac:dyDescent="0.25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300</v>
      </c>
      <c r="G260" s="48" t="s">
        <v>199</v>
      </c>
      <c r="H260" s="48" t="s">
        <v>357</v>
      </c>
      <c r="I260" s="47" t="s">
        <v>450</v>
      </c>
      <c r="J260" s="47">
        <v>9</v>
      </c>
      <c r="K260" s="49" t="s">
        <v>710</v>
      </c>
      <c r="L260" s="49">
        <v>30</v>
      </c>
      <c r="M260" s="50" t="s">
        <v>715</v>
      </c>
      <c r="N260" s="50" t="s">
        <v>1750</v>
      </c>
      <c r="O260" s="51"/>
      <c r="P260" s="51"/>
      <c r="Q260" s="48"/>
      <c r="S260" s="1">
        <f t="shared" si="79"/>
        <v>0</v>
      </c>
      <c r="T260" s="1">
        <f t="shared" si="80"/>
        <v>0</v>
      </c>
      <c r="U260" s="1">
        <f t="shared" si="81"/>
        <v>0</v>
      </c>
      <c r="V260" s="1">
        <f t="shared" si="82"/>
        <v>0</v>
      </c>
      <c r="W260" s="1">
        <f t="shared" si="83"/>
        <v>0</v>
      </c>
      <c r="X260" s="1">
        <f t="shared" si="84"/>
        <v>0</v>
      </c>
      <c r="Y260" s="1">
        <f t="shared" si="85"/>
        <v>0</v>
      </c>
      <c r="Z260" s="1">
        <f t="shared" si="86"/>
        <v>0</v>
      </c>
      <c r="AA260" s="1">
        <f t="shared" si="87"/>
        <v>1</v>
      </c>
      <c r="AB260" s="1">
        <f t="shared" si="88"/>
        <v>0</v>
      </c>
      <c r="AD260" s="1">
        <f t="shared" si="89"/>
        <v>0</v>
      </c>
      <c r="AE260" s="1">
        <f t="shared" si="90"/>
        <v>0</v>
      </c>
      <c r="AF260" s="1">
        <f t="shared" si="75"/>
        <v>0</v>
      </c>
      <c r="AG260" s="1">
        <f t="shared" si="76"/>
        <v>0</v>
      </c>
      <c r="AH260" s="1">
        <f t="shared" si="77"/>
        <v>0</v>
      </c>
      <c r="AI260" s="1">
        <f t="shared" si="78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810</v>
      </c>
      <c r="E261" s="48" t="s">
        <v>29</v>
      </c>
      <c r="F261" s="48" t="s">
        <v>789</v>
      </c>
      <c r="G261" s="48" t="s">
        <v>811</v>
      </c>
      <c r="H261" s="48" t="s">
        <v>357</v>
      </c>
      <c r="I261" s="47" t="s">
        <v>959</v>
      </c>
      <c r="J261" s="47">
        <v>99</v>
      </c>
      <c r="K261" s="49" t="s">
        <v>720</v>
      </c>
      <c r="L261" s="49" t="s">
        <v>701</v>
      </c>
      <c r="M261" s="50" t="s">
        <v>715</v>
      </c>
      <c r="N261" s="50" t="s">
        <v>1817</v>
      </c>
      <c r="O261" s="51"/>
      <c r="P261" s="51"/>
      <c r="Q261" s="48"/>
      <c r="S261" s="1">
        <f t="shared" si="79"/>
        <v>0</v>
      </c>
      <c r="T261" s="1">
        <f t="shared" si="80"/>
        <v>0</v>
      </c>
      <c r="U261" s="1">
        <f t="shared" si="81"/>
        <v>0</v>
      </c>
      <c r="V261" s="1">
        <f t="shared" si="82"/>
        <v>0</v>
      </c>
      <c r="W261" s="1">
        <f t="shared" si="83"/>
        <v>0</v>
      </c>
      <c r="X261" s="1">
        <f t="shared" si="84"/>
        <v>0</v>
      </c>
      <c r="Y261" s="1">
        <f t="shared" si="85"/>
        <v>0</v>
      </c>
      <c r="Z261" s="1">
        <f t="shared" si="86"/>
        <v>0</v>
      </c>
      <c r="AA261" s="1">
        <f t="shared" si="87"/>
        <v>0</v>
      </c>
      <c r="AB261" s="1">
        <f t="shared" si="88"/>
        <v>0</v>
      </c>
      <c r="AD261" s="1">
        <f t="shared" si="89"/>
        <v>0</v>
      </c>
      <c r="AE261" s="1">
        <f t="shared" si="90"/>
        <v>0</v>
      </c>
      <c r="AF261" s="1">
        <f t="shared" si="75"/>
        <v>0</v>
      </c>
      <c r="AG261" s="1">
        <f t="shared" si="76"/>
        <v>0</v>
      </c>
      <c r="AH261" s="1">
        <f t="shared" si="77"/>
        <v>0</v>
      </c>
      <c r="AI261" s="1">
        <f t="shared" si="78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1338</v>
      </c>
      <c r="E262" s="48" t="s">
        <v>29</v>
      </c>
      <c r="F262" s="48" t="s">
        <v>1361</v>
      </c>
      <c r="G262" s="48" t="s">
        <v>1195</v>
      </c>
      <c r="H262" s="48" t="s">
        <v>357</v>
      </c>
      <c r="I262" s="47" t="s">
        <v>1707</v>
      </c>
      <c r="J262" s="47">
        <v>99</v>
      </c>
      <c r="K262" s="49" t="s">
        <v>720</v>
      </c>
      <c r="L262" s="49" t="s">
        <v>701</v>
      </c>
      <c r="M262" s="50" t="s">
        <v>1425</v>
      </c>
      <c r="N262" s="50" t="s">
        <v>1753</v>
      </c>
      <c r="O262" s="51"/>
      <c r="P262" s="51"/>
      <c r="Q262" s="48"/>
      <c r="S262" s="1">
        <f t="shared" si="79"/>
        <v>0</v>
      </c>
      <c r="T262" s="1">
        <f t="shared" si="80"/>
        <v>0</v>
      </c>
      <c r="U262" s="1">
        <f t="shared" si="81"/>
        <v>0</v>
      </c>
      <c r="V262" s="1">
        <f t="shared" si="82"/>
        <v>0</v>
      </c>
      <c r="W262" s="1">
        <f t="shared" si="83"/>
        <v>0</v>
      </c>
      <c r="X262" s="1">
        <f t="shared" si="84"/>
        <v>0</v>
      </c>
      <c r="Y262" s="1">
        <f t="shared" si="85"/>
        <v>0</v>
      </c>
      <c r="Z262" s="1">
        <f t="shared" si="86"/>
        <v>0</v>
      </c>
      <c r="AA262" s="1">
        <f t="shared" si="87"/>
        <v>0</v>
      </c>
      <c r="AB262" s="1">
        <f t="shared" si="88"/>
        <v>0</v>
      </c>
      <c r="AD262" s="1">
        <f t="shared" si="89"/>
        <v>0</v>
      </c>
      <c r="AE262" s="1">
        <f t="shared" si="90"/>
        <v>0</v>
      </c>
      <c r="AF262" s="1">
        <f t="shared" si="75"/>
        <v>0</v>
      </c>
      <c r="AG262" s="1">
        <f t="shared" si="76"/>
        <v>0</v>
      </c>
      <c r="AH262" s="1">
        <f t="shared" si="77"/>
        <v>0</v>
      </c>
      <c r="AI262" s="1">
        <f t="shared" si="78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1293</v>
      </c>
      <c r="E263" s="16" t="s">
        <v>29</v>
      </c>
      <c r="F263" s="16" t="s">
        <v>1294</v>
      </c>
      <c r="G263" s="16" t="s">
        <v>1295</v>
      </c>
      <c r="H263" s="16" t="s">
        <v>357</v>
      </c>
      <c r="I263" s="15" t="s">
        <v>1296</v>
      </c>
      <c r="J263" s="15">
        <v>99</v>
      </c>
      <c r="K263" s="10" t="s">
        <v>720</v>
      </c>
      <c r="L263" s="10" t="s">
        <v>701</v>
      </c>
      <c r="M263" s="19" t="s">
        <v>715</v>
      </c>
      <c r="N263" s="17"/>
      <c r="Q263" s="16"/>
      <c r="S263" s="1">
        <f t="shared" si="79"/>
        <v>0</v>
      </c>
      <c r="T263" s="1">
        <f t="shared" si="80"/>
        <v>0</v>
      </c>
      <c r="U263" s="1">
        <f t="shared" si="81"/>
        <v>0</v>
      </c>
      <c r="V263" s="1">
        <f t="shared" si="82"/>
        <v>0</v>
      </c>
      <c r="W263" s="1">
        <f t="shared" si="83"/>
        <v>0</v>
      </c>
      <c r="X263" s="1">
        <f t="shared" si="84"/>
        <v>0</v>
      </c>
      <c r="Y263" s="1">
        <f t="shared" si="85"/>
        <v>0</v>
      </c>
      <c r="Z263" s="1">
        <f t="shared" si="86"/>
        <v>0</v>
      </c>
      <c r="AA263" s="1">
        <f t="shared" si="87"/>
        <v>0</v>
      </c>
      <c r="AB263" s="1">
        <f t="shared" si="88"/>
        <v>0</v>
      </c>
      <c r="AD263" s="1">
        <f t="shared" si="89"/>
        <v>0</v>
      </c>
      <c r="AE263" s="1">
        <f t="shared" si="90"/>
        <v>0</v>
      </c>
      <c r="AF263" s="1">
        <f t="shared" si="75"/>
        <v>0</v>
      </c>
      <c r="AG263" s="1">
        <f t="shared" si="76"/>
        <v>0</v>
      </c>
      <c r="AH263" s="1">
        <f t="shared" si="77"/>
        <v>0</v>
      </c>
      <c r="AI263" s="1">
        <f t="shared" si="78"/>
        <v>1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5" t="s">
        <v>716</v>
      </c>
      <c r="E264" s="35" t="s">
        <v>29</v>
      </c>
      <c r="F264" s="35" t="s">
        <v>717</v>
      </c>
      <c r="G264" s="35" t="s">
        <v>186</v>
      </c>
      <c r="H264" s="35" t="s">
        <v>357</v>
      </c>
      <c r="I264" s="34" t="s">
        <v>718</v>
      </c>
      <c r="J264" s="34">
        <v>99</v>
      </c>
      <c r="K264" s="36" t="s">
        <v>962</v>
      </c>
      <c r="L264" s="36" t="s">
        <v>39</v>
      </c>
      <c r="M264" s="37" t="s">
        <v>39</v>
      </c>
      <c r="N264" s="37" t="s">
        <v>1748</v>
      </c>
      <c r="O264" s="38">
        <v>1</v>
      </c>
      <c r="P264" s="38">
        <v>1</v>
      </c>
      <c r="Q264" s="35"/>
      <c r="S264" s="1">
        <f t="shared" si="79"/>
        <v>0</v>
      </c>
      <c r="T264" s="1">
        <f t="shared" si="80"/>
        <v>0</v>
      </c>
      <c r="U264" s="1">
        <f t="shared" si="81"/>
        <v>0</v>
      </c>
      <c r="V264" s="1">
        <f t="shared" si="82"/>
        <v>0</v>
      </c>
      <c r="W264" s="1">
        <f t="shared" si="83"/>
        <v>0</v>
      </c>
      <c r="X264" s="1">
        <f t="shared" si="84"/>
        <v>0</v>
      </c>
      <c r="Y264" s="1">
        <f t="shared" si="85"/>
        <v>0</v>
      </c>
      <c r="Z264" s="1">
        <f t="shared" si="86"/>
        <v>0</v>
      </c>
      <c r="AA264" s="1">
        <f t="shared" si="87"/>
        <v>0</v>
      </c>
      <c r="AB264" s="1">
        <f t="shared" si="88"/>
        <v>0</v>
      </c>
      <c r="AD264" s="1">
        <f t="shared" si="89"/>
        <v>1</v>
      </c>
      <c r="AE264" s="1">
        <f t="shared" si="90"/>
        <v>0</v>
      </c>
      <c r="AF264" s="1">
        <f t="shared" ref="AF264:AF327" si="91">+O264*P264*(1-A264)</f>
        <v>1</v>
      </c>
      <c r="AG264" s="1">
        <f t="shared" ref="AG264:AG327" si="92">O264*(1-P264)*(1-A264)</f>
        <v>0</v>
      </c>
      <c r="AH264" s="1">
        <f t="shared" ref="AH264:AH327" si="93">+P264*(1-A264)</f>
        <v>1</v>
      </c>
      <c r="AI264" s="1">
        <f t="shared" ref="AI264:AI327" si="94">+(1-A264)*(1-P264)</f>
        <v>0</v>
      </c>
    </row>
    <row r="265" spans="1:35" ht="14.25" customHeight="1" x14ac:dyDescent="0.25">
      <c r="A265" s="34">
        <v>0</v>
      </c>
      <c r="B265" s="34">
        <v>2</v>
      </c>
      <c r="C265" s="34">
        <v>1</v>
      </c>
      <c r="D265" s="35" t="s">
        <v>541</v>
      </c>
      <c r="E265" s="35" t="s">
        <v>34</v>
      </c>
      <c r="F265" s="35" t="s">
        <v>542</v>
      </c>
      <c r="G265" s="35" t="s">
        <v>222</v>
      </c>
      <c r="H265" s="35" t="s">
        <v>357</v>
      </c>
      <c r="I265" s="34" t="s">
        <v>543</v>
      </c>
      <c r="J265" s="34">
        <v>8</v>
      </c>
      <c r="K265" s="36" t="s">
        <v>720</v>
      </c>
      <c r="L265" s="36" t="s">
        <v>720</v>
      </c>
      <c r="M265" s="37" t="s">
        <v>721</v>
      </c>
      <c r="N265" s="37" t="s">
        <v>1763</v>
      </c>
      <c r="O265" s="38">
        <v>1</v>
      </c>
      <c r="P265" s="38"/>
      <c r="Q265" s="35"/>
      <c r="S265" s="1">
        <f t="shared" si="79"/>
        <v>0</v>
      </c>
      <c r="T265" s="1">
        <f t="shared" si="80"/>
        <v>0</v>
      </c>
      <c r="U265" s="1">
        <f t="shared" si="81"/>
        <v>0</v>
      </c>
      <c r="V265" s="1">
        <f t="shared" si="82"/>
        <v>0</v>
      </c>
      <c r="W265" s="1">
        <f t="shared" si="83"/>
        <v>0</v>
      </c>
      <c r="X265" s="1">
        <f t="shared" si="84"/>
        <v>0</v>
      </c>
      <c r="Y265" s="1">
        <f t="shared" si="85"/>
        <v>0</v>
      </c>
      <c r="Z265" s="1">
        <f t="shared" si="86"/>
        <v>1</v>
      </c>
      <c r="AA265" s="1">
        <f t="shared" si="87"/>
        <v>0</v>
      </c>
      <c r="AB265" s="1">
        <f t="shared" si="88"/>
        <v>0</v>
      </c>
      <c r="AD265" s="1">
        <f t="shared" si="89"/>
        <v>0</v>
      </c>
      <c r="AE265" s="1">
        <f t="shared" si="90"/>
        <v>1</v>
      </c>
      <c r="AF265" s="1">
        <f t="shared" si="91"/>
        <v>0</v>
      </c>
      <c r="AG265" s="1">
        <f t="shared" si="92"/>
        <v>1</v>
      </c>
      <c r="AH265" s="1">
        <f t="shared" si="93"/>
        <v>0</v>
      </c>
      <c r="AI265" s="1">
        <f t="shared" si="94"/>
        <v>1</v>
      </c>
    </row>
    <row r="266" spans="1:35" ht="14.25" customHeight="1" x14ac:dyDescent="0.25">
      <c r="A266" s="34">
        <v>0</v>
      </c>
      <c r="B266" s="34">
        <v>2</v>
      </c>
      <c r="C266" s="34">
        <v>1</v>
      </c>
      <c r="D266" s="35" t="s">
        <v>1304</v>
      </c>
      <c r="E266" s="35" t="s">
        <v>566</v>
      </c>
      <c r="F266" s="35" t="s">
        <v>1305</v>
      </c>
      <c r="G266" s="35" t="s">
        <v>232</v>
      </c>
      <c r="H266" s="35" t="s">
        <v>357</v>
      </c>
      <c r="I266" s="34" t="s">
        <v>1306</v>
      </c>
      <c r="J266" s="34">
        <v>7</v>
      </c>
      <c r="K266" s="36" t="s">
        <v>720</v>
      </c>
      <c r="L266" s="36" t="s">
        <v>720</v>
      </c>
      <c r="M266" s="37" t="s">
        <v>721</v>
      </c>
      <c r="N266" s="37" t="s">
        <v>1771</v>
      </c>
      <c r="O266" s="38">
        <v>1</v>
      </c>
      <c r="P266" s="38"/>
      <c r="Q266" s="35"/>
      <c r="S266" s="1">
        <f t="shared" si="79"/>
        <v>0</v>
      </c>
      <c r="T266" s="1">
        <f t="shared" si="80"/>
        <v>0</v>
      </c>
      <c r="U266" s="1">
        <f t="shared" si="81"/>
        <v>0</v>
      </c>
      <c r="V266" s="1">
        <f t="shared" si="82"/>
        <v>0</v>
      </c>
      <c r="W266" s="1">
        <f t="shared" si="83"/>
        <v>0</v>
      </c>
      <c r="X266" s="1">
        <f t="shared" si="84"/>
        <v>0</v>
      </c>
      <c r="Y266" s="1">
        <f t="shared" si="85"/>
        <v>1</v>
      </c>
      <c r="Z266" s="1">
        <f t="shared" si="86"/>
        <v>0</v>
      </c>
      <c r="AA266" s="1">
        <f t="shared" si="87"/>
        <v>0</v>
      </c>
      <c r="AB266" s="1">
        <f t="shared" si="88"/>
        <v>0</v>
      </c>
      <c r="AD266" s="1">
        <f t="shared" si="89"/>
        <v>0</v>
      </c>
      <c r="AE266" s="1">
        <f t="shared" si="90"/>
        <v>1</v>
      </c>
      <c r="AF266" s="1">
        <f t="shared" si="91"/>
        <v>0</v>
      </c>
      <c r="AG266" s="1">
        <f t="shared" si="92"/>
        <v>1</v>
      </c>
      <c r="AH266" s="1">
        <f t="shared" si="93"/>
        <v>0</v>
      </c>
      <c r="AI266" s="1">
        <f t="shared" si="94"/>
        <v>1</v>
      </c>
    </row>
    <row r="267" spans="1:35" ht="14.25" customHeight="1" x14ac:dyDescent="0.25">
      <c r="A267" s="47">
        <v>0</v>
      </c>
      <c r="B267" s="47">
        <v>2</v>
      </c>
      <c r="C267" s="47">
        <v>1</v>
      </c>
      <c r="D267" s="48" t="s">
        <v>1340</v>
      </c>
      <c r="E267" s="48" t="s">
        <v>566</v>
      </c>
      <c r="F267" s="48" t="s">
        <v>1169</v>
      </c>
      <c r="G267" s="48" t="s">
        <v>215</v>
      </c>
      <c r="H267" s="48" t="s">
        <v>357</v>
      </c>
      <c r="I267" s="47" t="s">
        <v>1168</v>
      </c>
      <c r="J267" s="47">
        <v>1</v>
      </c>
      <c r="K267" s="49" t="s">
        <v>961</v>
      </c>
      <c r="L267" s="49" t="s">
        <v>720</v>
      </c>
      <c r="M267" s="50" t="s">
        <v>721</v>
      </c>
      <c r="N267" s="50" t="s">
        <v>1753</v>
      </c>
      <c r="O267" s="51"/>
      <c r="P267" s="51"/>
      <c r="Q267" s="48"/>
      <c r="S267" s="1">
        <f t="shared" si="79"/>
        <v>1</v>
      </c>
      <c r="T267" s="1">
        <f t="shared" si="80"/>
        <v>0</v>
      </c>
      <c r="U267" s="1">
        <f t="shared" si="81"/>
        <v>0</v>
      </c>
      <c r="V267" s="1">
        <f t="shared" si="82"/>
        <v>0</v>
      </c>
      <c r="W267" s="1">
        <f t="shared" si="83"/>
        <v>0</v>
      </c>
      <c r="X267" s="1">
        <f t="shared" si="84"/>
        <v>0</v>
      </c>
      <c r="Y267" s="1">
        <f t="shared" si="85"/>
        <v>0</v>
      </c>
      <c r="Z267" s="1">
        <f t="shared" si="86"/>
        <v>0</v>
      </c>
      <c r="AA267" s="1">
        <f t="shared" si="87"/>
        <v>0</v>
      </c>
      <c r="AB267" s="1">
        <f t="shared" si="88"/>
        <v>0</v>
      </c>
      <c r="AD267" s="1">
        <f t="shared" si="89"/>
        <v>0</v>
      </c>
      <c r="AE267" s="1">
        <f t="shared" si="90"/>
        <v>0</v>
      </c>
      <c r="AF267" s="1">
        <f t="shared" si="91"/>
        <v>0</v>
      </c>
      <c r="AG267" s="1">
        <f t="shared" si="92"/>
        <v>0</v>
      </c>
      <c r="AH267" s="1">
        <f t="shared" si="93"/>
        <v>0</v>
      </c>
      <c r="AI267" s="1">
        <f t="shared" si="94"/>
        <v>1</v>
      </c>
    </row>
    <row r="268" spans="1:35" ht="14.25" customHeight="1" x14ac:dyDescent="0.25">
      <c r="A268" s="34">
        <v>0</v>
      </c>
      <c r="B268" s="34">
        <v>2</v>
      </c>
      <c r="C268" s="34">
        <v>1</v>
      </c>
      <c r="D268" s="35" t="s">
        <v>1341</v>
      </c>
      <c r="E268" s="35" t="s">
        <v>566</v>
      </c>
      <c r="F268" s="35" t="s">
        <v>1163</v>
      </c>
      <c r="G268" s="35" t="s">
        <v>288</v>
      </c>
      <c r="H268" s="35" t="s">
        <v>357</v>
      </c>
      <c r="I268" s="34" t="s">
        <v>1164</v>
      </c>
      <c r="J268" s="34">
        <v>10</v>
      </c>
      <c r="K268" s="36" t="s">
        <v>961</v>
      </c>
      <c r="L268" s="36" t="s">
        <v>720</v>
      </c>
      <c r="M268" s="37" t="s">
        <v>721</v>
      </c>
      <c r="N268" s="37" t="s">
        <v>1776</v>
      </c>
      <c r="O268" s="38">
        <v>1</v>
      </c>
      <c r="P268" s="38"/>
      <c r="Q268" s="35"/>
      <c r="S268" s="1">
        <f t="shared" ref="S268:S331" si="95">IF(J268=$S$7,1,0)</f>
        <v>0</v>
      </c>
      <c r="T268" s="1">
        <f t="shared" ref="T268:T331" si="96">IF(J268=$T$7,1,0)</f>
        <v>0</v>
      </c>
      <c r="U268" s="1">
        <f t="shared" ref="U268:U331" si="97">IF(J268=$U$7,1,0)</f>
        <v>0</v>
      </c>
      <c r="V268" s="1">
        <f t="shared" ref="V268:V331" si="98">IF(J268=$V$7,1,0)</f>
        <v>0</v>
      </c>
      <c r="W268" s="1">
        <f t="shared" ref="W268:W331" si="99">IF(J268=$W$7,1,0)</f>
        <v>0</v>
      </c>
      <c r="X268" s="1">
        <f t="shared" ref="X268:X331" si="100">IF(J268=$X$7,1,0)</f>
        <v>0</v>
      </c>
      <c r="Y268" s="1">
        <f t="shared" ref="Y268:Y331" si="101">IF(J268=$Y$7,1,0)</f>
        <v>0</v>
      </c>
      <c r="Z268" s="1">
        <f t="shared" ref="Z268:Z331" si="102">IF(J268=$Z$7,1,0)</f>
        <v>0</v>
      </c>
      <c r="AA268" s="1">
        <f t="shared" ref="AA268:AA331" si="103">IF(J268=$AA$7,1,0)</f>
        <v>0</v>
      </c>
      <c r="AB268" s="1">
        <f t="shared" ref="AB268:AB331" si="104">IF(J268=$AB$7,1,0)</f>
        <v>1</v>
      </c>
      <c r="AD268" s="1">
        <f t="shared" ref="AD268:AD331" si="105">+O268*P268</f>
        <v>0</v>
      </c>
      <c r="AE268" s="1">
        <f t="shared" ref="AE268:AE331" si="106">O268*(1-P268)</f>
        <v>1</v>
      </c>
      <c r="AF268" s="1">
        <f t="shared" si="91"/>
        <v>0</v>
      </c>
      <c r="AG268" s="1">
        <f t="shared" si="92"/>
        <v>1</v>
      </c>
      <c r="AH268" s="1">
        <f t="shared" si="93"/>
        <v>0</v>
      </c>
      <c r="AI268" s="1">
        <f t="shared" si="94"/>
        <v>1</v>
      </c>
    </row>
    <row r="269" spans="1:35" ht="14.25" customHeight="1" x14ac:dyDescent="0.25">
      <c r="A269" s="15">
        <v>0</v>
      </c>
      <c r="B269" s="15">
        <v>2</v>
      </c>
      <c r="C269" s="15">
        <v>1</v>
      </c>
      <c r="D269" s="16" t="s">
        <v>517</v>
      </c>
      <c r="E269" s="16" t="s">
        <v>34</v>
      </c>
      <c r="F269" s="16" t="s">
        <v>516</v>
      </c>
      <c r="G269" s="16" t="s">
        <v>551</v>
      </c>
      <c r="H269" s="16" t="s">
        <v>357</v>
      </c>
      <c r="I269" s="15" t="s">
        <v>1378</v>
      </c>
      <c r="J269" s="15">
        <v>99</v>
      </c>
      <c r="K269" s="10" t="s">
        <v>962</v>
      </c>
      <c r="L269" s="10" t="s">
        <v>720</v>
      </c>
      <c r="M269" s="19" t="s">
        <v>721</v>
      </c>
      <c r="N269" s="19"/>
      <c r="Q269" s="16"/>
      <c r="S269" s="1">
        <f t="shared" si="95"/>
        <v>0</v>
      </c>
      <c r="T269" s="1">
        <f t="shared" si="96"/>
        <v>0</v>
      </c>
      <c r="U269" s="1">
        <f t="shared" si="97"/>
        <v>0</v>
      </c>
      <c r="V269" s="1">
        <f t="shared" si="98"/>
        <v>0</v>
      </c>
      <c r="W269" s="1">
        <f t="shared" si="99"/>
        <v>0</v>
      </c>
      <c r="X269" s="1">
        <f t="shared" si="100"/>
        <v>0</v>
      </c>
      <c r="Y269" s="1">
        <f t="shared" si="101"/>
        <v>0</v>
      </c>
      <c r="Z269" s="1">
        <f t="shared" si="102"/>
        <v>0</v>
      </c>
      <c r="AA269" s="1">
        <f t="shared" si="103"/>
        <v>0</v>
      </c>
      <c r="AB269" s="1">
        <f t="shared" si="104"/>
        <v>0</v>
      </c>
      <c r="AD269" s="1">
        <f t="shared" si="105"/>
        <v>0</v>
      </c>
      <c r="AE269" s="1">
        <f t="shared" si="106"/>
        <v>0</v>
      </c>
      <c r="AF269" s="1">
        <f t="shared" si="91"/>
        <v>0</v>
      </c>
      <c r="AG269" s="1">
        <f t="shared" si="92"/>
        <v>0</v>
      </c>
      <c r="AH269" s="1">
        <f t="shared" si="93"/>
        <v>0</v>
      </c>
      <c r="AI269" s="1">
        <f t="shared" si="94"/>
        <v>1</v>
      </c>
    </row>
    <row r="270" spans="1:35" ht="14.25" customHeight="1" x14ac:dyDescent="0.25">
      <c r="A270" s="41">
        <v>0</v>
      </c>
      <c r="B270" s="41">
        <v>2</v>
      </c>
      <c r="C270" s="41">
        <v>1</v>
      </c>
      <c r="D270" s="42" t="s">
        <v>1052</v>
      </c>
      <c r="E270" s="42" t="s">
        <v>36</v>
      </c>
      <c r="F270" s="42" t="s">
        <v>1674</v>
      </c>
      <c r="G270" s="42" t="s">
        <v>633</v>
      </c>
      <c r="H270" s="42" t="s">
        <v>357</v>
      </c>
      <c r="I270" s="41" t="s">
        <v>1053</v>
      </c>
      <c r="J270" s="41">
        <v>99</v>
      </c>
      <c r="K270" s="43" t="s">
        <v>966</v>
      </c>
      <c r="L270" s="43" t="s">
        <v>720</v>
      </c>
      <c r="M270" s="44" t="s">
        <v>721</v>
      </c>
      <c r="N270" s="45"/>
      <c r="O270" s="46"/>
      <c r="P270" s="46">
        <v>1</v>
      </c>
      <c r="Q270" s="57" t="s">
        <v>1914</v>
      </c>
      <c r="S270" s="1">
        <f t="shared" si="95"/>
        <v>0</v>
      </c>
      <c r="T270" s="1">
        <f t="shared" si="96"/>
        <v>0</v>
      </c>
      <c r="U270" s="1">
        <f t="shared" si="97"/>
        <v>0</v>
      </c>
      <c r="V270" s="1">
        <f t="shared" si="98"/>
        <v>0</v>
      </c>
      <c r="W270" s="1">
        <f t="shared" si="99"/>
        <v>0</v>
      </c>
      <c r="X270" s="1">
        <f t="shared" si="100"/>
        <v>0</v>
      </c>
      <c r="Y270" s="1">
        <f t="shared" si="101"/>
        <v>0</v>
      </c>
      <c r="Z270" s="1">
        <f t="shared" si="102"/>
        <v>0</v>
      </c>
      <c r="AA270" s="1">
        <f t="shared" si="103"/>
        <v>0</v>
      </c>
      <c r="AB270" s="1">
        <f t="shared" si="104"/>
        <v>0</v>
      </c>
      <c r="AD270" s="1">
        <f t="shared" si="105"/>
        <v>0</v>
      </c>
      <c r="AE270" s="1">
        <f t="shared" si="106"/>
        <v>0</v>
      </c>
      <c r="AF270" s="1">
        <f t="shared" si="91"/>
        <v>0</v>
      </c>
      <c r="AG270" s="1">
        <f t="shared" si="92"/>
        <v>0</v>
      </c>
      <c r="AH270" s="1">
        <f t="shared" si="93"/>
        <v>1</v>
      </c>
      <c r="AI270" s="1">
        <f t="shared" si="94"/>
        <v>0</v>
      </c>
    </row>
    <row r="271" spans="1:35" ht="14.25" customHeight="1" x14ac:dyDescent="0.25">
      <c r="A271" s="34">
        <v>1</v>
      </c>
      <c r="B271" s="34">
        <v>2</v>
      </c>
      <c r="C271" s="34">
        <v>1</v>
      </c>
      <c r="D271" s="35" t="s">
        <v>49</v>
      </c>
      <c r="E271" s="35" t="s">
        <v>1328</v>
      </c>
      <c r="F271" s="35" t="s">
        <v>193</v>
      </c>
      <c r="G271" s="35" t="s">
        <v>194</v>
      </c>
      <c r="H271" s="35" t="s">
        <v>357</v>
      </c>
      <c r="I271" s="34" t="s">
        <v>389</v>
      </c>
      <c r="J271" s="34">
        <v>99</v>
      </c>
      <c r="K271" s="36" t="s">
        <v>719</v>
      </c>
      <c r="L271" s="36" t="s">
        <v>720</v>
      </c>
      <c r="M271" s="37" t="s">
        <v>721</v>
      </c>
      <c r="N271" s="37" t="s">
        <v>1771</v>
      </c>
      <c r="O271" s="38">
        <v>1</v>
      </c>
      <c r="P271" s="38"/>
      <c r="Q271" s="35"/>
      <c r="S271" s="1">
        <f t="shared" si="95"/>
        <v>0</v>
      </c>
      <c r="T271" s="1">
        <f t="shared" si="96"/>
        <v>0</v>
      </c>
      <c r="U271" s="1">
        <f t="shared" si="97"/>
        <v>0</v>
      </c>
      <c r="V271" s="1">
        <f t="shared" si="98"/>
        <v>0</v>
      </c>
      <c r="W271" s="1">
        <f t="shared" si="99"/>
        <v>0</v>
      </c>
      <c r="X271" s="1">
        <f t="shared" si="100"/>
        <v>0</v>
      </c>
      <c r="Y271" s="1">
        <f t="shared" si="101"/>
        <v>0</v>
      </c>
      <c r="Z271" s="1">
        <f t="shared" si="102"/>
        <v>0</v>
      </c>
      <c r="AA271" s="1">
        <f t="shared" si="103"/>
        <v>0</v>
      </c>
      <c r="AB271" s="1">
        <f t="shared" si="104"/>
        <v>0</v>
      </c>
      <c r="AD271" s="1">
        <f t="shared" si="105"/>
        <v>0</v>
      </c>
      <c r="AE271" s="1">
        <f t="shared" si="106"/>
        <v>1</v>
      </c>
      <c r="AF271" s="1">
        <f t="shared" si="91"/>
        <v>0</v>
      </c>
      <c r="AG271" s="1">
        <f t="shared" si="92"/>
        <v>0</v>
      </c>
      <c r="AH271" s="1">
        <f t="shared" si="93"/>
        <v>0</v>
      </c>
      <c r="AI271" s="1">
        <f t="shared" si="94"/>
        <v>0</v>
      </c>
    </row>
    <row r="272" spans="1:35" ht="14.25" customHeight="1" x14ac:dyDescent="0.25">
      <c r="A272" s="34">
        <v>0</v>
      </c>
      <c r="B272" s="34">
        <v>2</v>
      </c>
      <c r="C272" s="34">
        <v>1</v>
      </c>
      <c r="D272" s="35" t="s">
        <v>1084</v>
      </c>
      <c r="E272" s="35" t="s">
        <v>1328</v>
      </c>
      <c r="F272" s="35" t="s">
        <v>1099</v>
      </c>
      <c r="G272" s="35" t="s">
        <v>204</v>
      </c>
      <c r="H272" s="35" t="s">
        <v>357</v>
      </c>
      <c r="I272" s="34" t="s">
        <v>389</v>
      </c>
      <c r="J272" s="34">
        <v>10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Q272" s="35"/>
      <c r="S272" s="1">
        <f t="shared" si="95"/>
        <v>0</v>
      </c>
      <c r="T272" s="1">
        <f t="shared" si="96"/>
        <v>0</v>
      </c>
      <c r="U272" s="1">
        <f t="shared" si="97"/>
        <v>0</v>
      </c>
      <c r="V272" s="1">
        <f t="shared" si="98"/>
        <v>0</v>
      </c>
      <c r="W272" s="1">
        <f t="shared" si="99"/>
        <v>0</v>
      </c>
      <c r="X272" s="1">
        <f t="shared" si="100"/>
        <v>0</v>
      </c>
      <c r="Y272" s="1">
        <f t="shared" si="101"/>
        <v>0</v>
      </c>
      <c r="Z272" s="1">
        <f t="shared" si="102"/>
        <v>0</v>
      </c>
      <c r="AA272" s="1">
        <f t="shared" si="103"/>
        <v>0</v>
      </c>
      <c r="AB272" s="1">
        <f t="shared" si="104"/>
        <v>1</v>
      </c>
      <c r="AD272" s="1">
        <f t="shared" si="105"/>
        <v>0</v>
      </c>
      <c r="AE272" s="1">
        <f t="shared" si="106"/>
        <v>1</v>
      </c>
      <c r="AF272" s="1">
        <f t="shared" si="91"/>
        <v>0</v>
      </c>
      <c r="AG272" s="1">
        <f t="shared" si="92"/>
        <v>1</v>
      </c>
      <c r="AH272" s="1">
        <f t="shared" si="93"/>
        <v>0</v>
      </c>
      <c r="AI272" s="1">
        <f t="shared" si="94"/>
        <v>1</v>
      </c>
    </row>
    <row r="273" spans="1:35" ht="14.25" customHeight="1" x14ac:dyDescent="0.25">
      <c r="A273" s="34">
        <v>0</v>
      </c>
      <c r="B273" s="34">
        <v>2</v>
      </c>
      <c r="C273" s="34">
        <v>1</v>
      </c>
      <c r="D273" s="35" t="s">
        <v>1287</v>
      </c>
      <c r="E273" s="35" t="s">
        <v>566</v>
      </c>
      <c r="F273" s="35" t="s">
        <v>1288</v>
      </c>
      <c r="G273" s="35" t="s">
        <v>260</v>
      </c>
      <c r="H273" s="35" t="s">
        <v>357</v>
      </c>
      <c r="I273" s="34" t="s">
        <v>1289</v>
      </c>
      <c r="J273" s="34">
        <v>8</v>
      </c>
      <c r="K273" s="36" t="s">
        <v>961</v>
      </c>
      <c r="L273" s="36" t="s">
        <v>720</v>
      </c>
      <c r="M273" s="37" t="s">
        <v>721</v>
      </c>
      <c r="N273" s="37" t="s">
        <v>1763</v>
      </c>
      <c r="O273" s="38">
        <v>1</v>
      </c>
      <c r="P273" s="38"/>
      <c r="Q273" s="35"/>
      <c r="S273" s="1">
        <f t="shared" si="95"/>
        <v>0</v>
      </c>
      <c r="T273" s="1">
        <f t="shared" si="96"/>
        <v>0</v>
      </c>
      <c r="U273" s="1">
        <f t="shared" si="97"/>
        <v>0</v>
      </c>
      <c r="V273" s="1">
        <f t="shared" si="98"/>
        <v>0</v>
      </c>
      <c r="W273" s="1">
        <f t="shared" si="99"/>
        <v>0</v>
      </c>
      <c r="X273" s="1">
        <f t="shared" si="100"/>
        <v>0</v>
      </c>
      <c r="Y273" s="1">
        <f t="shared" si="101"/>
        <v>0</v>
      </c>
      <c r="Z273" s="1">
        <f t="shared" si="102"/>
        <v>1</v>
      </c>
      <c r="AA273" s="1">
        <f t="shared" si="103"/>
        <v>0</v>
      </c>
      <c r="AB273" s="1">
        <f t="shared" si="104"/>
        <v>0</v>
      </c>
      <c r="AD273" s="1">
        <f t="shared" si="105"/>
        <v>0</v>
      </c>
      <c r="AE273" s="1">
        <f t="shared" si="106"/>
        <v>1</v>
      </c>
      <c r="AF273" s="1">
        <f t="shared" si="91"/>
        <v>0</v>
      </c>
      <c r="AG273" s="1">
        <f t="shared" si="92"/>
        <v>1</v>
      </c>
      <c r="AH273" s="1">
        <f t="shared" si="93"/>
        <v>0</v>
      </c>
      <c r="AI273" s="1">
        <f t="shared" si="94"/>
        <v>1</v>
      </c>
    </row>
    <row r="274" spans="1:35" ht="14.25" customHeight="1" x14ac:dyDescent="0.25">
      <c r="A274" s="47">
        <v>0</v>
      </c>
      <c r="B274" s="47">
        <v>2</v>
      </c>
      <c r="C274" s="47">
        <v>1</v>
      </c>
      <c r="D274" s="48" t="s">
        <v>48</v>
      </c>
      <c r="E274" s="48" t="s">
        <v>583</v>
      </c>
      <c r="F274" s="48" t="s">
        <v>191</v>
      </c>
      <c r="G274" s="48" t="s">
        <v>303</v>
      </c>
      <c r="H274" s="48" t="s">
        <v>357</v>
      </c>
      <c r="I274" s="47" t="s">
        <v>388</v>
      </c>
      <c r="J274" s="47">
        <v>99</v>
      </c>
      <c r="K274" s="49" t="s">
        <v>720</v>
      </c>
      <c r="L274" s="49" t="s">
        <v>720</v>
      </c>
      <c r="M274" s="50" t="s">
        <v>721</v>
      </c>
      <c r="N274" s="50" t="s">
        <v>1762</v>
      </c>
      <c r="O274" s="51"/>
      <c r="P274" s="51"/>
      <c r="Q274" s="48"/>
      <c r="S274" s="1">
        <f t="shared" si="95"/>
        <v>0</v>
      </c>
      <c r="T274" s="1">
        <f t="shared" si="96"/>
        <v>0</v>
      </c>
      <c r="U274" s="1">
        <f t="shared" si="97"/>
        <v>0</v>
      </c>
      <c r="V274" s="1">
        <f t="shared" si="98"/>
        <v>0</v>
      </c>
      <c r="W274" s="1">
        <f t="shared" si="99"/>
        <v>0</v>
      </c>
      <c r="X274" s="1">
        <f t="shared" si="100"/>
        <v>0</v>
      </c>
      <c r="Y274" s="1">
        <f t="shared" si="101"/>
        <v>0</v>
      </c>
      <c r="Z274" s="1">
        <f t="shared" si="102"/>
        <v>0</v>
      </c>
      <c r="AA274" s="1">
        <f t="shared" si="103"/>
        <v>0</v>
      </c>
      <c r="AB274" s="1">
        <f t="shared" si="104"/>
        <v>0</v>
      </c>
      <c r="AD274" s="1">
        <f t="shared" si="105"/>
        <v>0</v>
      </c>
      <c r="AE274" s="1">
        <f t="shared" si="106"/>
        <v>0</v>
      </c>
      <c r="AF274" s="1">
        <f t="shared" si="91"/>
        <v>0</v>
      </c>
      <c r="AG274" s="1">
        <f t="shared" si="92"/>
        <v>0</v>
      </c>
      <c r="AH274" s="1">
        <f t="shared" si="93"/>
        <v>0</v>
      </c>
      <c r="AI274" s="1">
        <f t="shared" si="94"/>
        <v>1</v>
      </c>
    </row>
    <row r="275" spans="1:35" ht="14.25" customHeight="1" x14ac:dyDescent="0.25">
      <c r="A275" s="15">
        <v>0</v>
      </c>
      <c r="B275" s="15">
        <v>2</v>
      </c>
      <c r="C275" s="15">
        <v>1</v>
      </c>
      <c r="D275" s="16" t="s">
        <v>57</v>
      </c>
      <c r="E275" s="16" t="s">
        <v>164</v>
      </c>
      <c r="F275" s="16" t="s">
        <v>672</v>
      </c>
      <c r="G275" s="16" t="s">
        <v>223</v>
      </c>
      <c r="H275" s="16" t="s">
        <v>357</v>
      </c>
      <c r="I275" s="15" t="s">
        <v>399</v>
      </c>
      <c r="J275" s="15">
        <v>99</v>
      </c>
      <c r="K275" s="10" t="s">
        <v>968</v>
      </c>
      <c r="L275" s="10" t="s">
        <v>720</v>
      </c>
      <c r="M275" s="19" t="s">
        <v>721</v>
      </c>
      <c r="N275" s="19"/>
      <c r="Q275" s="16"/>
      <c r="S275" s="1">
        <f t="shared" si="95"/>
        <v>0</v>
      </c>
      <c r="T275" s="1">
        <f t="shared" si="96"/>
        <v>0</v>
      </c>
      <c r="U275" s="1">
        <f t="shared" si="97"/>
        <v>0</v>
      </c>
      <c r="V275" s="1">
        <f t="shared" si="98"/>
        <v>0</v>
      </c>
      <c r="W275" s="1">
        <f t="shared" si="99"/>
        <v>0</v>
      </c>
      <c r="X275" s="1">
        <f t="shared" si="100"/>
        <v>0</v>
      </c>
      <c r="Y275" s="1">
        <f t="shared" si="101"/>
        <v>0</v>
      </c>
      <c r="Z275" s="1">
        <f t="shared" si="102"/>
        <v>0</v>
      </c>
      <c r="AA275" s="1">
        <f t="shared" si="103"/>
        <v>0</v>
      </c>
      <c r="AB275" s="1">
        <f t="shared" si="104"/>
        <v>0</v>
      </c>
      <c r="AD275" s="1">
        <f t="shared" si="105"/>
        <v>0</v>
      </c>
      <c r="AE275" s="1">
        <f t="shared" si="106"/>
        <v>0</v>
      </c>
      <c r="AF275" s="1">
        <f t="shared" si="91"/>
        <v>0</v>
      </c>
      <c r="AG275" s="1">
        <f t="shared" si="92"/>
        <v>0</v>
      </c>
      <c r="AH275" s="1">
        <f t="shared" si="93"/>
        <v>0</v>
      </c>
      <c r="AI275" s="1">
        <f t="shared" si="94"/>
        <v>1</v>
      </c>
    </row>
    <row r="276" spans="1:35" ht="14.25" customHeight="1" x14ac:dyDescent="0.25">
      <c r="A276" s="47">
        <v>0</v>
      </c>
      <c r="B276" s="47">
        <v>2</v>
      </c>
      <c r="C276" s="47">
        <v>1</v>
      </c>
      <c r="D276" s="48" t="s">
        <v>520</v>
      </c>
      <c r="E276" s="48" t="s">
        <v>566</v>
      </c>
      <c r="F276" s="48" t="s">
        <v>231</v>
      </c>
      <c r="G276" s="48" t="s">
        <v>232</v>
      </c>
      <c r="H276" s="48" t="s">
        <v>357</v>
      </c>
      <c r="I276" s="47" t="s">
        <v>403</v>
      </c>
      <c r="J276" s="47">
        <v>7</v>
      </c>
      <c r="K276" s="49" t="s">
        <v>961</v>
      </c>
      <c r="L276" s="49" t="s">
        <v>720</v>
      </c>
      <c r="M276" s="50" t="s">
        <v>721</v>
      </c>
      <c r="N276" s="50" t="s">
        <v>1749</v>
      </c>
      <c r="O276" s="51"/>
      <c r="P276" s="51"/>
      <c r="Q276" s="48"/>
      <c r="S276" s="1">
        <f t="shared" si="95"/>
        <v>0</v>
      </c>
      <c r="T276" s="1">
        <f t="shared" si="96"/>
        <v>0</v>
      </c>
      <c r="U276" s="1">
        <f t="shared" si="97"/>
        <v>0</v>
      </c>
      <c r="V276" s="1">
        <f t="shared" si="98"/>
        <v>0</v>
      </c>
      <c r="W276" s="1">
        <f t="shared" si="99"/>
        <v>0</v>
      </c>
      <c r="X276" s="1">
        <f t="shared" si="100"/>
        <v>0</v>
      </c>
      <c r="Y276" s="1">
        <f t="shared" si="101"/>
        <v>1</v>
      </c>
      <c r="Z276" s="1">
        <f t="shared" si="102"/>
        <v>0</v>
      </c>
      <c r="AA276" s="1">
        <f t="shared" si="103"/>
        <v>0</v>
      </c>
      <c r="AB276" s="1">
        <f t="shared" si="104"/>
        <v>0</v>
      </c>
      <c r="AD276" s="1">
        <f t="shared" si="105"/>
        <v>0</v>
      </c>
      <c r="AE276" s="1">
        <f t="shared" si="106"/>
        <v>0</v>
      </c>
      <c r="AF276" s="1">
        <f t="shared" si="91"/>
        <v>0</v>
      </c>
      <c r="AG276" s="1">
        <f t="shared" si="92"/>
        <v>0</v>
      </c>
      <c r="AH276" s="1">
        <f t="shared" si="93"/>
        <v>0</v>
      </c>
      <c r="AI276" s="1">
        <f t="shared" si="94"/>
        <v>1</v>
      </c>
    </row>
    <row r="277" spans="1:35" ht="14.25" customHeight="1" x14ac:dyDescent="0.25">
      <c r="A277" s="47">
        <v>0</v>
      </c>
      <c r="B277" s="47">
        <v>2</v>
      </c>
      <c r="C277" s="47">
        <v>1</v>
      </c>
      <c r="D277" s="48" t="s">
        <v>565</v>
      </c>
      <c r="E277" s="48" t="s">
        <v>566</v>
      </c>
      <c r="F277" s="48" t="s">
        <v>567</v>
      </c>
      <c r="G277" s="48" t="s">
        <v>210</v>
      </c>
      <c r="H277" s="48" t="s">
        <v>357</v>
      </c>
      <c r="I277" s="47" t="s">
        <v>568</v>
      </c>
      <c r="J277" s="47">
        <v>3</v>
      </c>
      <c r="K277" s="49" t="s">
        <v>719</v>
      </c>
      <c r="L277" s="49" t="s">
        <v>720</v>
      </c>
      <c r="M277" s="50" t="s">
        <v>721</v>
      </c>
      <c r="N277" s="50" t="s">
        <v>1762</v>
      </c>
      <c r="O277" s="51"/>
      <c r="P277" s="51"/>
      <c r="Q277" s="48"/>
      <c r="S277" s="1">
        <f t="shared" si="95"/>
        <v>0</v>
      </c>
      <c r="T277" s="1">
        <f t="shared" si="96"/>
        <v>0</v>
      </c>
      <c r="U277" s="1">
        <f t="shared" si="97"/>
        <v>1</v>
      </c>
      <c r="V277" s="1">
        <f t="shared" si="98"/>
        <v>0</v>
      </c>
      <c r="W277" s="1">
        <f t="shared" si="99"/>
        <v>0</v>
      </c>
      <c r="X277" s="1">
        <f t="shared" si="100"/>
        <v>0</v>
      </c>
      <c r="Y277" s="1">
        <f t="shared" si="101"/>
        <v>0</v>
      </c>
      <c r="Z277" s="1">
        <f t="shared" si="102"/>
        <v>0</v>
      </c>
      <c r="AA277" s="1">
        <f t="shared" si="103"/>
        <v>0</v>
      </c>
      <c r="AB277" s="1">
        <f t="shared" si="104"/>
        <v>0</v>
      </c>
      <c r="AD277" s="1">
        <f t="shared" si="105"/>
        <v>0</v>
      </c>
      <c r="AE277" s="1">
        <f t="shared" si="106"/>
        <v>0</v>
      </c>
      <c r="AF277" s="1">
        <f t="shared" si="91"/>
        <v>0</v>
      </c>
      <c r="AG277" s="1">
        <f t="shared" si="92"/>
        <v>0</v>
      </c>
      <c r="AH277" s="1">
        <f t="shared" si="93"/>
        <v>0</v>
      </c>
      <c r="AI277" s="1">
        <f t="shared" si="94"/>
        <v>1</v>
      </c>
    </row>
    <row r="278" spans="1:35" ht="14.25" customHeight="1" x14ac:dyDescent="0.25">
      <c r="A278" s="40">
        <v>0</v>
      </c>
      <c r="B278" s="40">
        <v>2</v>
      </c>
      <c r="C278" s="40">
        <v>1</v>
      </c>
      <c r="D278" s="39" t="s">
        <v>1063</v>
      </c>
      <c r="E278" s="39" t="s">
        <v>32</v>
      </c>
      <c r="F278" s="39" t="s">
        <v>1291</v>
      </c>
      <c r="G278" s="39" t="s">
        <v>540</v>
      </c>
      <c r="H278" s="39" t="s">
        <v>357</v>
      </c>
      <c r="I278" s="40" t="s">
        <v>1292</v>
      </c>
      <c r="J278" s="40">
        <v>6</v>
      </c>
      <c r="K278" s="59" t="s">
        <v>720</v>
      </c>
      <c r="L278" s="36" t="s">
        <v>720</v>
      </c>
      <c r="M278" s="37" t="s">
        <v>721</v>
      </c>
      <c r="N278" s="37" t="s">
        <v>1763</v>
      </c>
      <c r="O278" s="38">
        <v>1</v>
      </c>
      <c r="P278" s="38"/>
      <c r="Q278" s="39"/>
      <c r="S278" s="1">
        <f t="shared" si="95"/>
        <v>0</v>
      </c>
      <c r="T278" s="1">
        <f t="shared" si="96"/>
        <v>0</v>
      </c>
      <c r="U278" s="1">
        <f t="shared" si="97"/>
        <v>0</v>
      </c>
      <c r="V278" s="1">
        <f t="shared" si="98"/>
        <v>0</v>
      </c>
      <c r="W278" s="1">
        <f t="shared" si="99"/>
        <v>0</v>
      </c>
      <c r="X278" s="1">
        <f t="shared" si="100"/>
        <v>1</v>
      </c>
      <c r="Y278" s="1">
        <f t="shared" si="101"/>
        <v>0</v>
      </c>
      <c r="Z278" s="1">
        <f t="shared" si="102"/>
        <v>0</v>
      </c>
      <c r="AA278" s="1">
        <f t="shared" si="103"/>
        <v>0</v>
      </c>
      <c r="AB278" s="1">
        <f t="shared" si="104"/>
        <v>0</v>
      </c>
      <c r="AD278" s="1">
        <f t="shared" si="105"/>
        <v>0</v>
      </c>
      <c r="AE278" s="1">
        <f t="shared" si="106"/>
        <v>1</v>
      </c>
      <c r="AF278" s="1">
        <f t="shared" si="91"/>
        <v>0</v>
      </c>
      <c r="AG278" s="1">
        <f t="shared" si="92"/>
        <v>1</v>
      </c>
      <c r="AH278" s="1">
        <f t="shared" si="93"/>
        <v>0</v>
      </c>
      <c r="AI278" s="1">
        <f t="shared" si="94"/>
        <v>1</v>
      </c>
    </row>
    <row r="279" spans="1:35" ht="14.25" customHeight="1" x14ac:dyDescent="0.25">
      <c r="A279" s="47">
        <v>0</v>
      </c>
      <c r="B279" s="47">
        <v>2</v>
      </c>
      <c r="C279" s="47">
        <v>1</v>
      </c>
      <c r="D279" s="48" t="s">
        <v>924</v>
      </c>
      <c r="E279" s="48" t="s">
        <v>1347</v>
      </c>
      <c r="F279" s="48" t="s">
        <v>796</v>
      </c>
      <c r="G279" s="48" t="s">
        <v>259</v>
      </c>
      <c r="H279" s="48" t="s">
        <v>357</v>
      </c>
      <c r="I279" s="47" t="s">
        <v>951</v>
      </c>
      <c r="J279" s="47">
        <v>99</v>
      </c>
      <c r="K279" s="49" t="s">
        <v>719</v>
      </c>
      <c r="L279" s="49" t="s">
        <v>720</v>
      </c>
      <c r="M279" s="50" t="s">
        <v>721</v>
      </c>
      <c r="N279" s="50" t="s">
        <v>1749</v>
      </c>
      <c r="O279" s="51"/>
      <c r="P279" s="51"/>
      <c r="Q279" s="48"/>
      <c r="S279" s="1">
        <f t="shared" si="95"/>
        <v>0</v>
      </c>
      <c r="T279" s="1">
        <f t="shared" si="96"/>
        <v>0</v>
      </c>
      <c r="U279" s="1">
        <f t="shared" si="97"/>
        <v>0</v>
      </c>
      <c r="V279" s="1">
        <f t="shared" si="98"/>
        <v>0</v>
      </c>
      <c r="W279" s="1">
        <f t="shared" si="99"/>
        <v>0</v>
      </c>
      <c r="X279" s="1">
        <f t="shared" si="100"/>
        <v>0</v>
      </c>
      <c r="Y279" s="1">
        <f t="shared" si="101"/>
        <v>0</v>
      </c>
      <c r="Z279" s="1">
        <f t="shared" si="102"/>
        <v>0</v>
      </c>
      <c r="AA279" s="1">
        <f t="shared" si="103"/>
        <v>0</v>
      </c>
      <c r="AB279" s="1">
        <f t="shared" si="104"/>
        <v>0</v>
      </c>
      <c r="AD279" s="1">
        <f t="shared" si="105"/>
        <v>0</v>
      </c>
      <c r="AE279" s="1">
        <f t="shared" si="106"/>
        <v>0</v>
      </c>
      <c r="AF279" s="1">
        <f t="shared" si="91"/>
        <v>0</v>
      </c>
      <c r="AG279" s="1">
        <f t="shared" si="92"/>
        <v>0</v>
      </c>
      <c r="AH279" s="1">
        <f t="shared" si="93"/>
        <v>0</v>
      </c>
      <c r="AI279" s="1">
        <f t="shared" si="94"/>
        <v>1</v>
      </c>
    </row>
    <row r="280" spans="1:35" ht="14.25" customHeight="1" x14ac:dyDescent="0.25">
      <c r="A280" s="40">
        <v>0</v>
      </c>
      <c r="B280" s="40">
        <v>2</v>
      </c>
      <c r="C280" s="40">
        <v>1</v>
      </c>
      <c r="D280" s="39" t="s">
        <v>1786</v>
      </c>
      <c r="E280" s="39" t="s">
        <v>1787</v>
      </c>
      <c r="F280" s="39" t="s">
        <v>1788</v>
      </c>
      <c r="G280" s="39" t="s">
        <v>182</v>
      </c>
      <c r="H280" s="39" t="s">
        <v>357</v>
      </c>
      <c r="I280" s="40" t="s">
        <v>1789</v>
      </c>
      <c r="J280" s="40"/>
      <c r="K280" s="59" t="s">
        <v>710</v>
      </c>
      <c r="L280" s="36">
        <v>4</v>
      </c>
      <c r="M280" s="37" t="s">
        <v>721</v>
      </c>
      <c r="N280" s="37" t="s">
        <v>1758</v>
      </c>
      <c r="O280" s="38">
        <v>1</v>
      </c>
      <c r="P280" s="38"/>
      <c r="Q280" s="39"/>
      <c r="S280" s="1">
        <f t="shared" si="95"/>
        <v>0</v>
      </c>
      <c r="T280" s="1">
        <f t="shared" si="96"/>
        <v>0</v>
      </c>
      <c r="U280" s="1">
        <f t="shared" si="97"/>
        <v>0</v>
      </c>
      <c r="V280" s="1">
        <f t="shared" si="98"/>
        <v>0</v>
      </c>
      <c r="W280" s="1">
        <f t="shared" si="99"/>
        <v>0</v>
      </c>
      <c r="X280" s="1">
        <f t="shared" si="100"/>
        <v>0</v>
      </c>
      <c r="Y280" s="1">
        <f t="shared" si="101"/>
        <v>0</v>
      </c>
      <c r="Z280" s="1">
        <f t="shared" si="102"/>
        <v>0</v>
      </c>
      <c r="AA280" s="1">
        <f t="shared" si="103"/>
        <v>0</v>
      </c>
      <c r="AB280" s="1">
        <f t="shared" si="104"/>
        <v>0</v>
      </c>
      <c r="AD280" s="1">
        <f t="shared" si="105"/>
        <v>0</v>
      </c>
      <c r="AE280" s="1">
        <f t="shared" si="106"/>
        <v>1</v>
      </c>
      <c r="AF280" s="1">
        <f t="shared" si="91"/>
        <v>0</v>
      </c>
      <c r="AG280" s="1">
        <f t="shared" si="92"/>
        <v>1</v>
      </c>
      <c r="AH280" s="1">
        <f t="shared" si="93"/>
        <v>0</v>
      </c>
      <c r="AI280" s="1">
        <f t="shared" si="94"/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624</v>
      </c>
      <c r="E281" s="35" t="s">
        <v>625</v>
      </c>
      <c r="F281" s="35" t="s">
        <v>626</v>
      </c>
      <c r="G281" s="35" t="s">
        <v>627</v>
      </c>
      <c r="H281" s="35" t="s">
        <v>357</v>
      </c>
      <c r="I281" s="34" t="s">
        <v>628</v>
      </c>
      <c r="J281" s="34">
        <v>99</v>
      </c>
      <c r="K281" s="36" t="s">
        <v>719</v>
      </c>
      <c r="L281" s="36" t="s">
        <v>720</v>
      </c>
      <c r="M281" s="37" t="s">
        <v>721</v>
      </c>
      <c r="N281" s="37" t="s">
        <v>1771</v>
      </c>
      <c r="O281" s="38">
        <v>1</v>
      </c>
      <c r="P281" s="38"/>
      <c r="Q281" s="35"/>
      <c r="S281" s="1">
        <f t="shared" si="95"/>
        <v>0</v>
      </c>
      <c r="T281" s="1">
        <f t="shared" si="96"/>
        <v>0</v>
      </c>
      <c r="U281" s="1">
        <f t="shared" si="97"/>
        <v>0</v>
      </c>
      <c r="V281" s="1">
        <f t="shared" si="98"/>
        <v>0</v>
      </c>
      <c r="W281" s="1">
        <f t="shared" si="99"/>
        <v>0</v>
      </c>
      <c r="X281" s="1">
        <f t="shared" si="100"/>
        <v>0</v>
      </c>
      <c r="Y281" s="1">
        <f t="shared" si="101"/>
        <v>0</v>
      </c>
      <c r="Z281" s="1">
        <f t="shared" si="102"/>
        <v>0</v>
      </c>
      <c r="AA281" s="1">
        <f t="shared" si="103"/>
        <v>0</v>
      </c>
      <c r="AB281" s="1">
        <f t="shared" si="104"/>
        <v>0</v>
      </c>
      <c r="AD281" s="1">
        <f t="shared" si="105"/>
        <v>0</v>
      </c>
      <c r="AE281" s="1">
        <f t="shared" si="106"/>
        <v>1</v>
      </c>
      <c r="AF281" s="1">
        <f t="shared" si="91"/>
        <v>0</v>
      </c>
      <c r="AG281" s="1">
        <f t="shared" si="92"/>
        <v>1</v>
      </c>
      <c r="AH281" s="1">
        <f t="shared" si="93"/>
        <v>0</v>
      </c>
      <c r="AI281" s="1">
        <f t="shared" si="94"/>
        <v>1</v>
      </c>
    </row>
    <row r="282" spans="1:35" ht="14.25" customHeight="1" x14ac:dyDescent="0.25">
      <c r="A282" s="47">
        <v>0</v>
      </c>
      <c r="B282" s="47">
        <v>2</v>
      </c>
      <c r="C282" s="47">
        <v>1</v>
      </c>
      <c r="D282" s="48" t="s">
        <v>1090</v>
      </c>
      <c r="E282" s="48" t="s">
        <v>1348</v>
      </c>
      <c r="F282" s="48" t="s">
        <v>1678</v>
      </c>
      <c r="G282" s="48" t="s">
        <v>192</v>
      </c>
      <c r="H282" s="48" t="s">
        <v>357</v>
      </c>
      <c r="I282" s="67" t="s">
        <v>1876</v>
      </c>
      <c r="J282" s="47">
        <v>99</v>
      </c>
      <c r="K282" s="49" t="s">
        <v>719</v>
      </c>
      <c r="L282" s="49" t="s">
        <v>720</v>
      </c>
      <c r="M282" s="50" t="s">
        <v>721</v>
      </c>
      <c r="N282" s="50" t="s">
        <v>1750</v>
      </c>
      <c r="O282" s="51"/>
      <c r="P282" s="51"/>
      <c r="Q282" s="48"/>
      <c r="S282" s="1">
        <f t="shared" si="95"/>
        <v>0</v>
      </c>
      <c r="T282" s="1">
        <f t="shared" si="96"/>
        <v>0</v>
      </c>
      <c r="U282" s="1">
        <f t="shared" si="97"/>
        <v>0</v>
      </c>
      <c r="V282" s="1">
        <f t="shared" si="98"/>
        <v>0</v>
      </c>
      <c r="W282" s="1">
        <f t="shared" si="99"/>
        <v>0</v>
      </c>
      <c r="X282" s="1">
        <f t="shared" si="100"/>
        <v>0</v>
      </c>
      <c r="Y282" s="1">
        <f t="shared" si="101"/>
        <v>0</v>
      </c>
      <c r="Z282" s="1">
        <f t="shared" si="102"/>
        <v>0</v>
      </c>
      <c r="AA282" s="1">
        <f t="shared" si="103"/>
        <v>0</v>
      </c>
      <c r="AB282" s="1">
        <f t="shared" si="104"/>
        <v>0</v>
      </c>
      <c r="AD282" s="1">
        <f t="shared" si="105"/>
        <v>0</v>
      </c>
      <c r="AE282" s="1">
        <f t="shared" si="106"/>
        <v>0</v>
      </c>
      <c r="AF282" s="1">
        <f t="shared" si="91"/>
        <v>0</v>
      </c>
      <c r="AG282" s="1">
        <f t="shared" si="92"/>
        <v>0</v>
      </c>
      <c r="AH282" s="1">
        <f t="shared" si="93"/>
        <v>0</v>
      </c>
      <c r="AI282" s="1">
        <f t="shared" si="94"/>
        <v>1</v>
      </c>
    </row>
    <row r="283" spans="1:35" ht="14.25" customHeight="1" x14ac:dyDescent="0.25">
      <c r="A283" s="15">
        <v>0</v>
      </c>
      <c r="B283" s="15">
        <v>2</v>
      </c>
      <c r="C283" s="15">
        <v>1</v>
      </c>
      <c r="D283" s="16" t="s">
        <v>656</v>
      </c>
      <c r="E283" s="16" t="s">
        <v>36</v>
      </c>
      <c r="F283" s="16" t="s">
        <v>673</v>
      </c>
      <c r="G283" s="16" t="s">
        <v>203</v>
      </c>
      <c r="H283" s="16" t="s">
        <v>357</v>
      </c>
      <c r="I283" s="15" t="s">
        <v>1012</v>
      </c>
      <c r="J283" s="15">
        <v>99</v>
      </c>
      <c r="K283" s="10" t="s">
        <v>710</v>
      </c>
      <c r="L283" s="10">
        <v>4</v>
      </c>
      <c r="M283" s="19" t="s">
        <v>721</v>
      </c>
      <c r="N283" s="17"/>
      <c r="Q283" s="16"/>
      <c r="S283" s="1">
        <f t="shared" si="95"/>
        <v>0</v>
      </c>
      <c r="T283" s="1">
        <f t="shared" si="96"/>
        <v>0</v>
      </c>
      <c r="U283" s="1">
        <f t="shared" si="97"/>
        <v>0</v>
      </c>
      <c r="V283" s="1">
        <f t="shared" si="98"/>
        <v>0</v>
      </c>
      <c r="W283" s="1">
        <f t="shared" si="99"/>
        <v>0</v>
      </c>
      <c r="X283" s="1">
        <f t="shared" si="100"/>
        <v>0</v>
      </c>
      <c r="Y283" s="1">
        <f t="shared" si="101"/>
        <v>0</v>
      </c>
      <c r="Z283" s="1">
        <f t="shared" si="102"/>
        <v>0</v>
      </c>
      <c r="AA283" s="1">
        <f t="shared" si="103"/>
        <v>0</v>
      </c>
      <c r="AB283" s="1">
        <f t="shared" si="104"/>
        <v>0</v>
      </c>
      <c r="AD283" s="1">
        <f t="shared" si="105"/>
        <v>0</v>
      </c>
      <c r="AE283" s="1">
        <f t="shared" si="106"/>
        <v>0</v>
      </c>
      <c r="AF283" s="1">
        <f t="shared" si="91"/>
        <v>0</v>
      </c>
      <c r="AG283" s="1">
        <f t="shared" si="92"/>
        <v>0</v>
      </c>
      <c r="AH283" s="1">
        <f t="shared" si="93"/>
        <v>0</v>
      </c>
      <c r="AI283" s="1">
        <f t="shared" si="94"/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1278</v>
      </c>
      <c r="E284" s="48" t="s">
        <v>1279</v>
      </c>
      <c r="F284" s="48" t="s">
        <v>1280</v>
      </c>
      <c r="G284" s="48" t="s">
        <v>1178</v>
      </c>
      <c r="H284" s="48" t="s">
        <v>357</v>
      </c>
      <c r="I284" s="47" t="s">
        <v>1281</v>
      </c>
      <c r="J284" s="47">
        <v>11</v>
      </c>
      <c r="K284" s="49" t="s">
        <v>710</v>
      </c>
      <c r="L284" s="49">
        <v>6</v>
      </c>
      <c r="M284" s="50" t="s">
        <v>1743</v>
      </c>
      <c r="N284" s="50" t="s">
        <v>1824</v>
      </c>
      <c r="O284" s="51"/>
      <c r="P284" s="51"/>
      <c r="Q284" s="48"/>
      <c r="S284" s="1">
        <f t="shared" si="95"/>
        <v>0</v>
      </c>
      <c r="T284" s="1">
        <f t="shared" si="96"/>
        <v>0</v>
      </c>
      <c r="U284" s="1">
        <f t="shared" si="97"/>
        <v>0</v>
      </c>
      <c r="V284" s="1">
        <f t="shared" si="98"/>
        <v>0</v>
      </c>
      <c r="W284" s="1">
        <f t="shared" si="99"/>
        <v>0</v>
      </c>
      <c r="X284" s="1">
        <f t="shared" si="100"/>
        <v>0</v>
      </c>
      <c r="Y284" s="1">
        <f t="shared" si="101"/>
        <v>0</v>
      </c>
      <c r="Z284" s="1">
        <f t="shared" si="102"/>
        <v>0</v>
      </c>
      <c r="AA284" s="1">
        <f t="shared" si="103"/>
        <v>0</v>
      </c>
      <c r="AB284" s="1">
        <f t="shared" si="104"/>
        <v>0</v>
      </c>
      <c r="AD284" s="1">
        <f t="shared" si="105"/>
        <v>0</v>
      </c>
      <c r="AE284" s="1">
        <f t="shared" si="106"/>
        <v>0</v>
      </c>
      <c r="AF284" s="1">
        <f t="shared" si="91"/>
        <v>0</v>
      </c>
      <c r="AG284" s="1">
        <f t="shared" si="92"/>
        <v>0</v>
      </c>
      <c r="AH284" s="1">
        <f t="shared" si="93"/>
        <v>0</v>
      </c>
      <c r="AI284" s="1">
        <f t="shared" si="94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1133</v>
      </c>
      <c r="E285" s="35" t="s">
        <v>1328</v>
      </c>
      <c r="F285" s="35" t="s">
        <v>1131</v>
      </c>
      <c r="G285" s="35" t="s">
        <v>232</v>
      </c>
      <c r="H285" s="35" t="s">
        <v>357</v>
      </c>
      <c r="I285" s="34" t="s">
        <v>1132</v>
      </c>
      <c r="J285" s="34">
        <v>7</v>
      </c>
      <c r="K285" s="36" t="s">
        <v>720</v>
      </c>
      <c r="L285" s="36" t="s">
        <v>1724</v>
      </c>
      <c r="M285" s="37" t="s">
        <v>721</v>
      </c>
      <c r="N285" s="37" t="s">
        <v>1771</v>
      </c>
      <c r="O285" s="38">
        <v>1</v>
      </c>
      <c r="P285" s="38"/>
      <c r="Q285" s="35"/>
      <c r="S285" s="1">
        <f t="shared" si="95"/>
        <v>0</v>
      </c>
      <c r="T285" s="1">
        <f t="shared" si="96"/>
        <v>0</v>
      </c>
      <c r="U285" s="1">
        <f t="shared" si="97"/>
        <v>0</v>
      </c>
      <c r="V285" s="1">
        <f t="shared" si="98"/>
        <v>0</v>
      </c>
      <c r="W285" s="1">
        <f t="shared" si="99"/>
        <v>0</v>
      </c>
      <c r="X285" s="1">
        <f t="shared" si="100"/>
        <v>0</v>
      </c>
      <c r="Y285" s="1">
        <f t="shared" si="101"/>
        <v>1</v>
      </c>
      <c r="Z285" s="1">
        <f t="shared" si="102"/>
        <v>0</v>
      </c>
      <c r="AA285" s="1">
        <f t="shared" si="103"/>
        <v>0</v>
      </c>
      <c r="AB285" s="1">
        <f t="shared" si="104"/>
        <v>0</v>
      </c>
      <c r="AD285" s="1">
        <f t="shared" si="105"/>
        <v>0</v>
      </c>
      <c r="AE285" s="1">
        <f t="shared" si="106"/>
        <v>1</v>
      </c>
      <c r="AF285" s="1">
        <f t="shared" si="91"/>
        <v>0</v>
      </c>
      <c r="AG285" s="1">
        <f t="shared" si="92"/>
        <v>1</v>
      </c>
      <c r="AH285" s="1">
        <f t="shared" si="93"/>
        <v>0</v>
      </c>
      <c r="AI285" s="1">
        <f t="shared" si="94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1015</v>
      </c>
      <c r="E286" s="35" t="s">
        <v>1350</v>
      </c>
      <c r="F286" s="35" t="s">
        <v>1016</v>
      </c>
      <c r="G286" s="35" t="s">
        <v>1110</v>
      </c>
      <c r="H286" s="35" t="s">
        <v>357</v>
      </c>
      <c r="I286" s="34" t="s">
        <v>411</v>
      </c>
      <c r="J286" s="34">
        <v>99</v>
      </c>
      <c r="K286" s="36" t="s">
        <v>720</v>
      </c>
      <c r="L286" s="36" t="s">
        <v>720</v>
      </c>
      <c r="M286" s="37" t="s">
        <v>721</v>
      </c>
      <c r="N286" s="37" t="s">
        <v>1758</v>
      </c>
      <c r="O286" s="38">
        <v>1</v>
      </c>
      <c r="P286" s="38"/>
      <c r="Q286" s="35"/>
      <c r="S286" s="1">
        <f t="shared" si="95"/>
        <v>0</v>
      </c>
      <c r="T286" s="1">
        <f t="shared" si="96"/>
        <v>0</v>
      </c>
      <c r="U286" s="1">
        <f t="shared" si="97"/>
        <v>0</v>
      </c>
      <c r="V286" s="1">
        <f t="shared" si="98"/>
        <v>0</v>
      </c>
      <c r="W286" s="1">
        <f t="shared" si="99"/>
        <v>0</v>
      </c>
      <c r="X286" s="1">
        <f t="shared" si="100"/>
        <v>0</v>
      </c>
      <c r="Y286" s="1">
        <f t="shared" si="101"/>
        <v>0</v>
      </c>
      <c r="Z286" s="1">
        <f t="shared" si="102"/>
        <v>0</v>
      </c>
      <c r="AA286" s="1">
        <f t="shared" si="103"/>
        <v>0</v>
      </c>
      <c r="AB286" s="1">
        <f t="shared" si="104"/>
        <v>0</v>
      </c>
      <c r="AD286" s="1">
        <f t="shared" si="105"/>
        <v>0</v>
      </c>
      <c r="AE286" s="1">
        <f t="shared" si="106"/>
        <v>1</v>
      </c>
      <c r="AF286" s="1">
        <f t="shared" si="91"/>
        <v>0</v>
      </c>
      <c r="AG286" s="1">
        <f t="shared" si="92"/>
        <v>1</v>
      </c>
      <c r="AH286" s="1">
        <f t="shared" si="93"/>
        <v>0</v>
      </c>
      <c r="AI286" s="1">
        <f t="shared" si="94"/>
        <v>1</v>
      </c>
    </row>
    <row r="287" spans="1:35" ht="14.25" customHeight="1" x14ac:dyDescent="0.25">
      <c r="A287" s="52">
        <v>0</v>
      </c>
      <c r="B287" s="52">
        <v>2</v>
      </c>
      <c r="C287" s="52">
        <v>1</v>
      </c>
      <c r="D287" s="53" t="s">
        <v>1140</v>
      </c>
      <c r="E287" s="53" t="s">
        <v>566</v>
      </c>
      <c r="F287" s="53" t="s">
        <v>1368</v>
      </c>
      <c r="G287" s="53" t="s">
        <v>268</v>
      </c>
      <c r="H287" s="53" t="s">
        <v>357</v>
      </c>
      <c r="I287" s="52" t="s">
        <v>1141</v>
      </c>
      <c r="J287" s="52">
        <v>8</v>
      </c>
      <c r="K287" s="54" t="s">
        <v>719</v>
      </c>
      <c r="L287" s="54" t="s">
        <v>1724</v>
      </c>
      <c r="M287" s="55" t="s">
        <v>721</v>
      </c>
      <c r="N287" s="55" t="s">
        <v>1763</v>
      </c>
      <c r="O287" s="56">
        <v>1</v>
      </c>
      <c r="P287" s="56"/>
      <c r="Q287" s="53"/>
      <c r="S287" s="1">
        <f t="shared" si="95"/>
        <v>0</v>
      </c>
      <c r="T287" s="1">
        <f t="shared" si="96"/>
        <v>0</v>
      </c>
      <c r="U287" s="1">
        <f t="shared" si="97"/>
        <v>0</v>
      </c>
      <c r="V287" s="1">
        <f t="shared" si="98"/>
        <v>0</v>
      </c>
      <c r="W287" s="1">
        <f t="shared" si="99"/>
        <v>0</v>
      </c>
      <c r="X287" s="1">
        <f t="shared" si="100"/>
        <v>0</v>
      </c>
      <c r="Y287" s="1">
        <f t="shared" si="101"/>
        <v>0</v>
      </c>
      <c r="Z287" s="1">
        <f t="shared" si="102"/>
        <v>1</v>
      </c>
      <c r="AA287" s="1">
        <f t="shared" si="103"/>
        <v>0</v>
      </c>
      <c r="AB287" s="1">
        <f t="shared" si="104"/>
        <v>0</v>
      </c>
      <c r="AD287" s="1">
        <f t="shared" si="105"/>
        <v>0</v>
      </c>
      <c r="AE287" s="1">
        <f t="shared" si="106"/>
        <v>1</v>
      </c>
      <c r="AF287" s="1">
        <f t="shared" si="91"/>
        <v>0</v>
      </c>
      <c r="AG287" s="1">
        <f t="shared" si="92"/>
        <v>1</v>
      </c>
      <c r="AH287" s="1">
        <f t="shared" si="93"/>
        <v>0</v>
      </c>
      <c r="AI287" s="1">
        <f t="shared" si="94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1300</v>
      </c>
      <c r="E288" s="48" t="s">
        <v>1348</v>
      </c>
      <c r="F288" s="48" t="s">
        <v>1297</v>
      </c>
      <c r="G288" s="48" t="s">
        <v>1298</v>
      </c>
      <c r="H288" s="48" t="s">
        <v>357</v>
      </c>
      <c r="I288" s="47" t="s">
        <v>1299</v>
      </c>
      <c r="J288" s="47">
        <v>1</v>
      </c>
      <c r="K288" s="49" t="s">
        <v>719</v>
      </c>
      <c r="L288" s="49" t="s">
        <v>720</v>
      </c>
      <c r="M288" s="50" t="s">
        <v>721</v>
      </c>
      <c r="N288" s="50" t="s">
        <v>1753</v>
      </c>
      <c r="O288" s="51"/>
      <c r="P288" s="51"/>
      <c r="Q288" s="68" t="s">
        <v>1917</v>
      </c>
      <c r="S288" s="1">
        <f t="shared" si="95"/>
        <v>1</v>
      </c>
      <c r="T288" s="1">
        <f t="shared" si="96"/>
        <v>0</v>
      </c>
      <c r="U288" s="1">
        <f t="shared" si="97"/>
        <v>0</v>
      </c>
      <c r="V288" s="1">
        <f t="shared" si="98"/>
        <v>0</v>
      </c>
      <c r="W288" s="1">
        <f t="shared" si="99"/>
        <v>0</v>
      </c>
      <c r="X288" s="1">
        <f t="shared" si="100"/>
        <v>0</v>
      </c>
      <c r="Y288" s="1">
        <f t="shared" si="101"/>
        <v>0</v>
      </c>
      <c r="Z288" s="1">
        <f t="shared" si="102"/>
        <v>0</v>
      </c>
      <c r="AA288" s="1">
        <f t="shared" si="103"/>
        <v>0</v>
      </c>
      <c r="AB288" s="1">
        <f t="shared" si="104"/>
        <v>0</v>
      </c>
      <c r="AD288" s="1">
        <f t="shared" si="105"/>
        <v>0</v>
      </c>
      <c r="AE288" s="1">
        <f t="shared" si="106"/>
        <v>0</v>
      </c>
      <c r="AF288" s="1">
        <f t="shared" si="91"/>
        <v>0</v>
      </c>
      <c r="AG288" s="1">
        <f t="shared" si="92"/>
        <v>0</v>
      </c>
      <c r="AH288" s="1">
        <f t="shared" si="93"/>
        <v>0</v>
      </c>
      <c r="AI288" s="1">
        <f t="shared" si="94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357</v>
      </c>
      <c r="I289" s="47" t="s">
        <v>394</v>
      </c>
      <c r="J289" s="47">
        <v>99</v>
      </c>
      <c r="K289" s="49" t="s">
        <v>719</v>
      </c>
      <c r="L289" s="49" t="s">
        <v>720</v>
      </c>
      <c r="M289" s="50" t="s">
        <v>721</v>
      </c>
      <c r="N289" s="50" t="s">
        <v>1762</v>
      </c>
      <c r="O289" s="51"/>
      <c r="P289" s="51"/>
      <c r="Q289" s="48"/>
      <c r="S289" s="1">
        <f t="shared" si="95"/>
        <v>0</v>
      </c>
      <c r="T289" s="1">
        <f t="shared" si="96"/>
        <v>0</v>
      </c>
      <c r="U289" s="1">
        <f t="shared" si="97"/>
        <v>0</v>
      </c>
      <c r="V289" s="1">
        <f t="shared" si="98"/>
        <v>0</v>
      </c>
      <c r="W289" s="1">
        <f t="shared" si="99"/>
        <v>0</v>
      </c>
      <c r="X289" s="1">
        <f t="shared" si="100"/>
        <v>0</v>
      </c>
      <c r="Y289" s="1">
        <f t="shared" si="101"/>
        <v>0</v>
      </c>
      <c r="Z289" s="1">
        <f t="shared" si="102"/>
        <v>0</v>
      </c>
      <c r="AA289" s="1">
        <f t="shared" si="103"/>
        <v>0</v>
      </c>
      <c r="AB289" s="1">
        <f t="shared" si="104"/>
        <v>0</v>
      </c>
      <c r="AD289" s="1">
        <f t="shared" si="105"/>
        <v>0</v>
      </c>
      <c r="AE289" s="1">
        <f t="shared" si="106"/>
        <v>0</v>
      </c>
      <c r="AF289" s="1">
        <f t="shared" si="91"/>
        <v>0</v>
      </c>
      <c r="AG289" s="1">
        <f t="shared" si="92"/>
        <v>0</v>
      </c>
      <c r="AH289" s="1">
        <f t="shared" si="93"/>
        <v>0</v>
      </c>
      <c r="AI289" s="1">
        <f t="shared" si="94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74</v>
      </c>
      <c r="E290" s="48" t="s">
        <v>566</v>
      </c>
      <c r="F290" s="48" t="s">
        <v>1060</v>
      </c>
      <c r="G290" s="48" t="s">
        <v>192</v>
      </c>
      <c r="H290" s="48" t="s">
        <v>357</v>
      </c>
      <c r="I290" s="47" t="s">
        <v>425</v>
      </c>
      <c r="J290" s="47">
        <v>99</v>
      </c>
      <c r="K290" s="49" t="s">
        <v>961</v>
      </c>
      <c r="L290" s="49" t="s">
        <v>720</v>
      </c>
      <c r="M290" s="50" t="s">
        <v>721</v>
      </c>
      <c r="N290" s="50" t="s">
        <v>1750</v>
      </c>
      <c r="O290" s="51"/>
      <c r="P290" s="51"/>
      <c r="Q290" s="48"/>
      <c r="S290" s="1">
        <f t="shared" si="95"/>
        <v>0</v>
      </c>
      <c r="T290" s="1">
        <f t="shared" si="96"/>
        <v>0</v>
      </c>
      <c r="U290" s="1">
        <f t="shared" si="97"/>
        <v>0</v>
      </c>
      <c r="V290" s="1">
        <f t="shared" si="98"/>
        <v>0</v>
      </c>
      <c r="W290" s="1">
        <f t="shared" si="99"/>
        <v>0</v>
      </c>
      <c r="X290" s="1">
        <f t="shared" si="100"/>
        <v>0</v>
      </c>
      <c r="Y290" s="1">
        <f t="shared" si="101"/>
        <v>0</v>
      </c>
      <c r="Z290" s="1">
        <f t="shared" si="102"/>
        <v>0</v>
      </c>
      <c r="AA290" s="1">
        <f t="shared" si="103"/>
        <v>0</v>
      </c>
      <c r="AB290" s="1">
        <f t="shared" si="104"/>
        <v>0</v>
      </c>
      <c r="AD290" s="1">
        <f t="shared" si="105"/>
        <v>0</v>
      </c>
      <c r="AE290" s="1">
        <f t="shared" si="106"/>
        <v>0</v>
      </c>
      <c r="AF290" s="1">
        <f t="shared" si="91"/>
        <v>0</v>
      </c>
      <c r="AG290" s="1">
        <f t="shared" si="92"/>
        <v>0</v>
      </c>
      <c r="AH290" s="1">
        <f t="shared" si="93"/>
        <v>0</v>
      </c>
      <c r="AI290" s="1">
        <f t="shared" si="9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47</v>
      </c>
      <c r="E291" s="16" t="s">
        <v>32</v>
      </c>
      <c r="F291" s="16" t="s">
        <v>189</v>
      </c>
      <c r="G291" s="16" t="s">
        <v>182</v>
      </c>
      <c r="H291" s="16" t="s">
        <v>357</v>
      </c>
      <c r="I291" s="15" t="s">
        <v>386</v>
      </c>
      <c r="J291" s="15">
        <v>10</v>
      </c>
      <c r="K291" s="10" t="s">
        <v>962</v>
      </c>
      <c r="L291" s="10" t="s">
        <v>720</v>
      </c>
      <c r="M291" s="19" t="s">
        <v>721</v>
      </c>
      <c r="N291" s="19"/>
      <c r="Q291" s="16"/>
      <c r="S291" s="1">
        <f t="shared" si="95"/>
        <v>0</v>
      </c>
      <c r="T291" s="1">
        <f t="shared" si="96"/>
        <v>0</v>
      </c>
      <c r="U291" s="1">
        <f t="shared" si="97"/>
        <v>0</v>
      </c>
      <c r="V291" s="1">
        <f t="shared" si="98"/>
        <v>0</v>
      </c>
      <c r="W291" s="1">
        <f t="shared" si="99"/>
        <v>0</v>
      </c>
      <c r="X291" s="1">
        <f t="shared" si="100"/>
        <v>0</v>
      </c>
      <c r="Y291" s="1">
        <f t="shared" si="101"/>
        <v>0</v>
      </c>
      <c r="Z291" s="1">
        <f t="shared" si="102"/>
        <v>0</v>
      </c>
      <c r="AA291" s="1">
        <f t="shared" si="103"/>
        <v>0</v>
      </c>
      <c r="AB291" s="1">
        <f t="shared" si="104"/>
        <v>1</v>
      </c>
      <c r="AD291" s="1">
        <f t="shared" si="105"/>
        <v>0</v>
      </c>
      <c r="AE291" s="1">
        <f t="shared" si="106"/>
        <v>0</v>
      </c>
      <c r="AF291" s="1">
        <f t="shared" si="91"/>
        <v>0</v>
      </c>
      <c r="AG291" s="1">
        <f t="shared" si="92"/>
        <v>0</v>
      </c>
      <c r="AH291" s="1">
        <f t="shared" si="93"/>
        <v>0</v>
      </c>
      <c r="AI291" s="1">
        <f t="shared" si="94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657</v>
      </c>
      <c r="E292" s="48" t="s">
        <v>162</v>
      </c>
      <c r="F292" s="48" t="s">
        <v>190</v>
      </c>
      <c r="G292" s="48" t="s">
        <v>674</v>
      </c>
      <c r="H292" s="48" t="s">
        <v>357</v>
      </c>
      <c r="I292" s="47" t="s">
        <v>387</v>
      </c>
      <c r="J292" s="47">
        <v>99</v>
      </c>
      <c r="K292" s="49" t="s">
        <v>719</v>
      </c>
      <c r="L292" s="49" t="s">
        <v>720</v>
      </c>
      <c r="M292" s="50" t="s">
        <v>721</v>
      </c>
      <c r="N292" s="50" t="s">
        <v>1752</v>
      </c>
      <c r="O292" s="51"/>
      <c r="P292" s="51"/>
      <c r="Q292" s="48"/>
      <c r="S292" s="1">
        <f t="shared" si="95"/>
        <v>0</v>
      </c>
      <c r="T292" s="1">
        <f t="shared" si="96"/>
        <v>0</v>
      </c>
      <c r="U292" s="1">
        <f t="shared" si="97"/>
        <v>0</v>
      </c>
      <c r="V292" s="1">
        <f t="shared" si="98"/>
        <v>0</v>
      </c>
      <c r="W292" s="1">
        <f t="shared" si="99"/>
        <v>0</v>
      </c>
      <c r="X292" s="1">
        <f t="shared" si="100"/>
        <v>0</v>
      </c>
      <c r="Y292" s="1">
        <f t="shared" si="101"/>
        <v>0</v>
      </c>
      <c r="Z292" s="1">
        <f t="shared" si="102"/>
        <v>0</v>
      </c>
      <c r="AA292" s="1">
        <f t="shared" si="103"/>
        <v>0</v>
      </c>
      <c r="AB292" s="1">
        <f t="shared" si="104"/>
        <v>0</v>
      </c>
      <c r="AD292" s="1">
        <f t="shared" si="105"/>
        <v>0</v>
      </c>
      <c r="AE292" s="1">
        <f t="shared" si="106"/>
        <v>0</v>
      </c>
      <c r="AF292" s="1">
        <f t="shared" si="91"/>
        <v>0</v>
      </c>
      <c r="AG292" s="1">
        <f t="shared" si="92"/>
        <v>0</v>
      </c>
      <c r="AH292" s="1">
        <f t="shared" si="93"/>
        <v>0</v>
      </c>
      <c r="AI292" s="1">
        <f t="shared" si="94"/>
        <v>1</v>
      </c>
    </row>
    <row r="293" spans="1:35" ht="14.25" customHeight="1" x14ac:dyDescent="0.25">
      <c r="A293" s="41">
        <v>0</v>
      </c>
      <c r="B293" s="41">
        <v>2</v>
      </c>
      <c r="C293" s="41">
        <v>1</v>
      </c>
      <c r="D293" s="42" t="s">
        <v>1318</v>
      </c>
      <c r="E293" s="42" t="s">
        <v>36</v>
      </c>
      <c r="F293" s="42" t="s">
        <v>1319</v>
      </c>
      <c r="G293" s="42" t="s">
        <v>260</v>
      </c>
      <c r="H293" s="42" t="s">
        <v>357</v>
      </c>
      <c r="I293" s="41" t="s">
        <v>1320</v>
      </c>
      <c r="J293" s="41">
        <v>8</v>
      </c>
      <c r="K293" s="43" t="s">
        <v>966</v>
      </c>
      <c r="L293" s="43" t="s">
        <v>720</v>
      </c>
      <c r="M293" s="44" t="s">
        <v>721</v>
      </c>
      <c r="N293" s="45"/>
      <c r="O293" s="46"/>
      <c r="P293" s="46">
        <v>1</v>
      </c>
      <c r="Q293" s="42"/>
      <c r="S293" s="1">
        <f t="shared" si="95"/>
        <v>0</v>
      </c>
      <c r="T293" s="1">
        <f t="shared" si="96"/>
        <v>0</v>
      </c>
      <c r="U293" s="1">
        <f t="shared" si="97"/>
        <v>0</v>
      </c>
      <c r="V293" s="1">
        <f t="shared" si="98"/>
        <v>0</v>
      </c>
      <c r="W293" s="1">
        <f t="shared" si="99"/>
        <v>0</v>
      </c>
      <c r="X293" s="1">
        <f t="shared" si="100"/>
        <v>0</v>
      </c>
      <c r="Y293" s="1">
        <f t="shared" si="101"/>
        <v>0</v>
      </c>
      <c r="Z293" s="1">
        <f t="shared" si="102"/>
        <v>1</v>
      </c>
      <c r="AA293" s="1">
        <f t="shared" si="103"/>
        <v>0</v>
      </c>
      <c r="AB293" s="1">
        <f t="shared" si="104"/>
        <v>0</v>
      </c>
      <c r="AD293" s="1">
        <f t="shared" si="105"/>
        <v>0</v>
      </c>
      <c r="AE293" s="1">
        <f t="shared" si="106"/>
        <v>0</v>
      </c>
      <c r="AF293" s="1">
        <f t="shared" si="91"/>
        <v>0</v>
      </c>
      <c r="AG293" s="1">
        <f t="shared" si="92"/>
        <v>0</v>
      </c>
      <c r="AH293" s="1">
        <f t="shared" si="93"/>
        <v>1</v>
      </c>
      <c r="AI293" s="1">
        <f t="shared" si="94"/>
        <v>0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54</v>
      </c>
      <c r="E294" s="35" t="s">
        <v>566</v>
      </c>
      <c r="F294" s="35" t="s">
        <v>214</v>
      </c>
      <c r="G294" s="35" t="s">
        <v>215</v>
      </c>
      <c r="H294" s="35" t="s">
        <v>357</v>
      </c>
      <c r="I294" s="34" t="s">
        <v>396</v>
      </c>
      <c r="J294" s="34">
        <v>1</v>
      </c>
      <c r="K294" s="36" t="s">
        <v>962</v>
      </c>
      <c r="L294" s="36" t="s">
        <v>720</v>
      </c>
      <c r="M294" s="37" t="s">
        <v>39</v>
      </c>
      <c r="N294" s="37" t="s">
        <v>1758</v>
      </c>
      <c r="O294" s="38">
        <v>1</v>
      </c>
      <c r="P294" s="38"/>
      <c r="Q294" s="35"/>
      <c r="S294" s="1">
        <f t="shared" si="95"/>
        <v>1</v>
      </c>
      <c r="T294" s="1">
        <f t="shared" si="96"/>
        <v>0</v>
      </c>
      <c r="U294" s="1">
        <f t="shared" si="97"/>
        <v>0</v>
      </c>
      <c r="V294" s="1">
        <f t="shared" si="98"/>
        <v>0</v>
      </c>
      <c r="W294" s="1">
        <f t="shared" si="99"/>
        <v>0</v>
      </c>
      <c r="X294" s="1">
        <f t="shared" si="100"/>
        <v>0</v>
      </c>
      <c r="Y294" s="1">
        <f t="shared" si="101"/>
        <v>0</v>
      </c>
      <c r="Z294" s="1">
        <f t="shared" si="102"/>
        <v>0</v>
      </c>
      <c r="AA294" s="1">
        <f t="shared" si="103"/>
        <v>0</v>
      </c>
      <c r="AB294" s="1">
        <f t="shared" si="104"/>
        <v>0</v>
      </c>
      <c r="AD294" s="1">
        <f t="shared" si="105"/>
        <v>0</v>
      </c>
      <c r="AE294" s="1">
        <f t="shared" si="106"/>
        <v>1</v>
      </c>
      <c r="AF294" s="1">
        <f t="shared" si="91"/>
        <v>0</v>
      </c>
      <c r="AG294" s="1">
        <f t="shared" si="92"/>
        <v>1</v>
      </c>
      <c r="AH294" s="1">
        <f t="shared" si="93"/>
        <v>0</v>
      </c>
      <c r="AI294" s="1">
        <f t="shared" si="94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61</v>
      </c>
      <c r="E295" s="48" t="s">
        <v>548</v>
      </c>
      <c r="F295" s="48" t="s">
        <v>235</v>
      </c>
      <c r="G295" s="48" t="s">
        <v>206</v>
      </c>
      <c r="H295" s="48" t="s">
        <v>357</v>
      </c>
      <c r="I295" s="47" t="s">
        <v>404</v>
      </c>
      <c r="J295" s="47">
        <v>7</v>
      </c>
      <c r="K295" s="49" t="s">
        <v>719</v>
      </c>
      <c r="L295" s="49" t="s">
        <v>720</v>
      </c>
      <c r="M295" s="50" t="s">
        <v>721</v>
      </c>
      <c r="N295" s="50" t="s">
        <v>1753</v>
      </c>
      <c r="O295" s="51"/>
      <c r="P295" s="51"/>
      <c r="Q295" s="48"/>
      <c r="S295" s="1">
        <f t="shared" si="95"/>
        <v>0</v>
      </c>
      <c r="T295" s="1">
        <f t="shared" si="96"/>
        <v>0</v>
      </c>
      <c r="U295" s="1">
        <f t="shared" si="97"/>
        <v>0</v>
      </c>
      <c r="V295" s="1">
        <f t="shared" si="98"/>
        <v>0</v>
      </c>
      <c r="W295" s="1">
        <f t="shared" si="99"/>
        <v>0</v>
      </c>
      <c r="X295" s="1">
        <f t="shared" si="100"/>
        <v>0</v>
      </c>
      <c r="Y295" s="1">
        <f t="shared" si="101"/>
        <v>1</v>
      </c>
      <c r="Z295" s="1">
        <f t="shared" si="102"/>
        <v>0</v>
      </c>
      <c r="AA295" s="1">
        <f t="shared" si="103"/>
        <v>0</v>
      </c>
      <c r="AB295" s="1">
        <f t="shared" si="104"/>
        <v>0</v>
      </c>
      <c r="AD295" s="1">
        <f t="shared" si="105"/>
        <v>0</v>
      </c>
      <c r="AE295" s="1">
        <f t="shared" si="106"/>
        <v>0</v>
      </c>
      <c r="AF295" s="1">
        <f t="shared" si="91"/>
        <v>0</v>
      </c>
      <c r="AG295" s="1">
        <f t="shared" si="92"/>
        <v>0</v>
      </c>
      <c r="AH295" s="1">
        <f t="shared" si="93"/>
        <v>0</v>
      </c>
      <c r="AI295" s="1">
        <f t="shared" si="94"/>
        <v>1</v>
      </c>
    </row>
    <row r="296" spans="1:35" ht="14.25" customHeight="1" x14ac:dyDescent="0.25">
      <c r="A296" s="52">
        <v>0</v>
      </c>
      <c r="B296" s="52">
        <v>2</v>
      </c>
      <c r="C296" s="52">
        <v>1</v>
      </c>
      <c r="D296" s="53" t="s">
        <v>1662</v>
      </c>
      <c r="E296" s="53" t="s">
        <v>566</v>
      </c>
      <c r="F296" s="53" t="s">
        <v>1372</v>
      </c>
      <c r="G296" s="53" t="s">
        <v>1298</v>
      </c>
      <c r="H296" s="53" t="s">
        <v>357</v>
      </c>
      <c r="I296" s="52" t="s">
        <v>1181</v>
      </c>
      <c r="J296" s="52">
        <v>99</v>
      </c>
      <c r="K296" s="54" t="s">
        <v>719</v>
      </c>
      <c r="L296" s="54" t="s">
        <v>720</v>
      </c>
      <c r="M296" s="55" t="s">
        <v>721</v>
      </c>
      <c r="N296" s="55" t="s">
        <v>1763</v>
      </c>
      <c r="O296" s="56">
        <v>1</v>
      </c>
      <c r="P296" s="56"/>
      <c r="Q296" s="58" t="s">
        <v>1916</v>
      </c>
      <c r="S296" s="1">
        <f t="shared" si="95"/>
        <v>0</v>
      </c>
      <c r="T296" s="1">
        <f t="shared" si="96"/>
        <v>0</v>
      </c>
      <c r="U296" s="1">
        <f t="shared" si="97"/>
        <v>0</v>
      </c>
      <c r="V296" s="1">
        <f t="shared" si="98"/>
        <v>0</v>
      </c>
      <c r="W296" s="1">
        <f t="shared" si="99"/>
        <v>0</v>
      </c>
      <c r="X296" s="1">
        <f t="shared" si="100"/>
        <v>0</v>
      </c>
      <c r="Y296" s="1">
        <f t="shared" si="101"/>
        <v>0</v>
      </c>
      <c r="Z296" s="1">
        <f t="shared" si="102"/>
        <v>0</v>
      </c>
      <c r="AA296" s="1">
        <f t="shared" si="103"/>
        <v>0</v>
      </c>
      <c r="AB296" s="1">
        <f t="shared" si="104"/>
        <v>0</v>
      </c>
      <c r="AD296" s="1">
        <f t="shared" si="105"/>
        <v>0</v>
      </c>
      <c r="AE296" s="1">
        <f t="shared" si="106"/>
        <v>1</v>
      </c>
      <c r="AF296" s="1">
        <f t="shared" si="91"/>
        <v>0</v>
      </c>
      <c r="AG296" s="1">
        <f t="shared" si="92"/>
        <v>1</v>
      </c>
      <c r="AH296" s="1">
        <f t="shared" si="93"/>
        <v>0</v>
      </c>
      <c r="AI296" s="1">
        <f t="shared" si="94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1797</v>
      </c>
      <c r="E297" s="53" t="s">
        <v>1798</v>
      </c>
      <c r="F297" s="53" t="s">
        <v>1799</v>
      </c>
      <c r="G297" s="53" t="s">
        <v>1800</v>
      </c>
      <c r="H297" s="53" t="s">
        <v>357</v>
      </c>
      <c r="I297" s="52"/>
      <c r="J297" s="52">
        <v>1</v>
      </c>
      <c r="K297" s="54" t="s">
        <v>710</v>
      </c>
      <c r="L297" s="54"/>
      <c r="M297" s="55"/>
      <c r="N297" s="55" t="s">
        <v>1758</v>
      </c>
      <c r="O297" s="56">
        <v>1</v>
      </c>
      <c r="P297" s="56"/>
      <c r="Q297" s="58" t="s">
        <v>1924</v>
      </c>
      <c r="S297" s="1">
        <f t="shared" si="95"/>
        <v>1</v>
      </c>
      <c r="T297" s="1">
        <f t="shared" si="96"/>
        <v>0</v>
      </c>
      <c r="U297" s="1">
        <f t="shared" si="97"/>
        <v>0</v>
      </c>
      <c r="V297" s="1">
        <f t="shared" si="98"/>
        <v>0</v>
      </c>
      <c r="W297" s="1">
        <f t="shared" si="99"/>
        <v>0</v>
      </c>
      <c r="X297" s="1">
        <f t="shared" si="100"/>
        <v>0</v>
      </c>
      <c r="Y297" s="1">
        <f t="shared" si="101"/>
        <v>0</v>
      </c>
      <c r="Z297" s="1">
        <f t="shared" si="102"/>
        <v>0</v>
      </c>
      <c r="AA297" s="1">
        <f t="shared" si="103"/>
        <v>0</v>
      </c>
      <c r="AB297" s="1">
        <f t="shared" si="104"/>
        <v>0</v>
      </c>
      <c r="AD297" s="1">
        <f t="shared" si="105"/>
        <v>0</v>
      </c>
      <c r="AE297" s="1">
        <f t="shared" si="106"/>
        <v>1</v>
      </c>
      <c r="AF297" s="1">
        <f t="shared" si="91"/>
        <v>0</v>
      </c>
      <c r="AG297" s="1">
        <f t="shared" si="92"/>
        <v>1</v>
      </c>
      <c r="AH297" s="1">
        <f t="shared" si="93"/>
        <v>0</v>
      </c>
      <c r="AI297" s="1">
        <f t="shared" si="94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1332</v>
      </c>
      <c r="E298" s="35" t="s">
        <v>1352</v>
      </c>
      <c r="F298" s="35" t="s">
        <v>1315</v>
      </c>
      <c r="G298" s="35" t="s">
        <v>1316</v>
      </c>
      <c r="H298" s="35" t="s">
        <v>357</v>
      </c>
      <c r="I298" s="34" t="s">
        <v>1317</v>
      </c>
      <c r="J298" s="34">
        <v>99</v>
      </c>
      <c r="K298" s="36" t="s">
        <v>962</v>
      </c>
      <c r="L298" s="36" t="s">
        <v>720</v>
      </c>
      <c r="M298" s="37" t="s">
        <v>721</v>
      </c>
      <c r="N298" s="37" t="s">
        <v>1934</v>
      </c>
      <c r="O298" s="38">
        <v>1</v>
      </c>
      <c r="P298" s="38"/>
      <c r="Q298" s="35"/>
      <c r="S298" s="1">
        <f t="shared" si="95"/>
        <v>0</v>
      </c>
      <c r="T298" s="1">
        <f t="shared" si="96"/>
        <v>0</v>
      </c>
      <c r="U298" s="1">
        <f t="shared" si="97"/>
        <v>0</v>
      </c>
      <c r="V298" s="1">
        <f t="shared" si="98"/>
        <v>0</v>
      </c>
      <c r="W298" s="1">
        <f t="shared" si="99"/>
        <v>0</v>
      </c>
      <c r="X298" s="1">
        <f t="shared" si="100"/>
        <v>0</v>
      </c>
      <c r="Y298" s="1">
        <f t="shared" si="101"/>
        <v>0</v>
      </c>
      <c r="Z298" s="1">
        <f t="shared" si="102"/>
        <v>0</v>
      </c>
      <c r="AA298" s="1">
        <f t="shared" si="103"/>
        <v>0</v>
      </c>
      <c r="AB298" s="1">
        <f t="shared" si="104"/>
        <v>0</v>
      </c>
      <c r="AD298" s="1">
        <f t="shared" si="105"/>
        <v>0</v>
      </c>
      <c r="AE298" s="1">
        <f t="shared" si="106"/>
        <v>1</v>
      </c>
      <c r="AF298" s="1">
        <f t="shared" si="91"/>
        <v>0</v>
      </c>
      <c r="AG298" s="1">
        <f t="shared" si="92"/>
        <v>1</v>
      </c>
      <c r="AH298" s="1">
        <f t="shared" si="93"/>
        <v>0</v>
      </c>
      <c r="AI298" s="1">
        <f t="shared" si="94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1327</v>
      </c>
      <c r="E299" s="48" t="s">
        <v>162</v>
      </c>
      <c r="F299" s="48" t="s">
        <v>1329</v>
      </c>
      <c r="G299" s="48" t="s">
        <v>1330</v>
      </c>
      <c r="H299" s="48" t="s">
        <v>357</v>
      </c>
      <c r="I299" s="47" t="s">
        <v>1331</v>
      </c>
      <c r="J299" s="47">
        <v>8</v>
      </c>
      <c r="K299" s="49" t="s">
        <v>720</v>
      </c>
      <c r="L299" s="49" t="s">
        <v>720</v>
      </c>
      <c r="M299" s="50" t="s">
        <v>721</v>
      </c>
      <c r="N299" s="50" t="s">
        <v>1762</v>
      </c>
      <c r="O299" s="51"/>
      <c r="P299" s="51"/>
      <c r="Q299" s="48"/>
      <c r="S299" s="1">
        <f t="shared" si="95"/>
        <v>0</v>
      </c>
      <c r="T299" s="1">
        <f t="shared" si="96"/>
        <v>0</v>
      </c>
      <c r="U299" s="1">
        <f t="shared" si="97"/>
        <v>0</v>
      </c>
      <c r="V299" s="1">
        <f t="shared" si="98"/>
        <v>0</v>
      </c>
      <c r="W299" s="1">
        <f t="shared" si="99"/>
        <v>0</v>
      </c>
      <c r="X299" s="1">
        <f t="shared" si="100"/>
        <v>0</v>
      </c>
      <c r="Y299" s="1">
        <f t="shared" si="101"/>
        <v>0</v>
      </c>
      <c r="Z299" s="1">
        <f t="shared" si="102"/>
        <v>1</v>
      </c>
      <c r="AA299" s="1">
        <f t="shared" si="103"/>
        <v>0</v>
      </c>
      <c r="AB299" s="1">
        <f t="shared" si="104"/>
        <v>0</v>
      </c>
      <c r="AD299" s="1">
        <f t="shared" si="105"/>
        <v>0</v>
      </c>
      <c r="AE299" s="1">
        <f t="shared" si="106"/>
        <v>0</v>
      </c>
      <c r="AF299" s="1">
        <f t="shared" si="91"/>
        <v>0</v>
      </c>
      <c r="AG299" s="1">
        <f t="shared" si="92"/>
        <v>0</v>
      </c>
      <c r="AH299" s="1">
        <f t="shared" si="93"/>
        <v>0</v>
      </c>
      <c r="AI299" s="1">
        <f t="shared" si="94"/>
        <v>1</v>
      </c>
    </row>
    <row r="300" spans="1:35" ht="14.25" customHeight="1" x14ac:dyDescent="0.25">
      <c r="A300" s="47">
        <v>0</v>
      </c>
      <c r="B300" s="47">
        <v>2</v>
      </c>
      <c r="C300" s="47">
        <v>2</v>
      </c>
      <c r="D300" s="48" t="s">
        <v>1661</v>
      </c>
      <c r="E300" s="48" t="s">
        <v>1182</v>
      </c>
      <c r="F300" s="48" t="s">
        <v>1695</v>
      </c>
      <c r="G300" s="48" t="s">
        <v>192</v>
      </c>
      <c r="H300" s="48" t="s">
        <v>357</v>
      </c>
      <c r="I300" s="47" t="s">
        <v>1622</v>
      </c>
      <c r="J300" s="47">
        <v>99</v>
      </c>
      <c r="K300" s="49" t="s">
        <v>720</v>
      </c>
      <c r="L300" s="49" t="s">
        <v>703</v>
      </c>
      <c r="M300" s="50" t="s">
        <v>1623</v>
      </c>
      <c r="N300" s="50" t="s">
        <v>1753</v>
      </c>
      <c r="O300" s="51"/>
      <c r="P300" s="51"/>
      <c r="Q300" s="48"/>
      <c r="S300" s="1">
        <f t="shared" si="95"/>
        <v>0</v>
      </c>
      <c r="T300" s="1">
        <f t="shared" si="96"/>
        <v>0</v>
      </c>
      <c r="U300" s="1">
        <f t="shared" si="97"/>
        <v>0</v>
      </c>
      <c r="V300" s="1">
        <f t="shared" si="98"/>
        <v>0</v>
      </c>
      <c r="W300" s="1">
        <f t="shared" si="99"/>
        <v>0</v>
      </c>
      <c r="X300" s="1">
        <f t="shared" si="100"/>
        <v>0</v>
      </c>
      <c r="Y300" s="1">
        <f t="shared" si="101"/>
        <v>0</v>
      </c>
      <c r="Z300" s="1">
        <f t="shared" si="102"/>
        <v>0</v>
      </c>
      <c r="AA300" s="1">
        <f t="shared" si="103"/>
        <v>0</v>
      </c>
      <c r="AB300" s="1">
        <f t="shared" si="104"/>
        <v>0</v>
      </c>
      <c r="AD300" s="1">
        <f t="shared" si="105"/>
        <v>0</v>
      </c>
      <c r="AE300" s="1">
        <f t="shared" si="106"/>
        <v>0</v>
      </c>
      <c r="AF300" s="1">
        <f t="shared" si="91"/>
        <v>0</v>
      </c>
      <c r="AG300" s="1">
        <f t="shared" si="92"/>
        <v>0</v>
      </c>
      <c r="AH300" s="1">
        <f t="shared" si="93"/>
        <v>0</v>
      </c>
      <c r="AI300" s="1">
        <f t="shared" si="94"/>
        <v>1</v>
      </c>
    </row>
    <row r="301" spans="1:35" ht="14.25" customHeight="1" x14ac:dyDescent="0.25">
      <c r="A301" s="52">
        <v>0</v>
      </c>
      <c r="B301" s="52">
        <v>2</v>
      </c>
      <c r="C301" s="52">
        <v>2</v>
      </c>
      <c r="D301" s="53" t="s">
        <v>65</v>
      </c>
      <c r="E301" s="53" t="s">
        <v>166</v>
      </c>
      <c r="F301" s="53" t="s">
        <v>245</v>
      </c>
      <c r="G301" s="53" t="s">
        <v>202</v>
      </c>
      <c r="H301" s="53" t="s">
        <v>357</v>
      </c>
      <c r="I301" s="52" t="s">
        <v>410</v>
      </c>
      <c r="J301" s="52">
        <v>2</v>
      </c>
      <c r="K301" s="54" t="s">
        <v>962</v>
      </c>
      <c r="L301" s="54" t="s">
        <v>703</v>
      </c>
      <c r="M301" s="55" t="s">
        <v>722</v>
      </c>
      <c r="N301" s="55" t="s">
        <v>1758</v>
      </c>
      <c r="O301" s="56">
        <v>1</v>
      </c>
      <c r="P301" s="56"/>
      <c r="Q301" s="53"/>
      <c r="S301" s="1">
        <f t="shared" si="95"/>
        <v>0</v>
      </c>
      <c r="T301" s="1">
        <f t="shared" si="96"/>
        <v>1</v>
      </c>
      <c r="U301" s="1">
        <f t="shared" si="97"/>
        <v>0</v>
      </c>
      <c r="V301" s="1">
        <f t="shared" si="98"/>
        <v>0</v>
      </c>
      <c r="W301" s="1">
        <f t="shared" si="99"/>
        <v>0</v>
      </c>
      <c r="X301" s="1">
        <f t="shared" si="100"/>
        <v>0</v>
      </c>
      <c r="Y301" s="1">
        <f t="shared" si="101"/>
        <v>0</v>
      </c>
      <c r="Z301" s="1">
        <f t="shared" si="102"/>
        <v>0</v>
      </c>
      <c r="AA301" s="1">
        <f t="shared" si="103"/>
        <v>0</v>
      </c>
      <c r="AB301" s="1">
        <f t="shared" si="104"/>
        <v>0</v>
      </c>
      <c r="AD301" s="1">
        <f t="shared" si="105"/>
        <v>0</v>
      </c>
      <c r="AE301" s="1">
        <f t="shared" si="106"/>
        <v>1</v>
      </c>
      <c r="AF301" s="1">
        <f t="shared" si="91"/>
        <v>0</v>
      </c>
      <c r="AG301" s="1">
        <f t="shared" si="92"/>
        <v>1</v>
      </c>
      <c r="AH301" s="1">
        <f t="shared" si="93"/>
        <v>0</v>
      </c>
      <c r="AI301" s="1">
        <f t="shared" si="94"/>
        <v>1</v>
      </c>
    </row>
    <row r="302" spans="1:35" ht="14.25" customHeight="1" x14ac:dyDescent="0.25">
      <c r="A302" s="47">
        <v>0</v>
      </c>
      <c r="B302" s="47">
        <v>2</v>
      </c>
      <c r="C302" s="47">
        <v>2</v>
      </c>
      <c r="D302" s="48" t="s">
        <v>1196</v>
      </c>
      <c r="E302" s="48" t="s">
        <v>1197</v>
      </c>
      <c r="F302" s="48" t="s">
        <v>1362</v>
      </c>
      <c r="G302" s="48" t="s">
        <v>1066</v>
      </c>
      <c r="H302" s="48" t="s">
        <v>357</v>
      </c>
      <c r="I302" s="47" t="s">
        <v>1198</v>
      </c>
      <c r="J302" s="47">
        <v>1</v>
      </c>
      <c r="K302" s="49" t="s">
        <v>719</v>
      </c>
      <c r="L302" s="49" t="s">
        <v>711</v>
      </c>
      <c r="M302" s="50" t="s">
        <v>1426</v>
      </c>
      <c r="N302" s="50" t="s">
        <v>1750</v>
      </c>
      <c r="O302" s="51"/>
      <c r="P302" s="51"/>
      <c r="Q302" s="48"/>
      <c r="S302" s="1">
        <f t="shared" si="95"/>
        <v>1</v>
      </c>
      <c r="T302" s="1">
        <f t="shared" si="96"/>
        <v>0</v>
      </c>
      <c r="U302" s="1">
        <f t="shared" si="97"/>
        <v>0</v>
      </c>
      <c r="V302" s="1">
        <f t="shared" si="98"/>
        <v>0</v>
      </c>
      <c r="W302" s="1">
        <f t="shared" si="99"/>
        <v>0</v>
      </c>
      <c r="X302" s="1">
        <f t="shared" si="100"/>
        <v>0</v>
      </c>
      <c r="Y302" s="1">
        <f t="shared" si="101"/>
        <v>0</v>
      </c>
      <c r="Z302" s="1">
        <f t="shared" si="102"/>
        <v>0</v>
      </c>
      <c r="AA302" s="1">
        <f t="shared" si="103"/>
        <v>0</v>
      </c>
      <c r="AB302" s="1">
        <f t="shared" si="104"/>
        <v>0</v>
      </c>
      <c r="AD302" s="1">
        <f t="shared" si="105"/>
        <v>0</v>
      </c>
      <c r="AE302" s="1">
        <f t="shared" si="106"/>
        <v>0</v>
      </c>
      <c r="AF302" s="1">
        <f t="shared" si="91"/>
        <v>0</v>
      </c>
      <c r="AG302" s="1">
        <f t="shared" si="92"/>
        <v>0</v>
      </c>
      <c r="AH302" s="1">
        <f t="shared" si="93"/>
        <v>0</v>
      </c>
      <c r="AI302" s="1">
        <f t="shared" si="94"/>
        <v>1</v>
      </c>
    </row>
    <row r="303" spans="1:35" ht="14.25" customHeight="1" x14ac:dyDescent="0.25">
      <c r="A303" s="34">
        <v>0</v>
      </c>
      <c r="B303" s="34">
        <v>2</v>
      </c>
      <c r="C303" s="34">
        <v>2</v>
      </c>
      <c r="D303" s="35" t="s">
        <v>1843</v>
      </c>
      <c r="E303" s="35" t="s">
        <v>1844</v>
      </c>
      <c r="F303" s="35" t="s">
        <v>1845</v>
      </c>
      <c r="G303" s="35" t="s">
        <v>198</v>
      </c>
      <c r="H303" s="35" t="s">
        <v>357</v>
      </c>
      <c r="I303" s="34" t="s">
        <v>1846</v>
      </c>
      <c r="J303" s="34"/>
      <c r="K303" s="36" t="s">
        <v>710</v>
      </c>
      <c r="L303" s="36">
        <v>20</v>
      </c>
      <c r="M303" s="37" t="s">
        <v>1847</v>
      </c>
      <c r="N303" s="37" t="s">
        <v>1763</v>
      </c>
      <c r="O303" s="38">
        <v>1</v>
      </c>
      <c r="P303" s="38"/>
      <c r="Q303" s="35"/>
      <c r="S303" s="1">
        <f t="shared" si="95"/>
        <v>0</v>
      </c>
      <c r="T303" s="1">
        <f t="shared" si="96"/>
        <v>0</v>
      </c>
      <c r="U303" s="1">
        <f t="shared" si="97"/>
        <v>0</v>
      </c>
      <c r="V303" s="1">
        <f t="shared" si="98"/>
        <v>0</v>
      </c>
      <c r="W303" s="1">
        <f t="shared" si="99"/>
        <v>0</v>
      </c>
      <c r="X303" s="1">
        <f t="shared" si="100"/>
        <v>0</v>
      </c>
      <c r="Y303" s="1">
        <f t="shared" si="101"/>
        <v>0</v>
      </c>
      <c r="Z303" s="1">
        <f t="shared" si="102"/>
        <v>0</v>
      </c>
      <c r="AA303" s="1">
        <f t="shared" si="103"/>
        <v>0</v>
      </c>
      <c r="AB303" s="1">
        <f t="shared" si="104"/>
        <v>0</v>
      </c>
      <c r="AD303" s="1">
        <f t="shared" si="105"/>
        <v>0</v>
      </c>
      <c r="AE303" s="1">
        <f t="shared" si="106"/>
        <v>1</v>
      </c>
      <c r="AF303" s="1">
        <f t="shared" si="91"/>
        <v>0</v>
      </c>
      <c r="AG303" s="1">
        <f t="shared" si="92"/>
        <v>1</v>
      </c>
      <c r="AH303" s="1">
        <f t="shared" si="93"/>
        <v>0</v>
      </c>
      <c r="AI303" s="1">
        <f t="shared" si="94"/>
        <v>1</v>
      </c>
    </row>
    <row r="304" spans="1:35" ht="14.25" customHeight="1" x14ac:dyDescent="0.25">
      <c r="A304" s="15">
        <v>0</v>
      </c>
      <c r="B304" s="15">
        <v>2</v>
      </c>
      <c r="C304" s="15">
        <v>2</v>
      </c>
      <c r="D304" s="16" t="s">
        <v>1591</v>
      </c>
      <c r="E304" s="16" t="s">
        <v>1592</v>
      </c>
      <c r="F304" s="16" t="s">
        <v>1594</v>
      </c>
      <c r="G304" s="16" t="s">
        <v>1595</v>
      </c>
      <c r="H304" s="16" t="s">
        <v>357</v>
      </c>
      <c r="I304" s="15" t="s">
        <v>1593</v>
      </c>
      <c r="J304" s="15">
        <v>99</v>
      </c>
      <c r="K304" s="10" t="s">
        <v>710</v>
      </c>
      <c r="L304" s="10">
        <v>18</v>
      </c>
      <c r="M304" s="19" t="s">
        <v>1596</v>
      </c>
      <c r="N304" s="17"/>
      <c r="Q304" s="16"/>
      <c r="S304" s="1">
        <f t="shared" si="95"/>
        <v>0</v>
      </c>
      <c r="T304" s="1">
        <f t="shared" si="96"/>
        <v>0</v>
      </c>
      <c r="U304" s="1">
        <f t="shared" si="97"/>
        <v>0</v>
      </c>
      <c r="V304" s="1">
        <f t="shared" si="98"/>
        <v>0</v>
      </c>
      <c r="W304" s="1">
        <f t="shared" si="99"/>
        <v>0</v>
      </c>
      <c r="X304" s="1">
        <f t="shared" si="100"/>
        <v>0</v>
      </c>
      <c r="Y304" s="1">
        <f t="shared" si="101"/>
        <v>0</v>
      </c>
      <c r="Z304" s="1">
        <f t="shared" si="102"/>
        <v>0</v>
      </c>
      <c r="AA304" s="1">
        <f t="shared" si="103"/>
        <v>0</v>
      </c>
      <c r="AB304" s="1">
        <f t="shared" si="104"/>
        <v>0</v>
      </c>
      <c r="AD304" s="1">
        <f t="shared" si="105"/>
        <v>0</v>
      </c>
      <c r="AE304" s="1">
        <f t="shared" si="106"/>
        <v>0</v>
      </c>
      <c r="AF304" s="1">
        <f t="shared" si="91"/>
        <v>0</v>
      </c>
      <c r="AG304" s="1">
        <f t="shared" si="92"/>
        <v>0</v>
      </c>
      <c r="AH304" s="1">
        <f t="shared" si="93"/>
        <v>0</v>
      </c>
      <c r="AI304" s="1">
        <f t="shared" si="94"/>
        <v>1</v>
      </c>
    </row>
    <row r="305" spans="1:35" ht="14.25" customHeight="1" x14ac:dyDescent="0.25">
      <c r="A305" s="52">
        <v>0</v>
      </c>
      <c r="B305" s="52">
        <v>2</v>
      </c>
      <c r="C305" s="52">
        <v>2</v>
      </c>
      <c r="D305" s="53" t="s">
        <v>64</v>
      </c>
      <c r="E305" s="53" t="s">
        <v>33</v>
      </c>
      <c r="F305" s="53" t="s">
        <v>243</v>
      </c>
      <c r="G305" s="53" t="s">
        <v>244</v>
      </c>
      <c r="H305" s="53" t="s">
        <v>357</v>
      </c>
      <c r="I305" s="52" t="s">
        <v>409</v>
      </c>
      <c r="J305" s="52">
        <v>1</v>
      </c>
      <c r="K305" s="54" t="s">
        <v>968</v>
      </c>
      <c r="L305" s="54" t="s">
        <v>723</v>
      </c>
      <c r="M305" s="55" t="s">
        <v>724</v>
      </c>
      <c r="N305" s="55" t="s">
        <v>1758</v>
      </c>
      <c r="O305" s="56">
        <v>1</v>
      </c>
      <c r="P305" s="56"/>
      <c r="Q305" s="53"/>
      <c r="S305" s="1">
        <f t="shared" si="95"/>
        <v>1</v>
      </c>
      <c r="T305" s="1">
        <f t="shared" si="96"/>
        <v>0</v>
      </c>
      <c r="U305" s="1">
        <f t="shared" si="97"/>
        <v>0</v>
      </c>
      <c r="V305" s="1">
        <f t="shared" si="98"/>
        <v>0</v>
      </c>
      <c r="W305" s="1">
        <f t="shared" si="99"/>
        <v>0</v>
      </c>
      <c r="X305" s="1">
        <f t="shared" si="100"/>
        <v>0</v>
      </c>
      <c r="Y305" s="1">
        <f t="shared" si="101"/>
        <v>0</v>
      </c>
      <c r="Z305" s="1">
        <f t="shared" si="102"/>
        <v>0</v>
      </c>
      <c r="AA305" s="1">
        <f t="shared" si="103"/>
        <v>0</v>
      </c>
      <c r="AB305" s="1">
        <f t="shared" si="104"/>
        <v>0</v>
      </c>
      <c r="AD305" s="1">
        <f t="shared" si="105"/>
        <v>0</v>
      </c>
      <c r="AE305" s="1">
        <f t="shared" si="106"/>
        <v>1</v>
      </c>
      <c r="AF305" s="1">
        <f t="shared" si="91"/>
        <v>0</v>
      </c>
      <c r="AG305" s="1">
        <f t="shared" si="92"/>
        <v>1</v>
      </c>
      <c r="AH305" s="1">
        <f t="shared" si="93"/>
        <v>0</v>
      </c>
      <c r="AI305" s="1">
        <f t="shared" si="94"/>
        <v>1</v>
      </c>
    </row>
    <row r="306" spans="1:35" ht="14.25" customHeight="1" x14ac:dyDescent="0.25">
      <c r="A306" s="52">
        <v>0</v>
      </c>
      <c r="B306" s="52">
        <v>2</v>
      </c>
      <c r="C306" s="52">
        <v>2</v>
      </c>
      <c r="D306" s="53" t="s">
        <v>62</v>
      </c>
      <c r="E306" s="53" t="s">
        <v>1096</v>
      </c>
      <c r="F306" s="53" t="s">
        <v>236</v>
      </c>
      <c r="G306" s="53" t="s">
        <v>237</v>
      </c>
      <c r="H306" s="53" t="s">
        <v>357</v>
      </c>
      <c r="I306" s="52" t="s">
        <v>1379</v>
      </c>
      <c r="J306" s="52">
        <v>99</v>
      </c>
      <c r="K306" s="54" t="s">
        <v>962</v>
      </c>
      <c r="L306" s="54" t="s">
        <v>723</v>
      </c>
      <c r="M306" s="55" t="s">
        <v>725</v>
      </c>
      <c r="N306" s="55" t="s">
        <v>1758</v>
      </c>
      <c r="O306" s="56">
        <v>1</v>
      </c>
      <c r="P306" s="56"/>
      <c r="Q306" s="53"/>
      <c r="S306" s="1">
        <f t="shared" si="95"/>
        <v>0</v>
      </c>
      <c r="T306" s="1">
        <f t="shared" si="96"/>
        <v>0</v>
      </c>
      <c r="U306" s="1">
        <f t="shared" si="97"/>
        <v>0</v>
      </c>
      <c r="V306" s="1">
        <f t="shared" si="98"/>
        <v>0</v>
      </c>
      <c r="W306" s="1">
        <f t="shared" si="99"/>
        <v>0</v>
      </c>
      <c r="X306" s="1">
        <f t="shared" si="100"/>
        <v>0</v>
      </c>
      <c r="Y306" s="1">
        <f t="shared" si="101"/>
        <v>0</v>
      </c>
      <c r="Z306" s="1">
        <f t="shared" si="102"/>
        <v>0</v>
      </c>
      <c r="AA306" s="1">
        <f t="shared" si="103"/>
        <v>0</v>
      </c>
      <c r="AB306" s="1">
        <f t="shared" si="104"/>
        <v>0</v>
      </c>
      <c r="AD306" s="1">
        <f t="shared" si="105"/>
        <v>0</v>
      </c>
      <c r="AE306" s="1">
        <f t="shared" si="106"/>
        <v>1</v>
      </c>
      <c r="AF306" s="1">
        <f t="shared" si="91"/>
        <v>0</v>
      </c>
      <c r="AG306" s="1">
        <f t="shared" si="92"/>
        <v>1</v>
      </c>
      <c r="AH306" s="1">
        <f t="shared" si="93"/>
        <v>0</v>
      </c>
      <c r="AI306" s="1">
        <f t="shared" si="94"/>
        <v>1</v>
      </c>
    </row>
    <row r="307" spans="1:35" ht="14.25" customHeight="1" x14ac:dyDescent="0.25">
      <c r="A307" s="34">
        <v>0</v>
      </c>
      <c r="B307" s="34">
        <v>2</v>
      </c>
      <c r="C307" s="34">
        <v>2</v>
      </c>
      <c r="D307" s="35" t="s">
        <v>1731</v>
      </c>
      <c r="E307" s="35" t="s">
        <v>1733</v>
      </c>
      <c r="F307" s="35" t="s">
        <v>1732</v>
      </c>
      <c r="G307" s="35"/>
      <c r="H307" s="35" t="s">
        <v>357</v>
      </c>
      <c r="I307" s="34" t="s">
        <v>1734</v>
      </c>
      <c r="J307" s="34"/>
      <c r="K307" s="36" t="s">
        <v>710</v>
      </c>
      <c r="L307" s="36"/>
      <c r="M307" s="37"/>
      <c r="N307" s="37" t="s">
        <v>1742</v>
      </c>
      <c r="O307" s="38">
        <v>1</v>
      </c>
      <c r="P307" s="38">
        <v>1</v>
      </c>
      <c r="Q307" s="35"/>
      <c r="S307" s="1">
        <f t="shared" si="95"/>
        <v>0</v>
      </c>
      <c r="T307" s="1">
        <f t="shared" si="96"/>
        <v>0</v>
      </c>
      <c r="U307" s="1">
        <f t="shared" si="97"/>
        <v>0</v>
      </c>
      <c r="V307" s="1">
        <f t="shared" si="98"/>
        <v>0</v>
      </c>
      <c r="W307" s="1">
        <f t="shared" si="99"/>
        <v>0</v>
      </c>
      <c r="X307" s="1">
        <f t="shared" si="100"/>
        <v>0</v>
      </c>
      <c r="Y307" s="1">
        <f t="shared" si="101"/>
        <v>0</v>
      </c>
      <c r="Z307" s="1">
        <f t="shared" si="102"/>
        <v>0</v>
      </c>
      <c r="AA307" s="1">
        <f t="shared" si="103"/>
        <v>0</v>
      </c>
      <c r="AB307" s="1">
        <f t="shared" si="104"/>
        <v>0</v>
      </c>
      <c r="AD307" s="1">
        <f t="shared" si="105"/>
        <v>1</v>
      </c>
      <c r="AE307" s="1">
        <f t="shared" si="106"/>
        <v>0</v>
      </c>
      <c r="AF307" s="1">
        <f t="shared" si="91"/>
        <v>1</v>
      </c>
      <c r="AG307" s="1">
        <f t="shared" si="92"/>
        <v>0</v>
      </c>
      <c r="AH307" s="1">
        <f t="shared" si="93"/>
        <v>1</v>
      </c>
      <c r="AI307" s="1">
        <f t="shared" si="94"/>
        <v>0</v>
      </c>
    </row>
    <row r="308" spans="1:35" ht="14.25" customHeight="1" x14ac:dyDescent="0.25">
      <c r="A308" s="47">
        <v>0</v>
      </c>
      <c r="B308" s="47">
        <v>2</v>
      </c>
      <c r="C308" s="47">
        <v>2</v>
      </c>
      <c r="D308" s="48" t="s">
        <v>794</v>
      </c>
      <c r="E308" s="48" t="s">
        <v>916</v>
      </c>
      <c r="F308" s="48" t="s">
        <v>1586</v>
      </c>
      <c r="G308" s="48" t="s">
        <v>232</v>
      </c>
      <c r="H308" s="48" t="s">
        <v>357</v>
      </c>
      <c r="I308" s="47" t="s">
        <v>1709</v>
      </c>
      <c r="J308" s="47">
        <v>7</v>
      </c>
      <c r="K308" s="49" t="s">
        <v>720</v>
      </c>
      <c r="L308" s="49">
        <v>20</v>
      </c>
      <c r="M308" s="50" t="s">
        <v>39</v>
      </c>
      <c r="N308" s="50" t="s">
        <v>1749</v>
      </c>
      <c r="O308" s="51"/>
      <c r="P308" s="51"/>
      <c r="Q308" s="48"/>
      <c r="S308" s="1">
        <f t="shared" si="95"/>
        <v>0</v>
      </c>
      <c r="T308" s="1">
        <f t="shared" si="96"/>
        <v>0</v>
      </c>
      <c r="U308" s="1">
        <f t="shared" si="97"/>
        <v>0</v>
      </c>
      <c r="V308" s="1">
        <f t="shared" si="98"/>
        <v>0</v>
      </c>
      <c r="W308" s="1">
        <f t="shared" si="99"/>
        <v>0</v>
      </c>
      <c r="X308" s="1">
        <f t="shared" si="100"/>
        <v>0</v>
      </c>
      <c r="Y308" s="1">
        <f t="shared" si="101"/>
        <v>1</v>
      </c>
      <c r="Z308" s="1">
        <f t="shared" si="102"/>
        <v>0</v>
      </c>
      <c r="AA308" s="1">
        <f t="shared" si="103"/>
        <v>0</v>
      </c>
      <c r="AB308" s="1">
        <f t="shared" si="104"/>
        <v>0</v>
      </c>
      <c r="AD308" s="1">
        <f t="shared" si="105"/>
        <v>0</v>
      </c>
      <c r="AE308" s="1">
        <f t="shared" si="106"/>
        <v>0</v>
      </c>
      <c r="AF308" s="1">
        <f t="shared" si="91"/>
        <v>0</v>
      </c>
      <c r="AG308" s="1">
        <f t="shared" si="92"/>
        <v>0</v>
      </c>
      <c r="AH308" s="1">
        <f t="shared" si="93"/>
        <v>0</v>
      </c>
      <c r="AI308" s="1">
        <f t="shared" si="94"/>
        <v>1</v>
      </c>
    </row>
    <row r="309" spans="1:35" ht="14.25" customHeight="1" x14ac:dyDescent="0.25">
      <c r="A309" s="34">
        <v>0</v>
      </c>
      <c r="B309" s="34">
        <v>2</v>
      </c>
      <c r="C309" s="34">
        <v>2</v>
      </c>
      <c r="D309" s="35" t="s">
        <v>859</v>
      </c>
      <c r="E309" s="35" t="s">
        <v>546</v>
      </c>
      <c r="F309" s="35" t="s">
        <v>861</v>
      </c>
      <c r="G309" s="35" t="s">
        <v>222</v>
      </c>
      <c r="H309" s="35" t="s">
        <v>357</v>
      </c>
      <c r="I309" s="34" t="s">
        <v>862</v>
      </c>
      <c r="J309" s="34">
        <v>8</v>
      </c>
      <c r="K309" s="36" t="s">
        <v>720</v>
      </c>
      <c r="L309" s="36" t="s">
        <v>723</v>
      </c>
      <c r="M309" s="37" t="s">
        <v>1427</v>
      </c>
      <c r="N309" s="37" t="s">
        <v>1758</v>
      </c>
      <c r="O309" s="38">
        <v>1</v>
      </c>
      <c r="P309" s="38"/>
      <c r="Q309" s="35"/>
      <c r="S309" s="1">
        <f t="shared" si="95"/>
        <v>0</v>
      </c>
      <c r="T309" s="1">
        <f t="shared" si="96"/>
        <v>0</v>
      </c>
      <c r="U309" s="1">
        <f t="shared" si="97"/>
        <v>0</v>
      </c>
      <c r="V309" s="1">
        <f t="shared" si="98"/>
        <v>0</v>
      </c>
      <c r="W309" s="1">
        <f t="shared" si="99"/>
        <v>0</v>
      </c>
      <c r="X309" s="1">
        <f t="shared" si="100"/>
        <v>0</v>
      </c>
      <c r="Y309" s="1">
        <f t="shared" si="101"/>
        <v>0</v>
      </c>
      <c r="Z309" s="1">
        <f t="shared" si="102"/>
        <v>1</v>
      </c>
      <c r="AA309" s="1">
        <f t="shared" si="103"/>
        <v>0</v>
      </c>
      <c r="AB309" s="1">
        <f t="shared" si="104"/>
        <v>0</v>
      </c>
      <c r="AD309" s="1">
        <f t="shared" si="105"/>
        <v>0</v>
      </c>
      <c r="AE309" s="1">
        <f t="shared" si="106"/>
        <v>1</v>
      </c>
      <c r="AF309" s="1">
        <f t="shared" si="91"/>
        <v>0</v>
      </c>
      <c r="AG309" s="1">
        <f t="shared" si="92"/>
        <v>1</v>
      </c>
      <c r="AH309" s="1">
        <f t="shared" si="93"/>
        <v>0</v>
      </c>
      <c r="AI309" s="1">
        <f t="shared" si="94"/>
        <v>1</v>
      </c>
    </row>
    <row r="310" spans="1:35" ht="14.25" customHeight="1" x14ac:dyDescent="0.25">
      <c r="A310" s="34">
        <v>1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1367</v>
      </c>
      <c r="G310" s="35" t="s">
        <v>196</v>
      </c>
      <c r="H310" s="35" t="s">
        <v>357</v>
      </c>
      <c r="I310" s="34" t="s">
        <v>860</v>
      </c>
      <c r="J310" s="34">
        <v>9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Q310" s="35"/>
      <c r="S310" s="1">
        <f t="shared" si="95"/>
        <v>0</v>
      </c>
      <c r="T310" s="1">
        <f t="shared" si="96"/>
        <v>0</v>
      </c>
      <c r="U310" s="1">
        <f t="shared" si="97"/>
        <v>0</v>
      </c>
      <c r="V310" s="1">
        <f t="shared" si="98"/>
        <v>0</v>
      </c>
      <c r="W310" s="1">
        <f t="shared" si="99"/>
        <v>0</v>
      </c>
      <c r="X310" s="1">
        <f t="shared" si="100"/>
        <v>0</v>
      </c>
      <c r="Y310" s="1">
        <f t="shared" si="101"/>
        <v>0</v>
      </c>
      <c r="Z310" s="1">
        <f t="shared" si="102"/>
        <v>0</v>
      </c>
      <c r="AA310" s="1">
        <f t="shared" si="103"/>
        <v>1</v>
      </c>
      <c r="AB310" s="1">
        <f t="shared" si="104"/>
        <v>0</v>
      </c>
      <c r="AD310" s="1">
        <f t="shared" si="105"/>
        <v>0</v>
      </c>
      <c r="AE310" s="1">
        <f t="shared" si="106"/>
        <v>1</v>
      </c>
      <c r="AF310" s="1">
        <f t="shared" si="91"/>
        <v>0</v>
      </c>
      <c r="AG310" s="1">
        <f t="shared" si="92"/>
        <v>0</v>
      </c>
      <c r="AH310" s="1">
        <f t="shared" si="93"/>
        <v>0</v>
      </c>
      <c r="AI310" s="1">
        <f t="shared" si="94"/>
        <v>0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925</v>
      </c>
      <c r="E311" s="48" t="s">
        <v>792</v>
      </c>
      <c r="F311" s="48" t="s">
        <v>793</v>
      </c>
      <c r="G311" s="48" t="s">
        <v>232</v>
      </c>
      <c r="H311" s="48" t="s">
        <v>357</v>
      </c>
      <c r="I311" s="47" t="s">
        <v>795</v>
      </c>
      <c r="J311" s="47">
        <v>7</v>
      </c>
      <c r="K311" s="49" t="s">
        <v>719</v>
      </c>
      <c r="L311" s="49">
        <v>15</v>
      </c>
      <c r="M311" s="50" t="s">
        <v>39</v>
      </c>
      <c r="N311" s="50" t="s">
        <v>1750</v>
      </c>
      <c r="O311" s="51"/>
      <c r="P311" s="51"/>
      <c r="Q311" s="48"/>
      <c r="S311" s="1">
        <f t="shared" si="95"/>
        <v>0</v>
      </c>
      <c r="T311" s="1">
        <f t="shared" si="96"/>
        <v>0</v>
      </c>
      <c r="U311" s="1">
        <f t="shared" si="97"/>
        <v>0</v>
      </c>
      <c r="V311" s="1">
        <f t="shared" si="98"/>
        <v>0</v>
      </c>
      <c r="W311" s="1">
        <f t="shared" si="99"/>
        <v>0</v>
      </c>
      <c r="X311" s="1">
        <f t="shared" si="100"/>
        <v>0</v>
      </c>
      <c r="Y311" s="1">
        <f t="shared" si="101"/>
        <v>1</v>
      </c>
      <c r="Z311" s="1">
        <f t="shared" si="102"/>
        <v>0</v>
      </c>
      <c r="AA311" s="1">
        <f t="shared" si="103"/>
        <v>0</v>
      </c>
      <c r="AB311" s="1">
        <f t="shared" si="104"/>
        <v>0</v>
      </c>
      <c r="AD311" s="1">
        <f t="shared" si="105"/>
        <v>0</v>
      </c>
      <c r="AE311" s="1">
        <f t="shared" si="106"/>
        <v>0</v>
      </c>
      <c r="AF311" s="1">
        <f t="shared" si="91"/>
        <v>0</v>
      </c>
      <c r="AG311" s="1">
        <f t="shared" si="92"/>
        <v>0</v>
      </c>
      <c r="AH311" s="1">
        <f t="shared" si="93"/>
        <v>0</v>
      </c>
      <c r="AI311" s="1">
        <f t="shared" si="94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68" t="s">
        <v>1887</v>
      </c>
      <c r="G312" s="48" t="s">
        <v>211</v>
      </c>
      <c r="H312" s="48" t="s">
        <v>357</v>
      </c>
      <c r="I312" s="47" t="s">
        <v>436</v>
      </c>
      <c r="J312" s="47">
        <v>99</v>
      </c>
      <c r="K312" s="49" t="s">
        <v>961</v>
      </c>
      <c r="L312" s="49" t="s">
        <v>711</v>
      </c>
      <c r="M312" s="50" t="s">
        <v>726</v>
      </c>
      <c r="N312" s="50" t="s">
        <v>1750</v>
      </c>
      <c r="O312" s="51"/>
      <c r="P312" s="51"/>
      <c r="Q312" s="48"/>
      <c r="S312" s="1">
        <f t="shared" si="95"/>
        <v>0</v>
      </c>
      <c r="T312" s="1">
        <f t="shared" si="96"/>
        <v>0</v>
      </c>
      <c r="U312" s="1">
        <f t="shared" si="97"/>
        <v>0</v>
      </c>
      <c r="V312" s="1">
        <f t="shared" si="98"/>
        <v>0</v>
      </c>
      <c r="W312" s="1">
        <f t="shared" si="99"/>
        <v>0</v>
      </c>
      <c r="X312" s="1">
        <f t="shared" si="100"/>
        <v>0</v>
      </c>
      <c r="Y312" s="1">
        <f t="shared" si="101"/>
        <v>0</v>
      </c>
      <c r="Z312" s="1">
        <f t="shared" si="102"/>
        <v>0</v>
      </c>
      <c r="AA312" s="1">
        <f t="shared" si="103"/>
        <v>0</v>
      </c>
      <c r="AB312" s="1">
        <f t="shared" si="104"/>
        <v>0</v>
      </c>
      <c r="AD312" s="1">
        <f t="shared" si="105"/>
        <v>0</v>
      </c>
      <c r="AE312" s="1">
        <f t="shared" si="106"/>
        <v>0</v>
      </c>
      <c r="AF312" s="1">
        <f t="shared" si="91"/>
        <v>0</v>
      </c>
      <c r="AG312" s="1">
        <f t="shared" si="92"/>
        <v>0</v>
      </c>
      <c r="AH312" s="1">
        <f t="shared" si="93"/>
        <v>0</v>
      </c>
      <c r="AI312" s="1">
        <f t="shared" si="94"/>
        <v>1</v>
      </c>
    </row>
    <row r="313" spans="1:35" ht="14.25" customHeight="1" x14ac:dyDescent="0.25">
      <c r="A313" s="41">
        <v>0</v>
      </c>
      <c r="B313" s="41">
        <v>2</v>
      </c>
      <c r="C313" s="41">
        <v>2</v>
      </c>
      <c r="D313" s="42" t="s">
        <v>1579</v>
      </c>
      <c r="E313" s="42" t="s">
        <v>1348</v>
      </c>
      <c r="F313" s="42" t="s">
        <v>1580</v>
      </c>
      <c r="G313" s="42" t="s">
        <v>1179</v>
      </c>
      <c r="H313" s="42" t="s">
        <v>357</v>
      </c>
      <c r="I313" s="41" t="s">
        <v>1581</v>
      </c>
      <c r="J313" s="41">
        <v>1</v>
      </c>
      <c r="K313" s="43" t="s">
        <v>720</v>
      </c>
      <c r="L313" s="43" t="s">
        <v>39</v>
      </c>
      <c r="M313" s="44" t="s">
        <v>39</v>
      </c>
      <c r="N313" s="45"/>
      <c r="O313" s="46"/>
      <c r="P313" s="46">
        <v>1</v>
      </c>
      <c r="Q313" s="42"/>
      <c r="S313" s="1">
        <f t="shared" si="95"/>
        <v>1</v>
      </c>
      <c r="T313" s="1">
        <f t="shared" si="96"/>
        <v>0</v>
      </c>
      <c r="U313" s="1">
        <f t="shared" si="97"/>
        <v>0</v>
      </c>
      <c r="V313" s="1">
        <f t="shared" si="98"/>
        <v>0</v>
      </c>
      <c r="W313" s="1">
        <f t="shared" si="99"/>
        <v>0</v>
      </c>
      <c r="X313" s="1">
        <f t="shared" si="100"/>
        <v>0</v>
      </c>
      <c r="Y313" s="1">
        <f t="shared" si="101"/>
        <v>0</v>
      </c>
      <c r="Z313" s="1">
        <f t="shared" si="102"/>
        <v>0</v>
      </c>
      <c r="AA313" s="1">
        <f t="shared" si="103"/>
        <v>0</v>
      </c>
      <c r="AB313" s="1">
        <f t="shared" si="104"/>
        <v>0</v>
      </c>
      <c r="AD313" s="1">
        <f t="shared" si="105"/>
        <v>0</v>
      </c>
      <c r="AE313" s="1">
        <f t="shared" si="106"/>
        <v>0</v>
      </c>
      <c r="AF313" s="1">
        <f t="shared" si="91"/>
        <v>0</v>
      </c>
      <c r="AG313" s="1">
        <f t="shared" si="92"/>
        <v>0</v>
      </c>
      <c r="AH313" s="1">
        <f t="shared" si="93"/>
        <v>1</v>
      </c>
      <c r="AI313" s="1">
        <f t="shared" si="94"/>
        <v>0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1759</v>
      </c>
      <c r="E314" s="35" t="s">
        <v>27</v>
      </c>
      <c r="F314" s="35" t="s">
        <v>1054</v>
      </c>
      <c r="G314" s="35" t="s">
        <v>222</v>
      </c>
      <c r="H314" s="35" t="s">
        <v>357</v>
      </c>
      <c r="I314" s="34" t="s">
        <v>1055</v>
      </c>
      <c r="J314" s="34">
        <v>8</v>
      </c>
      <c r="K314" s="36" t="s">
        <v>720</v>
      </c>
      <c r="L314" s="36">
        <v>25</v>
      </c>
      <c r="M314" s="37" t="s">
        <v>1760</v>
      </c>
      <c r="N314" s="37" t="s">
        <v>1742</v>
      </c>
      <c r="O314" s="38">
        <v>1</v>
      </c>
      <c r="P314" s="38">
        <v>1</v>
      </c>
      <c r="Q314" s="35"/>
      <c r="S314" s="1">
        <f t="shared" si="95"/>
        <v>0</v>
      </c>
      <c r="T314" s="1">
        <f t="shared" si="96"/>
        <v>0</v>
      </c>
      <c r="U314" s="1">
        <f t="shared" si="97"/>
        <v>0</v>
      </c>
      <c r="V314" s="1">
        <f t="shared" si="98"/>
        <v>0</v>
      </c>
      <c r="W314" s="1">
        <f t="shared" si="99"/>
        <v>0</v>
      </c>
      <c r="X314" s="1">
        <f t="shared" si="100"/>
        <v>0</v>
      </c>
      <c r="Y314" s="1">
        <f t="shared" si="101"/>
        <v>0</v>
      </c>
      <c r="Z314" s="1">
        <f t="shared" si="102"/>
        <v>1</v>
      </c>
      <c r="AA314" s="1">
        <f t="shared" si="103"/>
        <v>0</v>
      </c>
      <c r="AB314" s="1">
        <f t="shared" si="104"/>
        <v>0</v>
      </c>
      <c r="AD314" s="1">
        <f t="shared" si="105"/>
        <v>1</v>
      </c>
      <c r="AE314" s="1">
        <f t="shared" si="106"/>
        <v>0</v>
      </c>
      <c r="AF314" s="1">
        <f t="shared" si="91"/>
        <v>1</v>
      </c>
      <c r="AG314" s="1">
        <f t="shared" si="92"/>
        <v>0</v>
      </c>
      <c r="AH314" s="1">
        <f t="shared" si="93"/>
        <v>1</v>
      </c>
      <c r="AI314" s="1">
        <f t="shared" si="94"/>
        <v>0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675</v>
      </c>
      <c r="G315" s="35" t="s">
        <v>182</v>
      </c>
      <c r="H315" s="35" t="s">
        <v>357</v>
      </c>
      <c r="I315" s="34" t="s">
        <v>956</v>
      </c>
      <c r="J315" s="34">
        <v>10</v>
      </c>
      <c r="K315" s="36" t="s">
        <v>720</v>
      </c>
      <c r="L315" s="36" t="s">
        <v>727</v>
      </c>
      <c r="M315" s="37" t="s">
        <v>728</v>
      </c>
      <c r="N315" s="37" t="s">
        <v>1742</v>
      </c>
      <c r="O315" s="38">
        <v>1</v>
      </c>
      <c r="P315" s="38">
        <v>1</v>
      </c>
      <c r="Q315" s="35"/>
      <c r="S315" s="1">
        <f t="shared" si="95"/>
        <v>0</v>
      </c>
      <c r="T315" s="1">
        <f t="shared" si="96"/>
        <v>0</v>
      </c>
      <c r="U315" s="1">
        <f t="shared" si="97"/>
        <v>0</v>
      </c>
      <c r="V315" s="1">
        <f t="shared" si="98"/>
        <v>0</v>
      </c>
      <c r="W315" s="1">
        <f t="shared" si="99"/>
        <v>0</v>
      </c>
      <c r="X315" s="1">
        <f t="shared" si="100"/>
        <v>0</v>
      </c>
      <c r="Y315" s="1">
        <f t="shared" si="101"/>
        <v>0</v>
      </c>
      <c r="Z315" s="1">
        <f t="shared" si="102"/>
        <v>0</v>
      </c>
      <c r="AA315" s="1">
        <f t="shared" si="103"/>
        <v>0</v>
      </c>
      <c r="AB315" s="1">
        <f t="shared" si="104"/>
        <v>1</v>
      </c>
      <c r="AD315" s="1">
        <f t="shared" si="105"/>
        <v>1</v>
      </c>
      <c r="AE315" s="1">
        <f t="shared" si="106"/>
        <v>0</v>
      </c>
      <c r="AF315" s="1">
        <f t="shared" si="91"/>
        <v>1</v>
      </c>
      <c r="AG315" s="1">
        <f t="shared" si="92"/>
        <v>0</v>
      </c>
      <c r="AH315" s="1">
        <f t="shared" si="93"/>
        <v>1</v>
      </c>
      <c r="AI315" s="1">
        <f t="shared" si="94"/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1463</v>
      </c>
      <c r="E316" s="35" t="s">
        <v>1668</v>
      </c>
      <c r="F316" s="35" t="s">
        <v>1683</v>
      </c>
      <c r="G316" s="35" t="s">
        <v>232</v>
      </c>
      <c r="H316" s="35" t="s">
        <v>357</v>
      </c>
      <c r="I316" s="34" t="s">
        <v>1464</v>
      </c>
      <c r="J316" s="34">
        <v>99</v>
      </c>
      <c r="K316" s="36" t="s">
        <v>962</v>
      </c>
      <c r="L316" s="36">
        <v>20</v>
      </c>
      <c r="M316" s="37" t="s">
        <v>39</v>
      </c>
      <c r="N316" s="37" t="s">
        <v>1742</v>
      </c>
      <c r="O316" s="38">
        <v>1</v>
      </c>
      <c r="P316" s="38">
        <v>1</v>
      </c>
      <c r="Q316" s="35"/>
      <c r="S316" s="1">
        <f t="shared" si="95"/>
        <v>0</v>
      </c>
      <c r="T316" s="1">
        <f t="shared" si="96"/>
        <v>0</v>
      </c>
      <c r="U316" s="1">
        <f t="shared" si="97"/>
        <v>0</v>
      </c>
      <c r="V316" s="1">
        <f t="shared" si="98"/>
        <v>0</v>
      </c>
      <c r="W316" s="1">
        <f t="shared" si="99"/>
        <v>0</v>
      </c>
      <c r="X316" s="1">
        <f t="shared" si="100"/>
        <v>0</v>
      </c>
      <c r="Y316" s="1">
        <f t="shared" si="101"/>
        <v>0</v>
      </c>
      <c r="Z316" s="1">
        <f t="shared" si="102"/>
        <v>0</v>
      </c>
      <c r="AA316" s="1">
        <f t="shared" si="103"/>
        <v>0</v>
      </c>
      <c r="AB316" s="1">
        <f t="shared" si="104"/>
        <v>0</v>
      </c>
      <c r="AD316" s="1">
        <f t="shared" si="105"/>
        <v>1</v>
      </c>
      <c r="AE316" s="1">
        <f t="shared" si="106"/>
        <v>0</v>
      </c>
      <c r="AF316" s="1">
        <f t="shared" si="91"/>
        <v>1</v>
      </c>
      <c r="AG316" s="1">
        <f t="shared" si="92"/>
        <v>0</v>
      </c>
      <c r="AH316" s="1">
        <f t="shared" si="93"/>
        <v>1</v>
      </c>
      <c r="AI316" s="1">
        <f t="shared" si="94"/>
        <v>0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611</v>
      </c>
      <c r="E317" s="53" t="s">
        <v>612</v>
      </c>
      <c r="F317" s="53" t="s">
        <v>613</v>
      </c>
      <c r="G317" s="53" t="s">
        <v>259</v>
      </c>
      <c r="H317" s="53" t="s">
        <v>357</v>
      </c>
      <c r="I317" s="52" t="s">
        <v>614</v>
      </c>
      <c r="J317" s="52">
        <v>99</v>
      </c>
      <c r="K317" s="54" t="s">
        <v>962</v>
      </c>
      <c r="L317" s="54" t="s">
        <v>711</v>
      </c>
      <c r="M317" s="55" t="s">
        <v>1428</v>
      </c>
      <c r="N317" s="55" t="s">
        <v>1758</v>
      </c>
      <c r="O317" s="56">
        <v>1</v>
      </c>
      <c r="P317" s="56"/>
      <c r="Q317" s="53"/>
      <c r="S317" s="1">
        <f t="shared" si="95"/>
        <v>0</v>
      </c>
      <c r="T317" s="1">
        <f t="shared" si="96"/>
        <v>0</v>
      </c>
      <c r="U317" s="1">
        <f t="shared" si="97"/>
        <v>0</v>
      </c>
      <c r="V317" s="1">
        <f t="shared" si="98"/>
        <v>0</v>
      </c>
      <c r="W317" s="1">
        <f t="shared" si="99"/>
        <v>0</v>
      </c>
      <c r="X317" s="1">
        <f t="shared" si="100"/>
        <v>0</v>
      </c>
      <c r="Y317" s="1">
        <f t="shared" si="101"/>
        <v>0</v>
      </c>
      <c r="Z317" s="1">
        <f t="shared" si="102"/>
        <v>0</v>
      </c>
      <c r="AA317" s="1">
        <f t="shared" si="103"/>
        <v>0</v>
      </c>
      <c r="AB317" s="1">
        <f t="shared" si="104"/>
        <v>0</v>
      </c>
      <c r="AD317" s="1">
        <f t="shared" si="105"/>
        <v>0</v>
      </c>
      <c r="AE317" s="1">
        <f t="shared" si="106"/>
        <v>1</v>
      </c>
      <c r="AF317" s="1">
        <f t="shared" si="91"/>
        <v>0</v>
      </c>
      <c r="AG317" s="1">
        <f t="shared" si="92"/>
        <v>1</v>
      </c>
      <c r="AH317" s="1">
        <f t="shared" si="93"/>
        <v>0</v>
      </c>
      <c r="AI317" s="1">
        <f t="shared" si="94"/>
        <v>1</v>
      </c>
    </row>
    <row r="318" spans="1:35" ht="14.25" customHeight="1" x14ac:dyDescent="0.25">
      <c r="A318" s="47">
        <v>0</v>
      </c>
      <c r="B318" s="47">
        <v>2</v>
      </c>
      <c r="C318" s="47">
        <v>2</v>
      </c>
      <c r="D318" s="48" t="s">
        <v>1658</v>
      </c>
      <c r="E318" s="48" t="s">
        <v>1182</v>
      </c>
      <c r="F318" s="48" t="s">
        <v>1689</v>
      </c>
      <c r="G318" s="48" t="s">
        <v>182</v>
      </c>
      <c r="H318" s="48" t="s">
        <v>357</v>
      </c>
      <c r="I318" s="47" t="s">
        <v>1509</v>
      </c>
      <c r="J318" s="47">
        <v>10</v>
      </c>
      <c r="K318" s="49" t="s">
        <v>719</v>
      </c>
      <c r="L318" s="49">
        <v>15</v>
      </c>
      <c r="M318" s="50" t="s">
        <v>39</v>
      </c>
      <c r="N318" s="50" t="s">
        <v>1755</v>
      </c>
      <c r="O318" s="51"/>
      <c r="P318" s="51"/>
      <c r="Q318" s="48"/>
      <c r="S318" s="1">
        <f t="shared" si="95"/>
        <v>0</v>
      </c>
      <c r="T318" s="1">
        <f t="shared" si="96"/>
        <v>0</v>
      </c>
      <c r="U318" s="1">
        <f t="shared" si="97"/>
        <v>0</v>
      </c>
      <c r="V318" s="1">
        <f t="shared" si="98"/>
        <v>0</v>
      </c>
      <c r="W318" s="1">
        <f t="shared" si="99"/>
        <v>0</v>
      </c>
      <c r="X318" s="1">
        <f t="shared" si="100"/>
        <v>0</v>
      </c>
      <c r="Y318" s="1">
        <f t="shared" si="101"/>
        <v>0</v>
      </c>
      <c r="Z318" s="1">
        <f t="shared" si="102"/>
        <v>0</v>
      </c>
      <c r="AA318" s="1">
        <f t="shared" si="103"/>
        <v>0</v>
      </c>
      <c r="AB318" s="1">
        <f t="shared" si="104"/>
        <v>1</v>
      </c>
      <c r="AD318" s="1">
        <f t="shared" si="105"/>
        <v>0</v>
      </c>
      <c r="AE318" s="1">
        <f t="shared" si="106"/>
        <v>0</v>
      </c>
      <c r="AF318" s="1">
        <f t="shared" si="91"/>
        <v>0</v>
      </c>
      <c r="AG318" s="1">
        <f t="shared" si="92"/>
        <v>0</v>
      </c>
      <c r="AH318" s="1">
        <f t="shared" si="93"/>
        <v>0</v>
      </c>
      <c r="AI318" s="1">
        <f t="shared" si="94"/>
        <v>1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869</v>
      </c>
      <c r="E319" s="48" t="s">
        <v>549</v>
      </c>
      <c r="F319" s="48" t="s">
        <v>870</v>
      </c>
      <c r="G319" s="48" t="s">
        <v>317</v>
      </c>
      <c r="H319" s="48" t="s">
        <v>357</v>
      </c>
      <c r="I319" s="47" t="s">
        <v>871</v>
      </c>
      <c r="J319" s="47">
        <v>1</v>
      </c>
      <c r="K319" s="49" t="s">
        <v>719</v>
      </c>
      <c r="L319" s="49">
        <v>25</v>
      </c>
      <c r="M319" s="50" t="s">
        <v>39</v>
      </c>
      <c r="N319" s="50" t="s">
        <v>1750</v>
      </c>
      <c r="O319" s="51"/>
      <c r="P319" s="51"/>
      <c r="Q319" s="48"/>
      <c r="S319" s="1">
        <f t="shared" si="95"/>
        <v>1</v>
      </c>
      <c r="T319" s="1">
        <f t="shared" si="96"/>
        <v>0</v>
      </c>
      <c r="U319" s="1">
        <f t="shared" si="97"/>
        <v>0</v>
      </c>
      <c r="V319" s="1">
        <f t="shared" si="98"/>
        <v>0</v>
      </c>
      <c r="W319" s="1">
        <f t="shared" si="99"/>
        <v>0</v>
      </c>
      <c r="X319" s="1">
        <f t="shared" si="100"/>
        <v>0</v>
      </c>
      <c r="Y319" s="1">
        <f t="shared" si="101"/>
        <v>0</v>
      </c>
      <c r="Z319" s="1">
        <f t="shared" si="102"/>
        <v>0</v>
      </c>
      <c r="AA319" s="1">
        <f t="shared" si="103"/>
        <v>0</v>
      </c>
      <c r="AB319" s="1">
        <f t="shared" si="104"/>
        <v>0</v>
      </c>
      <c r="AD319" s="1">
        <f t="shared" si="105"/>
        <v>0</v>
      </c>
      <c r="AE319" s="1">
        <f t="shared" si="106"/>
        <v>0</v>
      </c>
      <c r="AF319" s="1">
        <f t="shared" si="91"/>
        <v>0</v>
      </c>
      <c r="AG319" s="1">
        <f t="shared" si="92"/>
        <v>0</v>
      </c>
      <c r="AH319" s="1">
        <f t="shared" si="93"/>
        <v>0</v>
      </c>
      <c r="AI319" s="1">
        <f t="shared" si="94"/>
        <v>1</v>
      </c>
    </row>
    <row r="320" spans="1:35" ht="14.25" customHeight="1" x14ac:dyDescent="0.25">
      <c r="A320" s="34">
        <v>0</v>
      </c>
      <c r="B320" s="34">
        <v>2</v>
      </c>
      <c r="C320" s="34">
        <v>3</v>
      </c>
      <c r="D320" s="35" t="s">
        <v>573</v>
      </c>
      <c r="E320" s="35" t="s">
        <v>38</v>
      </c>
      <c r="F320" s="35" t="s">
        <v>239</v>
      </c>
      <c r="G320" s="35" t="s">
        <v>544</v>
      </c>
      <c r="H320" s="35" t="s">
        <v>357</v>
      </c>
      <c r="I320" s="34" t="s">
        <v>406</v>
      </c>
      <c r="J320" s="34">
        <v>1</v>
      </c>
      <c r="K320" s="36" t="s">
        <v>719</v>
      </c>
      <c r="L320" s="36" t="s">
        <v>731</v>
      </c>
      <c r="M320" s="37" t="s">
        <v>732</v>
      </c>
      <c r="N320" s="37" t="s">
        <v>1742</v>
      </c>
      <c r="O320" s="38">
        <v>1</v>
      </c>
      <c r="P320" s="38">
        <v>1</v>
      </c>
      <c r="Q320" s="35"/>
      <c r="S320" s="1">
        <f t="shared" si="95"/>
        <v>1</v>
      </c>
      <c r="T320" s="1">
        <f t="shared" si="96"/>
        <v>0</v>
      </c>
      <c r="U320" s="1">
        <f t="shared" si="97"/>
        <v>0</v>
      </c>
      <c r="V320" s="1">
        <f t="shared" si="98"/>
        <v>0</v>
      </c>
      <c r="W320" s="1">
        <f t="shared" si="99"/>
        <v>0</v>
      </c>
      <c r="X320" s="1">
        <f t="shared" si="100"/>
        <v>0</v>
      </c>
      <c r="Y320" s="1">
        <f t="shared" si="101"/>
        <v>0</v>
      </c>
      <c r="Z320" s="1">
        <f t="shared" si="102"/>
        <v>0</v>
      </c>
      <c r="AA320" s="1">
        <f t="shared" si="103"/>
        <v>0</v>
      </c>
      <c r="AB320" s="1">
        <f t="shared" si="104"/>
        <v>0</v>
      </c>
      <c r="AD320" s="1">
        <f t="shared" si="105"/>
        <v>1</v>
      </c>
      <c r="AE320" s="1">
        <f t="shared" si="106"/>
        <v>0</v>
      </c>
      <c r="AF320" s="1">
        <f t="shared" si="91"/>
        <v>1</v>
      </c>
      <c r="AG320" s="1">
        <f t="shared" si="92"/>
        <v>0</v>
      </c>
      <c r="AH320" s="1">
        <f t="shared" si="93"/>
        <v>1</v>
      </c>
      <c r="AI320" s="1">
        <f t="shared" si="94"/>
        <v>0</v>
      </c>
    </row>
    <row r="321" spans="1:35" ht="14.25" customHeight="1" x14ac:dyDescent="0.25">
      <c r="A321" s="47">
        <v>0</v>
      </c>
      <c r="B321" s="47">
        <v>2</v>
      </c>
      <c r="C321" s="47">
        <v>3</v>
      </c>
      <c r="D321" s="48" t="s">
        <v>857</v>
      </c>
      <c r="E321" s="48" t="s">
        <v>34</v>
      </c>
      <c r="F321" s="48" t="s">
        <v>933</v>
      </c>
      <c r="G321" s="48" t="s">
        <v>643</v>
      </c>
      <c r="H321" s="48" t="s">
        <v>357</v>
      </c>
      <c r="I321" s="47" t="s">
        <v>858</v>
      </c>
      <c r="J321" s="47">
        <v>1</v>
      </c>
      <c r="K321" s="49" t="s">
        <v>961</v>
      </c>
      <c r="L321" s="49" t="s">
        <v>736</v>
      </c>
      <c r="M321" s="50" t="s">
        <v>730</v>
      </c>
      <c r="N321" s="50" t="s">
        <v>1750</v>
      </c>
      <c r="O321" s="51"/>
      <c r="P321" s="51"/>
      <c r="Q321" s="48"/>
      <c r="S321" s="1">
        <f t="shared" si="95"/>
        <v>1</v>
      </c>
      <c r="T321" s="1">
        <f t="shared" si="96"/>
        <v>0</v>
      </c>
      <c r="U321" s="1">
        <f t="shared" si="97"/>
        <v>0</v>
      </c>
      <c r="V321" s="1">
        <f t="shared" si="98"/>
        <v>0</v>
      </c>
      <c r="W321" s="1">
        <f t="shared" si="99"/>
        <v>0</v>
      </c>
      <c r="X321" s="1">
        <f t="shared" si="100"/>
        <v>0</v>
      </c>
      <c r="Y321" s="1">
        <f t="shared" si="101"/>
        <v>0</v>
      </c>
      <c r="Z321" s="1">
        <f t="shared" si="102"/>
        <v>0</v>
      </c>
      <c r="AA321" s="1">
        <f t="shared" si="103"/>
        <v>0</v>
      </c>
      <c r="AB321" s="1">
        <f t="shared" si="104"/>
        <v>0</v>
      </c>
      <c r="AD321" s="1">
        <f t="shared" si="105"/>
        <v>0</v>
      </c>
      <c r="AE321" s="1">
        <f t="shared" si="106"/>
        <v>0</v>
      </c>
      <c r="AF321" s="1">
        <f t="shared" si="91"/>
        <v>0</v>
      </c>
      <c r="AG321" s="1">
        <f t="shared" si="92"/>
        <v>0</v>
      </c>
      <c r="AH321" s="1">
        <f t="shared" si="93"/>
        <v>0</v>
      </c>
      <c r="AI321" s="1">
        <f t="shared" si="94"/>
        <v>1</v>
      </c>
    </row>
    <row r="322" spans="1:35" ht="14.25" customHeight="1" x14ac:dyDescent="0.25">
      <c r="A322" s="47">
        <v>0</v>
      </c>
      <c r="B322" s="47">
        <v>2</v>
      </c>
      <c r="C322" s="47">
        <v>3</v>
      </c>
      <c r="D322" s="48" t="s">
        <v>800</v>
      </c>
      <c r="E322" s="48" t="s">
        <v>32</v>
      </c>
      <c r="F322" s="48" t="s">
        <v>801</v>
      </c>
      <c r="G322" s="48" t="s">
        <v>253</v>
      </c>
      <c r="H322" s="48" t="s">
        <v>357</v>
      </c>
      <c r="I322" s="47" t="s">
        <v>802</v>
      </c>
      <c r="J322" s="47">
        <v>99</v>
      </c>
      <c r="K322" s="49" t="s">
        <v>720</v>
      </c>
      <c r="L322" s="49" t="s">
        <v>729</v>
      </c>
      <c r="M322" s="50" t="s">
        <v>730</v>
      </c>
      <c r="N322" s="50" t="s">
        <v>1752</v>
      </c>
      <c r="O322" s="51"/>
      <c r="P322" s="51"/>
      <c r="Q322" s="48"/>
      <c r="S322" s="1">
        <f t="shared" si="95"/>
        <v>0</v>
      </c>
      <c r="T322" s="1">
        <f t="shared" si="96"/>
        <v>0</v>
      </c>
      <c r="U322" s="1">
        <f t="shared" si="97"/>
        <v>0</v>
      </c>
      <c r="V322" s="1">
        <f t="shared" si="98"/>
        <v>0</v>
      </c>
      <c r="W322" s="1">
        <f t="shared" si="99"/>
        <v>0</v>
      </c>
      <c r="X322" s="1">
        <f t="shared" si="100"/>
        <v>0</v>
      </c>
      <c r="Y322" s="1">
        <f t="shared" si="101"/>
        <v>0</v>
      </c>
      <c r="Z322" s="1">
        <f t="shared" si="102"/>
        <v>0</v>
      </c>
      <c r="AA322" s="1">
        <f t="shared" si="103"/>
        <v>0</v>
      </c>
      <c r="AB322" s="1">
        <f t="shared" si="104"/>
        <v>0</v>
      </c>
      <c r="AD322" s="1">
        <f t="shared" si="105"/>
        <v>0</v>
      </c>
      <c r="AE322" s="1">
        <f t="shared" si="106"/>
        <v>0</v>
      </c>
      <c r="AF322" s="1">
        <f t="shared" si="91"/>
        <v>0</v>
      </c>
      <c r="AG322" s="1">
        <f t="shared" si="92"/>
        <v>0</v>
      </c>
      <c r="AH322" s="1">
        <f t="shared" si="93"/>
        <v>0</v>
      </c>
      <c r="AI322" s="1">
        <f t="shared" si="94"/>
        <v>1</v>
      </c>
    </row>
    <row r="323" spans="1:35" ht="14.25" customHeight="1" x14ac:dyDescent="0.25">
      <c r="A323" s="47">
        <v>0</v>
      </c>
      <c r="B323" s="47">
        <v>2</v>
      </c>
      <c r="C323" s="47">
        <v>3</v>
      </c>
      <c r="D323" s="48" t="s">
        <v>56</v>
      </c>
      <c r="E323" s="48" t="s">
        <v>163</v>
      </c>
      <c r="F323" s="48" t="s">
        <v>221</v>
      </c>
      <c r="G323" s="48" t="s">
        <v>198</v>
      </c>
      <c r="H323" s="48" t="s">
        <v>357</v>
      </c>
      <c r="I323" s="47" t="s">
        <v>556</v>
      </c>
      <c r="J323" s="47">
        <v>99</v>
      </c>
      <c r="K323" s="49" t="s">
        <v>720</v>
      </c>
      <c r="L323" s="49" t="s">
        <v>729</v>
      </c>
      <c r="M323" s="50" t="s">
        <v>730</v>
      </c>
      <c r="N323" s="50" t="s">
        <v>1817</v>
      </c>
      <c r="O323" s="51"/>
      <c r="P323" s="51"/>
      <c r="Q323" s="48"/>
      <c r="S323" s="1">
        <f t="shared" si="95"/>
        <v>0</v>
      </c>
      <c r="T323" s="1">
        <f t="shared" si="96"/>
        <v>0</v>
      </c>
      <c r="U323" s="1">
        <f t="shared" si="97"/>
        <v>0</v>
      </c>
      <c r="V323" s="1">
        <f t="shared" si="98"/>
        <v>0</v>
      </c>
      <c r="W323" s="1">
        <f t="shared" si="99"/>
        <v>0</v>
      </c>
      <c r="X323" s="1">
        <f t="shared" si="100"/>
        <v>0</v>
      </c>
      <c r="Y323" s="1">
        <f t="shared" si="101"/>
        <v>0</v>
      </c>
      <c r="Z323" s="1">
        <f t="shared" si="102"/>
        <v>0</v>
      </c>
      <c r="AA323" s="1">
        <f t="shared" si="103"/>
        <v>0</v>
      </c>
      <c r="AB323" s="1">
        <f t="shared" si="104"/>
        <v>0</v>
      </c>
      <c r="AD323" s="1">
        <f t="shared" si="105"/>
        <v>0</v>
      </c>
      <c r="AE323" s="1">
        <f t="shared" si="106"/>
        <v>0</v>
      </c>
      <c r="AF323" s="1">
        <f t="shared" si="91"/>
        <v>0</v>
      </c>
      <c r="AG323" s="1">
        <f t="shared" si="92"/>
        <v>0</v>
      </c>
      <c r="AH323" s="1">
        <f t="shared" si="93"/>
        <v>0</v>
      </c>
      <c r="AI323" s="1">
        <f t="shared" si="94"/>
        <v>1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1189</v>
      </c>
      <c r="E324" s="48" t="s">
        <v>1349</v>
      </c>
      <c r="F324" s="48" t="s">
        <v>1190</v>
      </c>
      <c r="G324" s="48" t="s">
        <v>305</v>
      </c>
      <c r="H324" s="48" t="s">
        <v>357</v>
      </c>
      <c r="I324" s="47" t="s">
        <v>1191</v>
      </c>
      <c r="J324" s="47">
        <v>1</v>
      </c>
      <c r="K324" s="49" t="s">
        <v>962</v>
      </c>
      <c r="L324" s="49" t="s">
        <v>700</v>
      </c>
      <c r="M324" s="50" t="s">
        <v>1429</v>
      </c>
      <c r="N324" s="50" t="s">
        <v>1750</v>
      </c>
      <c r="O324" s="51"/>
      <c r="P324" s="51"/>
      <c r="Q324" s="48"/>
      <c r="S324" s="1">
        <f t="shared" si="95"/>
        <v>1</v>
      </c>
      <c r="T324" s="1">
        <f t="shared" si="96"/>
        <v>0</v>
      </c>
      <c r="U324" s="1">
        <f t="shared" si="97"/>
        <v>0</v>
      </c>
      <c r="V324" s="1">
        <f t="shared" si="98"/>
        <v>0</v>
      </c>
      <c r="W324" s="1">
        <f t="shared" si="99"/>
        <v>0</v>
      </c>
      <c r="X324" s="1">
        <f t="shared" si="100"/>
        <v>0</v>
      </c>
      <c r="Y324" s="1">
        <f t="shared" si="101"/>
        <v>0</v>
      </c>
      <c r="Z324" s="1">
        <f t="shared" si="102"/>
        <v>0</v>
      </c>
      <c r="AA324" s="1">
        <f t="shared" si="103"/>
        <v>0</v>
      </c>
      <c r="AB324" s="1">
        <f t="shared" si="104"/>
        <v>0</v>
      </c>
      <c r="AD324" s="1">
        <f t="shared" si="105"/>
        <v>0</v>
      </c>
      <c r="AE324" s="1">
        <f t="shared" si="106"/>
        <v>0</v>
      </c>
      <c r="AF324" s="1">
        <f t="shared" si="91"/>
        <v>0</v>
      </c>
      <c r="AG324" s="1">
        <f t="shared" si="92"/>
        <v>0</v>
      </c>
      <c r="AH324" s="1">
        <f t="shared" si="93"/>
        <v>0</v>
      </c>
      <c r="AI324" s="1">
        <f t="shared" si="94"/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1186</v>
      </c>
      <c r="E325" s="48" t="s">
        <v>1349</v>
      </c>
      <c r="F325" s="48" t="s">
        <v>1187</v>
      </c>
      <c r="G325" s="48" t="s">
        <v>1066</v>
      </c>
      <c r="H325" s="48" t="s">
        <v>357</v>
      </c>
      <c r="I325" s="47" t="s">
        <v>1188</v>
      </c>
      <c r="J325" s="47">
        <v>1</v>
      </c>
      <c r="K325" s="49" t="s">
        <v>720</v>
      </c>
      <c r="L325" s="49" t="s">
        <v>700</v>
      </c>
      <c r="M325" s="50" t="s">
        <v>1429</v>
      </c>
      <c r="N325" s="50" t="s">
        <v>1750</v>
      </c>
      <c r="O325" s="51"/>
      <c r="P325" s="51"/>
      <c r="Q325" s="48"/>
      <c r="S325" s="1">
        <f t="shared" si="95"/>
        <v>1</v>
      </c>
      <c r="T325" s="1">
        <f t="shared" si="96"/>
        <v>0</v>
      </c>
      <c r="U325" s="1">
        <f t="shared" si="97"/>
        <v>0</v>
      </c>
      <c r="V325" s="1">
        <f t="shared" si="98"/>
        <v>0</v>
      </c>
      <c r="W325" s="1">
        <f t="shared" si="99"/>
        <v>0</v>
      </c>
      <c r="X325" s="1">
        <f t="shared" si="100"/>
        <v>0</v>
      </c>
      <c r="Y325" s="1">
        <f t="shared" si="101"/>
        <v>0</v>
      </c>
      <c r="Z325" s="1">
        <f t="shared" si="102"/>
        <v>0</v>
      </c>
      <c r="AA325" s="1">
        <f t="shared" si="103"/>
        <v>0</v>
      </c>
      <c r="AB325" s="1">
        <f t="shared" si="104"/>
        <v>0</v>
      </c>
      <c r="AD325" s="1">
        <f t="shared" si="105"/>
        <v>0</v>
      </c>
      <c r="AE325" s="1">
        <f t="shared" si="106"/>
        <v>0</v>
      </c>
      <c r="AF325" s="1">
        <f t="shared" si="91"/>
        <v>0</v>
      </c>
      <c r="AG325" s="1">
        <f t="shared" si="92"/>
        <v>0</v>
      </c>
      <c r="AH325" s="1">
        <f t="shared" si="93"/>
        <v>0</v>
      </c>
      <c r="AI325" s="1">
        <f t="shared" si="94"/>
        <v>1</v>
      </c>
    </row>
    <row r="326" spans="1:35" ht="14.25" customHeight="1" x14ac:dyDescent="0.25">
      <c r="A326" s="34">
        <v>0</v>
      </c>
      <c r="B326" s="34">
        <v>2</v>
      </c>
      <c r="C326" s="34">
        <v>3</v>
      </c>
      <c r="D326" s="35" t="s">
        <v>1308</v>
      </c>
      <c r="E326" s="35" t="s">
        <v>32</v>
      </c>
      <c r="F326" s="35" t="s">
        <v>1309</v>
      </c>
      <c r="G326" s="35" t="s">
        <v>224</v>
      </c>
      <c r="H326" s="35" t="s">
        <v>357</v>
      </c>
      <c r="I326" s="34" t="s">
        <v>1704</v>
      </c>
      <c r="J326" s="34">
        <v>99</v>
      </c>
      <c r="K326" s="36" t="s">
        <v>720</v>
      </c>
      <c r="L326" s="36" t="s">
        <v>723</v>
      </c>
      <c r="M326" s="37" t="s">
        <v>1310</v>
      </c>
      <c r="N326" s="37" t="s">
        <v>1742</v>
      </c>
      <c r="O326" s="38">
        <v>1</v>
      </c>
      <c r="P326" s="38">
        <v>1</v>
      </c>
      <c r="Q326" s="35"/>
      <c r="S326" s="1">
        <f t="shared" si="95"/>
        <v>0</v>
      </c>
      <c r="T326" s="1">
        <f t="shared" si="96"/>
        <v>0</v>
      </c>
      <c r="U326" s="1">
        <f t="shared" si="97"/>
        <v>0</v>
      </c>
      <c r="V326" s="1">
        <f t="shared" si="98"/>
        <v>0</v>
      </c>
      <c r="W326" s="1">
        <f t="shared" si="99"/>
        <v>0</v>
      </c>
      <c r="X326" s="1">
        <f t="shared" si="100"/>
        <v>0</v>
      </c>
      <c r="Y326" s="1">
        <f t="shared" si="101"/>
        <v>0</v>
      </c>
      <c r="Z326" s="1">
        <f t="shared" si="102"/>
        <v>0</v>
      </c>
      <c r="AA326" s="1">
        <f t="shared" si="103"/>
        <v>0</v>
      </c>
      <c r="AB326" s="1">
        <f t="shared" si="104"/>
        <v>0</v>
      </c>
      <c r="AD326" s="1">
        <f t="shared" si="105"/>
        <v>1</v>
      </c>
      <c r="AE326" s="1">
        <f t="shared" si="106"/>
        <v>0</v>
      </c>
      <c r="AF326" s="1">
        <f t="shared" si="91"/>
        <v>1</v>
      </c>
      <c r="AG326" s="1">
        <f t="shared" si="92"/>
        <v>0</v>
      </c>
      <c r="AH326" s="1">
        <f t="shared" si="93"/>
        <v>1</v>
      </c>
      <c r="AI326" s="1">
        <f t="shared" si="94"/>
        <v>0</v>
      </c>
    </row>
    <row r="327" spans="1:35" ht="14.25" customHeight="1" x14ac:dyDescent="0.25">
      <c r="A327" s="34">
        <v>0</v>
      </c>
      <c r="B327" s="34">
        <v>2</v>
      </c>
      <c r="C327" s="34">
        <v>3</v>
      </c>
      <c r="D327" s="35" t="s">
        <v>768</v>
      </c>
      <c r="E327" s="35" t="s">
        <v>920</v>
      </c>
      <c r="F327" s="35" t="s">
        <v>769</v>
      </c>
      <c r="G327" s="35" t="s">
        <v>222</v>
      </c>
      <c r="H327" s="35" t="s">
        <v>357</v>
      </c>
      <c r="I327" s="34" t="s">
        <v>770</v>
      </c>
      <c r="J327" s="34">
        <v>8</v>
      </c>
      <c r="K327" s="36" t="s">
        <v>962</v>
      </c>
      <c r="L327" s="36" t="s">
        <v>736</v>
      </c>
      <c r="M327" s="37" t="s">
        <v>730</v>
      </c>
      <c r="N327" s="37" t="s">
        <v>1763</v>
      </c>
      <c r="O327" s="38">
        <v>1</v>
      </c>
      <c r="P327" s="38"/>
      <c r="Q327" s="35"/>
      <c r="S327" s="1">
        <f t="shared" si="95"/>
        <v>0</v>
      </c>
      <c r="T327" s="1">
        <f t="shared" si="96"/>
        <v>0</v>
      </c>
      <c r="U327" s="1">
        <f t="shared" si="97"/>
        <v>0</v>
      </c>
      <c r="V327" s="1">
        <f t="shared" si="98"/>
        <v>0</v>
      </c>
      <c r="W327" s="1">
        <f t="shared" si="99"/>
        <v>0</v>
      </c>
      <c r="X327" s="1">
        <f t="shared" si="100"/>
        <v>0</v>
      </c>
      <c r="Y327" s="1">
        <f t="shared" si="101"/>
        <v>0</v>
      </c>
      <c r="Z327" s="1">
        <f t="shared" si="102"/>
        <v>1</v>
      </c>
      <c r="AA327" s="1">
        <f t="shared" si="103"/>
        <v>0</v>
      </c>
      <c r="AB327" s="1">
        <f t="shared" si="104"/>
        <v>0</v>
      </c>
      <c r="AD327" s="1">
        <f t="shared" si="105"/>
        <v>0</v>
      </c>
      <c r="AE327" s="1">
        <f t="shared" si="106"/>
        <v>1</v>
      </c>
      <c r="AF327" s="1">
        <f t="shared" si="91"/>
        <v>0</v>
      </c>
      <c r="AG327" s="1">
        <f t="shared" si="92"/>
        <v>1</v>
      </c>
      <c r="AH327" s="1">
        <f t="shared" si="93"/>
        <v>0</v>
      </c>
      <c r="AI327" s="1">
        <f t="shared" si="94"/>
        <v>1</v>
      </c>
    </row>
    <row r="328" spans="1:35" ht="14.25" customHeight="1" x14ac:dyDescent="0.25">
      <c r="A328" s="47">
        <v>0</v>
      </c>
      <c r="B328" s="47">
        <v>2</v>
      </c>
      <c r="C328" s="47">
        <v>3</v>
      </c>
      <c r="D328" s="48" t="s">
        <v>1510</v>
      </c>
      <c r="E328" s="48" t="s">
        <v>1511</v>
      </c>
      <c r="F328" s="48" t="s">
        <v>1512</v>
      </c>
      <c r="G328" s="48" t="s">
        <v>240</v>
      </c>
      <c r="H328" s="48" t="s">
        <v>357</v>
      </c>
      <c r="I328" s="47" t="s">
        <v>1513</v>
      </c>
      <c r="J328" s="47">
        <v>4</v>
      </c>
      <c r="K328" s="49" t="s">
        <v>719</v>
      </c>
      <c r="L328" s="49">
        <v>15</v>
      </c>
      <c r="M328" s="50" t="s">
        <v>39</v>
      </c>
      <c r="N328" s="50" t="s">
        <v>1817</v>
      </c>
      <c r="O328" s="51"/>
      <c r="P328" s="51"/>
      <c r="Q328" s="48"/>
      <c r="S328" s="1">
        <f t="shared" si="95"/>
        <v>0</v>
      </c>
      <c r="T328" s="1">
        <f t="shared" si="96"/>
        <v>0</v>
      </c>
      <c r="U328" s="1">
        <f t="shared" si="97"/>
        <v>0</v>
      </c>
      <c r="V328" s="1">
        <f t="shared" si="98"/>
        <v>1</v>
      </c>
      <c r="W328" s="1">
        <f t="shared" si="99"/>
        <v>0</v>
      </c>
      <c r="X328" s="1">
        <f t="shared" si="100"/>
        <v>0</v>
      </c>
      <c r="Y328" s="1">
        <f t="shared" si="101"/>
        <v>0</v>
      </c>
      <c r="Z328" s="1">
        <f t="shared" si="102"/>
        <v>0</v>
      </c>
      <c r="AA328" s="1">
        <f t="shared" si="103"/>
        <v>0</v>
      </c>
      <c r="AB328" s="1">
        <f t="shared" si="104"/>
        <v>0</v>
      </c>
      <c r="AD328" s="1">
        <f t="shared" si="105"/>
        <v>0</v>
      </c>
      <c r="AE328" s="1">
        <f t="shared" si="106"/>
        <v>0</v>
      </c>
      <c r="AF328" s="1">
        <f t="shared" ref="AF328:AF391" si="107">+O328*P328*(1-A328)</f>
        <v>0</v>
      </c>
      <c r="AG328" s="1">
        <f t="shared" ref="AG328:AG391" si="108">O328*(1-P328)*(1-A328)</f>
        <v>0</v>
      </c>
      <c r="AH328" s="1">
        <f t="shared" ref="AH328:AH391" si="109">+P328*(1-A328)</f>
        <v>0</v>
      </c>
      <c r="AI328" s="1">
        <f t="shared" ref="AI328:AI391" si="110">+(1-A328)*(1-P328)</f>
        <v>1</v>
      </c>
    </row>
    <row r="329" spans="1:35" ht="14.25" customHeight="1" x14ac:dyDescent="0.25">
      <c r="A329" s="34">
        <v>0</v>
      </c>
      <c r="B329" s="34">
        <v>2</v>
      </c>
      <c r="C329" s="34">
        <v>3</v>
      </c>
      <c r="D329" s="35" t="s">
        <v>1568</v>
      </c>
      <c r="E329" s="35" t="s">
        <v>1569</v>
      </c>
      <c r="F329" s="35" t="s">
        <v>1570</v>
      </c>
      <c r="G329" s="35" t="s">
        <v>1571</v>
      </c>
      <c r="H329" s="35" t="s">
        <v>357</v>
      </c>
      <c r="I329" s="34" t="s">
        <v>1572</v>
      </c>
      <c r="J329" s="34">
        <v>7</v>
      </c>
      <c r="K329" s="36" t="s">
        <v>962</v>
      </c>
      <c r="L329" s="36">
        <v>10</v>
      </c>
      <c r="M329" s="37" t="s">
        <v>39</v>
      </c>
      <c r="N329" s="37" t="s">
        <v>1758</v>
      </c>
      <c r="O329" s="38">
        <v>1</v>
      </c>
      <c r="P329" s="38"/>
      <c r="Q329" s="35"/>
      <c r="S329" s="1">
        <f t="shared" si="95"/>
        <v>0</v>
      </c>
      <c r="T329" s="1">
        <f t="shared" si="96"/>
        <v>0</v>
      </c>
      <c r="U329" s="1">
        <f t="shared" si="97"/>
        <v>0</v>
      </c>
      <c r="V329" s="1">
        <f t="shared" si="98"/>
        <v>0</v>
      </c>
      <c r="W329" s="1">
        <f t="shared" si="99"/>
        <v>0</v>
      </c>
      <c r="X329" s="1">
        <f t="shared" si="100"/>
        <v>0</v>
      </c>
      <c r="Y329" s="1">
        <f t="shared" si="101"/>
        <v>1</v>
      </c>
      <c r="Z329" s="1">
        <f t="shared" si="102"/>
        <v>0</v>
      </c>
      <c r="AA329" s="1">
        <f t="shared" si="103"/>
        <v>0</v>
      </c>
      <c r="AB329" s="1">
        <f t="shared" si="104"/>
        <v>0</v>
      </c>
      <c r="AD329" s="1">
        <f t="shared" si="105"/>
        <v>0</v>
      </c>
      <c r="AE329" s="1">
        <f t="shared" si="106"/>
        <v>1</v>
      </c>
      <c r="AF329" s="1">
        <f t="shared" si="107"/>
        <v>0</v>
      </c>
      <c r="AG329" s="1">
        <f t="shared" si="108"/>
        <v>1</v>
      </c>
      <c r="AH329" s="1">
        <f t="shared" si="109"/>
        <v>0</v>
      </c>
      <c r="AI329" s="1">
        <f t="shared" si="110"/>
        <v>1</v>
      </c>
    </row>
    <row r="330" spans="1:35" ht="14.25" customHeight="1" x14ac:dyDescent="0.25">
      <c r="A330" s="47">
        <v>0</v>
      </c>
      <c r="B330" s="47">
        <v>2</v>
      </c>
      <c r="C330" s="47">
        <v>3</v>
      </c>
      <c r="D330" s="48" t="s">
        <v>848</v>
      </c>
      <c r="E330" s="48" t="s">
        <v>32</v>
      </c>
      <c r="F330" s="48" t="s">
        <v>850</v>
      </c>
      <c r="G330" s="48" t="s">
        <v>39</v>
      </c>
      <c r="H330" s="48" t="s">
        <v>357</v>
      </c>
      <c r="I330" s="47" t="s">
        <v>849</v>
      </c>
      <c r="J330" s="47">
        <v>1</v>
      </c>
      <c r="K330" s="49" t="s">
        <v>720</v>
      </c>
      <c r="L330" s="49" t="s">
        <v>701</v>
      </c>
      <c r="M330" s="50" t="s">
        <v>1429</v>
      </c>
      <c r="N330" s="50" t="s">
        <v>1750</v>
      </c>
      <c r="O330" s="51"/>
      <c r="P330" s="51"/>
      <c r="Q330" s="48"/>
      <c r="S330" s="1">
        <f t="shared" si="95"/>
        <v>1</v>
      </c>
      <c r="T330" s="1">
        <f t="shared" si="96"/>
        <v>0</v>
      </c>
      <c r="U330" s="1">
        <f t="shared" si="97"/>
        <v>0</v>
      </c>
      <c r="V330" s="1">
        <f t="shared" si="98"/>
        <v>0</v>
      </c>
      <c r="W330" s="1">
        <f t="shared" si="99"/>
        <v>0</v>
      </c>
      <c r="X330" s="1">
        <f t="shared" si="100"/>
        <v>0</v>
      </c>
      <c r="Y330" s="1">
        <f t="shared" si="101"/>
        <v>0</v>
      </c>
      <c r="Z330" s="1">
        <f t="shared" si="102"/>
        <v>0</v>
      </c>
      <c r="AA330" s="1">
        <f t="shared" si="103"/>
        <v>0</v>
      </c>
      <c r="AB330" s="1">
        <f t="shared" si="104"/>
        <v>0</v>
      </c>
      <c r="AD330" s="1">
        <f t="shared" si="105"/>
        <v>0</v>
      </c>
      <c r="AE330" s="1">
        <f t="shared" si="106"/>
        <v>0</v>
      </c>
      <c r="AF330" s="1">
        <f t="shared" si="107"/>
        <v>0</v>
      </c>
      <c r="AG330" s="1">
        <f t="shared" si="108"/>
        <v>0</v>
      </c>
      <c r="AH330" s="1">
        <f t="shared" si="109"/>
        <v>0</v>
      </c>
      <c r="AI330" s="1">
        <f t="shared" si="110"/>
        <v>1</v>
      </c>
    </row>
    <row r="331" spans="1:35" ht="14.25" customHeight="1" x14ac:dyDescent="0.25">
      <c r="A331" s="15">
        <v>0</v>
      </c>
      <c r="B331" s="15">
        <v>2</v>
      </c>
      <c r="C331" s="15">
        <v>4</v>
      </c>
      <c r="D331" s="16" t="s">
        <v>771</v>
      </c>
      <c r="E331" s="16" t="s">
        <v>772</v>
      </c>
      <c r="F331" s="16" t="s">
        <v>773</v>
      </c>
      <c r="G331" s="16" t="s">
        <v>774</v>
      </c>
      <c r="H331" s="16" t="s">
        <v>357</v>
      </c>
      <c r="I331" s="15" t="s">
        <v>775</v>
      </c>
      <c r="J331" s="15">
        <v>99</v>
      </c>
      <c r="K331" s="10" t="s">
        <v>710</v>
      </c>
      <c r="L331" s="10">
        <v>15</v>
      </c>
      <c r="M331" s="19" t="s">
        <v>776</v>
      </c>
      <c r="N331" s="19"/>
      <c r="Q331" s="16"/>
      <c r="S331" s="1">
        <f t="shared" si="95"/>
        <v>0</v>
      </c>
      <c r="T331" s="1">
        <f t="shared" si="96"/>
        <v>0</v>
      </c>
      <c r="U331" s="1">
        <f t="shared" si="97"/>
        <v>0</v>
      </c>
      <c r="V331" s="1">
        <f t="shared" si="98"/>
        <v>0</v>
      </c>
      <c r="W331" s="1">
        <f t="shared" si="99"/>
        <v>0</v>
      </c>
      <c r="X331" s="1">
        <f t="shared" si="100"/>
        <v>0</v>
      </c>
      <c r="Y331" s="1">
        <f t="shared" si="101"/>
        <v>0</v>
      </c>
      <c r="Z331" s="1">
        <f t="shared" si="102"/>
        <v>0</v>
      </c>
      <c r="AA331" s="1">
        <f t="shared" si="103"/>
        <v>0</v>
      </c>
      <c r="AB331" s="1">
        <f t="shared" si="104"/>
        <v>0</v>
      </c>
      <c r="AD331" s="1">
        <f t="shared" si="105"/>
        <v>0</v>
      </c>
      <c r="AE331" s="1">
        <f t="shared" si="106"/>
        <v>0</v>
      </c>
      <c r="AF331" s="1">
        <f t="shared" si="107"/>
        <v>0</v>
      </c>
      <c r="AG331" s="1">
        <f t="shared" si="108"/>
        <v>0</v>
      </c>
      <c r="AH331" s="1">
        <f t="shared" si="109"/>
        <v>0</v>
      </c>
      <c r="AI331" s="1">
        <f t="shared" si="110"/>
        <v>1</v>
      </c>
    </row>
    <row r="332" spans="1:35" ht="14.25" customHeight="1" x14ac:dyDescent="0.25">
      <c r="A332" s="47">
        <v>0</v>
      </c>
      <c r="B332" s="47">
        <v>2</v>
      </c>
      <c r="C332" s="47">
        <v>4</v>
      </c>
      <c r="D332" s="48" t="s">
        <v>805</v>
      </c>
      <c r="E332" s="48" t="s">
        <v>915</v>
      </c>
      <c r="F332" s="48" t="s">
        <v>932</v>
      </c>
      <c r="G332" s="48" t="s">
        <v>210</v>
      </c>
      <c r="H332" s="48" t="s">
        <v>357</v>
      </c>
      <c r="I332" s="47" t="s">
        <v>1377</v>
      </c>
      <c r="J332" s="47">
        <v>3</v>
      </c>
      <c r="K332" s="49" t="s">
        <v>710</v>
      </c>
      <c r="L332" s="49">
        <v>20</v>
      </c>
      <c r="M332" s="50" t="s">
        <v>1431</v>
      </c>
      <c r="N332" s="50" t="s">
        <v>1817</v>
      </c>
      <c r="O332" s="51"/>
      <c r="P332" s="51"/>
      <c r="Q332" s="48"/>
      <c r="S332" s="1">
        <f t="shared" ref="S332:S395" si="111">IF(J332=$S$7,1,0)</f>
        <v>0</v>
      </c>
      <c r="T332" s="1">
        <f t="shared" ref="T332:T395" si="112">IF(J332=$T$7,1,0)</f>
        <v>0</v>
      </c>
      <c r="U332" s="1">
        <f t="shared" ref="U332:U395" si="113">IF(J332=$U$7,1,0)</f>
        <v>1</v>
      </c>
      <c r="V332" s="1">
        <f t="shared" ref="V332:V395" si="114">IF(J332=$V$7,1,0)</f>
        <v>0</v>
      </c>
      <c r="W332" s="1">
        <f t="shared" ref="W332:W395" si="115">IF(J332=$W$7,1,0)</f>
        <v>0</v>
      </c>
      <c r="X332" s="1">
        <f t="shared" ref="X332:X395" si="116">IF(J332=$X$7,1,0)</f>
        <v>0</v>
      </c>
      <c r="Y332" s="1">
        <f t="shared" ref="Y332:Y395" si="117">IF(J332=$Y$7,1,0)</f>
        <v>0</v>
      </c>
      <c r="Z332" s="1">
        <f t="shared" ref="Z332:Z395" si="118">IF(J332=$Z$7,1,0)</f>
        <v>0</v>
      </c>
      <c r="AA332" s="1">
        <f t="shared" ref="AA332:AA395" si="119">IF(J332=$AA$7,1,0)</f>
        <v>0</v>
      </c>
      <c r="AB332" s="1">
        <f t="shared" ref="AB332:AB395" si="120">IF(J332=$AB$7,1,0)</f>
        <v>0</v>
      </c>
      <c r="AD332" s="1">
        <f t="shared" ref="AD332:AD395" si="121">+O332*P332</f>
        <v>0</v>
      </c>
      <c r="AE332" s="1">
        <f t="shared" ref="AE332:AE395" si="122">O332*(1-P332)</f>
        <v>0</v>
      </c>
      <c r="AF332" s="1">
        <f t="shared" si="107"/>
        <v>0</v>
      </c>
      <c r="AG332" s="1">
        <f t="shared" si="108"/>
        <v>0</v>
      </c>
      <c r="AH332" s="1">
        <f t="shared" si="109"/>
        <v>0</v>
      </c>
      <c r="AI332" s="1">
        <f t="shared" si="110"/>
        <v>1</v>
      </c>
    </row>
    <row r="333" spans="1:35" ht="14.25" customHeight="1" x14ac:dyDescent="0.25">
      <c r="A333" s="60">
        <v>0</v>
      </c>
      <c r="B333" s="60">
        <v>2</v>
      </c>
      <c r="C333" s="60">
        <v>4</v>
      </c>
      <c r="D333" s="61" t="s">
        <v>572</v>
      </c>
      <c r="E333" s="61" t="s">
        <v>37</v>
      </c>
      <c r="F333" s="61" t="s">
        <v>207</v>
      </c>
      <c r="G333" s="61" t="s">
        <v>39</v>
      </c>
      <c r="H333" s="61" t="s">
        <v>357</v>
      </c>
      <c r="I333" s="60" t="s">
        <v>392</v>
      </c>
      <c r="J333" s="60">
        <v>6</v>
      </c>
      <c r="K333" s="62" t="s">
        <v>710</v>
      </c>
      <c r="L333" s="62" t="s">
        <v>39</v>
      </c>
      <c r="M333" s="63" t="s">
        <v>39</v>
      </c>
      <c r="N333" s="64"/>
      <c r="O333" s="65"/>
      <c r="P333" s="65"/>
      <c r="Q333" s="61"/>
      <c r="S333" s="1">
        <f t="shared" si="111"/>
        <v>0</v>
      </c>
      <c r="T333" s="1">
        <f t="shared" si="112"/>
        <v>0</v>
      </c>
      <c r="U333" s="1">
        <f t="shared" si="113"/>
        <v>0</v>
      </c>
      <c r="V333" s="1">
        <f t="shared" si="114"/>
        <v>0</v>
      </c>
      <c r="W333" s="1">
        <f t="shared" si="115"/>
        <v>0</v>
      </c>
      <c r="X333" s="1">
        <f t="shared" si="116"/>
        <v>1</v>
      </c>
      <c r="Y333" s="1">
        <f t="shared" si="117"/>
        <v>0</v>
      </c>
      <c r="Z333" s="1">
        <f t="shared" si="118"/>
        <v>0</v>
      </c>
      <c r="AA333" s="1">
        <f t="shared" si="119"/>
        <v>0</v>
      </c>
      <c r="AB333" s="1">
        <f t="shared" si="120"/>
        <v>0</v>
      </c>
      <c r="AD333" s="1">
        <f t="shared" si="121"/>
        <v>0</v>
      </c>
      <c r="AE333" s="1">
        <f t="shared" si="122"/>
        <v>0</v>
      </c>
      <c r="AF333" s="1">
        <f t="shared" si="107"/>
        <v>0</v>
      </c>
      <c r="AG333" s="1">
        <f t="shared" si="108"/>
        <v>0</v>
      </c>
      <c r="AH333" s="1">
        <f t="shared" si="109"/>
        <v>0</v>
      </c>
      <c r="AI333" s="1">
        <f t="shared" si="110"/>
        <v>1</v>
      </c>
    </row>
    <row r="334" spans="1:35" ht="14.25" customHeight="1" x14ac:dyDescent="0.25">
      <c r="A334" s="47">
        <v>0</v>
      </c>
      <c r="B334" s="47">
        <v>2</v>
      </c>
      <c r="C334" s="47">
        <v>4</v>
      </c>
      <c r="D334" s="48" t="s">
        <v>658</v>
      </c>
      <c r="E334" s="48" t="s">
        <v>917</v>
      </c>
      <c r="F334" s="48" t="s">
        <v>629</v>
      </c>
      <c r="G334" s="48" t="s">
        <v>344</v>
      </c>
      <c r="H334" s="48" t="s">
        <v>357</v>
      </c>
      <c r="I334" s="47" t="s">
        <v>630</v>
      </c>
      <c r="J334" s="47">
        <v>10</v>
      </c>
      <c r="K334" s="49" t="s">
        <v>961</v>
      </c>
      <c r="L334" s="49" t="s">
        <v>711</v>
      </c>
      <c r="M334" s="50" t="s">
        <v>1433</v>
      </c>
      <c r="N334" s="50" t="s">
        <v>1749</v>
      </c>
      <c r="O334" s="51"/>
      <c r="P334" s="51"/>
      <c r="Q334" s="48"/>
      <c r="S334" s="1">
        <f t="shared" si="111"/>
        <v>0</v>
      </c>
      <c r="T334" s="1">
        <f t="shared" si="112"/>
        <v>0</v>
      </c>
      <c r="U334" s="1">
        <f t="shared" si="113"/>
        <v>0</v>
      </c>
      <c r="V334" s="1">
        <f t="shared" si="114"/>
        <v>0</v>
      </c>
      <c r="W334" s="1">
        <f t="shared" si="115"/>
        <v>0</v>
      </c>
      <c r="X334" s="1">
        <f t="shared" si="116"/>
        <v>0</v>
      </c>
      <c r="Y334" s="1">
        <f t="shared" si="117"/>
        <v>0</v>
      </c>
      <c r="Z334" s="1">
        <f t="shared" si="118"/>
        <v>0</v>
      </c>
      <c r="AA334" s="1">
        <f t="shared" si="119"/>
        <v>0</v>
      </c>
      <c r="AB334" s="1">
        <f t="shared" si="120"/>
        <v>1</v>
      </c>
      <c r="AD334" s="1">
        <f t="shared" si="121"/>
        <v>0</v>
      </c>
      <c r="AE334" s="1">
        <f t="shared" si="122"/>
        <v>0</v>
      </c>
      <c r="AF334" s="1">
        <f t="shared" si="107"/>
        <v>0</v>
      </c>
      <c r="AG334" s="1">
        <f t="shared" si="108"/>
        <v>0</v>
      </c>
      <c r="AH334" s="1">
        <f t="shared" si="109"/>
        <v>0</v>
      </c>
      <c r="AI334" s="1">
        <f t="shared" si="110"/>
        <v>1</v>
      </c>
    </row>
    <row r="335" spans="1:35" ht="14.25" customHeight="1" x14ac:dyDescent="0.25">
      <c r="A335" s="34">
        <v>0</v>
      </c>
      <c r="B335" s="34">
        <v>2</v>
      </c>
      <c r="C335" s="34">
        <v>4</v>
      </c>
      <c r="D335" s="35" t="s">
        <v>76</v>
      </c>
      <c r="E335" s="35" t="s">
        <v>35</v>
      </c>
      <c r="F335" s="35" t="s">
        <v>269</v>
      </c>
      <c r="G335" s="35" t="s">
        <v>215</v>
      </c>
      <c r="H335" s="35" t="s">
        <v>357</v>
      </c>
      <c r="I335" s="34" t="s">
        <v>952</v>
      </c>
      <c r="J335" s="34">
        <v>1</v>
      </c>
      <c r="K335" s="36" t="s">
        <v>720</v>
      </c>
      <c r="L335" s="36" t="s">
        <v>711</v>
      </c>
      <c r="M335" s="37" t="s">
        <v>1434</v>
      </c>
      <c r="N335" s="37" t="s">
        <v>1758</v>
      </c>
      <c r="O335" s="38">
        <v>1</v>
      </c>
      <c r="P335" s="38"/>
      <c r="Q335" s="35"/>
      <c r="S335" s="1">
        <f t="shared" si="111"/>
        <v>1</v>
      </c>
      <c r="T335" s="1">
        <f t="shared" si="112"/>
        <v>0</v>
      </c>
      <c r="U335" s="1">
        <f t="shared" si="113"/>
        <v>0</v>
      </c>
      <c r="V335" s="1">
        <f t="shared" si="114"/>
        <v>0</v>
      </c>
      <c r="W335" s="1">
        <f t="shared" si="115"/>
        <v>0</v>
      </c>
      <c r="X335" s="1">
        <f t="shared" si="116"/>
        <v>0</v>
      </c>
      <c r="Y335" s="1">
        <f t="shared" si="117"/>
        <v>0</v>
      </c>
      <c r="Z335" s="1">
        <f t="shared" si="118"/>
        <v>0</v>
      </c>
      <c r="AA335" s="1">
        <f t="shared" si="119"/>
        <v>0</v>
      </c>
      <c r="AB335" s="1">
        <f t="shared" si="120"/>
        <v>0</v>
      </c>
      <c r="AD335" s="1">
        <f t="shared" si="121"/>
        <v>0</v>
      </c>
      <c r="AE335" s="1">
        <f t="shared" si="122"/>
        <v>1</v>
      </c>
      <c r="AF335" s="1">
        <f t="shared" si="107"/>
        <v>0</v>
      </c>
      <c r="AG335" s="1">
        <f t="shared" si="108"/>
        <v>1</v>
      </c>
      <c r="AH335" s="1">
        <f t="shared" si="109"/>
        <v>0</v>
      </c>
      <c r="AI335" s="1">
        <f t="shared" si="110"/>
        <v>1</v>
      </c>
    </row>
    <row r="336" spans="1:35" ht="14.25" customHeight="1" x14ac:dyDescent="0.25">
      <c r="A336" s="47">
        <v>0</v>
      </c>
      <c r="B336" s="47">
        <v>2</v>
      </c>
      <c r="C336" s="47">
        <v>4</v>
      </c>
      <c r="D336" s="48" t="s">
        <v>926</v>
      </c>
      <c r="E336" s="48" t="s">
        <v>919</v>
      </c>
      <c r="F336" s="48" t="s">
        <v>789</v>
      </c>
      <c r="G336" s="48" t="s">
        <v>288</v>
      </c>
      <c r="H336" s="48" t="s">
        <v>357</v>
      </c>
      <c r="I336" s="47" t="s">
        <v>953</v>
      </c>
      <c r="J336" s="47">
        <v>4</v>
      </c>
      <c r="K336" s="49" t="s">
        <v>720</v>
      </c>
      <c r="L336" s="49" t="s">
        <v>703</v>
      </c>
      <c r="M336" s="50" t="s">
        <v>1435</v>
      </c>
      <c r="N336" s="50" t="s">
        <v>1749</v>
      </c>
      <c r="O336" s="51"/>
      <c r="P336" s="51"/>
      <c r="Q336" s="48"/>
      <c r="S336" s="1">
        <f t="shared" si="111"/>
        <v>0</v>
      </c>
      <c r="T336" s="1">
        <f t="shared" si="112"/>
        <v>0</v>
      </c>
      <c r="U336" s="1">
        <f t="shared" si="113"/>
        <v>0</v>
      </c>
      <c r="V336" s="1">
        <f t="shared" si="114"/>
        <v>1</v>
      </c>
      <c r="W336" s="1">
        <f t="shared" si="115"/>
        <v>0</v>
      </c>
      <c r="X336" s="1">
        <f t="shared" si="116"/>
        <v>0</v>
      </c>
      <c r="Y336" s="1">
        <f t="shared" si="117"/>
        <v>0</v>
      </c>
      <c r="Z336" s="1">
        <f t="shared" si="118"/>
        <v>0</v>
      </c>
      <c r="AA336" s="1">
        <f t="shared" si="119"/>
        <v>0</v>
      </c>
      <c r="AB336" s="1">
        <f t="shared" si="120"/>
        <v>0</v>
      </c>
      <c r="AD336" s="1">
        <f t="shared" si="121"/>
        <v>0</v>
      </c>
      <c r="AE336" s="1">
        <f t="shared" si="122"/>
        <v>0</v>
      </c>
      <c r="AF336" s="1">
        <f t="shared" si="107"/>
        <v>0</v>
      </c>
      <c r="AG336" s="1">
        <f t="shared" si="108"/>
        <v>0</v>
      </c>
      <c r="AH336" s="1">
        <f t="shared" si="109"/>
        <v>0</v>
      </c>
      <c r="AI336" s="1">
        <f t="shared" si="110"/>
        <v>1</v>
      </c>
    </row>
    <row r="337" spans="1:35" ht="14.25" customHeight="1" x14ac:dyDescent="0.25">
      <c r="A337" s="41">
        <v>0</v>
      </c>
      <c r="B337" s="41">
        <v>2</v>
      </c>
      <c r="C337" s="41">
        <v>4</v>
      </c>
      <c r="D337" s="42" t="s">
        <v>1151</v>
      </c>
      <c r="E337" s="42" t="s">
        <v>779</v>
      </c>
      <c r="F337" s="42" t="s">
        <v>1152</v>
      </c>
      <c r="G337" s="42" t="s">
        <v>187</v>
      </c>
      <c r="H337" s="42" t="s">
        <v>357</v>
      </c>
      <c r="I337" s="41" t="s">
        <v>1180</v>
      </c>
      <c r="J337" s="41">
        <v>99</v>
      </c>
      <c r="K337" s="43" t="s">
        <v>720</v>
      </c>
      <c r="L337" s="43" t="s">
        <v>39</v>
      </c>
      <c r="M337" s="44" t="s">
        <v>39</v>
      </c>
      <c r="N337" s="45"/>
      <c r="O337" s="46"/>
      <c r="P337" s="46">
        <v>1</v>
      </c>
      <c r="Q337" s="42"/>
      <c r="S337" s="1">
        <f t="shared" si="111"/>
        <v>0</v>
      </c>
      <c r="T337" s="1">
        <f t="shared" si="112"/>
        <v>0</v>
      </c>
      <c r="U337" s="1">
        <f t="shared" si="113"/>
        <v>0</v>
      </c>
      <c r="V337" s="1">
        <f t="shared" si="114"/>
        <v>0</v>
      </c>
      <c r="W337" s="1">
        <f t="shared" si="115"/>
        <v>0</v>
      </c>
      <c r="X337" s="1">
        <f t="shared" si="116"/>
        <v>0</v>
      </c>
      <c r="Y337" s="1">
        <f t="shared" si="117"/>
        <v>0</v>
      </c>
      <c r="Z337" s="1">
        <f t="shared" si="118"/>
        <v>0</v>
      </c>
      <c r="AA337" s="1">
        <f t="shared" si="119"/>
        <v>0</v>
      </c>
      <c r="AB337" s="1">
        <f t="shared" si="120"/>
        <v>0</v>
      </c>
      <c r="AD337" s="1">
        <f t="shared" si="121"/>
        <v>0</v>
      </c>
      <c r="AE337" s="1">
        <f t="shared" si="122"/>
        <v>0</v>
      </c>
      <c r="AF337" s="1">
        <f t="shared" si="107"/>
        <v>0</v>
      </c>
      <c r="AG337" s="1">
        <f t="shared" si="108"/>
        <v>0</v>
      </c>
      <c r="AH337" s="1">
        <f t="shared" si="109"/>
        <v>1</v>
      </c>
      <c r="AI337" s="1">
        <f t="shared" si="110"/>
        <v>0</v>
      </c>
    </row>
    <row r="338" spans="1:35" ht="14.25" customHeight="1" x14ac:dyDescent="0.25">
      <c r="A338" s="15">
        <v>0</v>
      </c>
      <c r="B338" s="15">
        <v>2</v>
      </c>
      <c r="C338" s="15">
        <v>4</v>
      </c>
      <c r="D338" s="16" t="s">
        <v>634</v>
      </c>
      <c r="E338" s="16" t="s">
        <v>691</v>
      </c>
      <c r="F338" s="16" t="s">
        <v>676</v>
      </c>
      <c r="G338" s="16" t="s">
        <v>633</v>
      </c>
      <c r="H338" s="16" t="s">
        <v>357</v>
      </c>
      <c r="I338" s="15" t="s">
        <v>635</v>
      </c>
      <c r="J338" s="15">
        <v>99</v>
      </c>
      <c r="K338" s="10" t="s">
        <v>962</v>
      </c>
      <c r="L338" s="10" t="s">
        <v>39</v>
      </c>
      <c r="M338" s="19" t="s">
        <v>39</v>
      </c>
      <c r="N338" s="17"/>
      <c r="Q338" s="20" t="s">
        <v>1912</v>
      </c>
      <c r="S338" s="1">
        <f t="shared" si="111"/>
        <v>0</v>
      </c>
      <c r="T338" s="1">
        <f t="shared" si="112"/>
        <v>0</v>
      </c>
      <c r="U338" s="1">
        <f t="shared" si="113"/>
        <v>0</v>
      </c>
      <c r="V338" s="1">
        <f t="shared" si="114"/>
        <v>0</v>
      </c>
      <c r="W338" s="1">
        <f t="shared" si="115"/>
        <v>0</v>
      </c>
      <c r="X338" s="1">
        <f t="shared" si="116"/>
        <v>0</v>
      </c>
      <c r="Y338" s="1">
        <f t="shared" si="117"/>
        <v>0</v>
      </c>
      <c r="Z338" s="1">
        <f t="shared" si="118"/>
        <v>0</v>
      </c>
      <c r="AA338" s="1">
        <f t="shared" si="119"/>
        <v>0</v>
      </c>
      <c r="AB338" s="1">
        <f t="shared" si="120"/>
        <v>0</v>
      </c>
      <c r="AD338" s="1">
        <f t="shared" si="121"/>
        <v>0</v>
      </c>
      <c r="AE338" s="1">
        <f t="shared" si="122"/>
        <v>0</v>
      </c>
      <c r="AF338" s="1">
        <f t="shared" si="107"/>
        <v>0</v>
      </c>
      <c r="AG338" s="1">
        <f t="shared" si="108"/>
        <v>0</v>
      </c>
      <c r="AH338" s="1">
        <f t="shared" si="109"/>
        <v>0</v>
      </c>
      <c r="AI338" s="1">
        <f t="shared" si="110"/>
        <v>1</v>
      </c>
    </row>
    <row r="339" spans="1:35" ht="14.25" customHeight="1" x14ac:dyDescent="0.25">
      <c r="A339" s="34">
        <v>0</v>
      </c>
      <c r="B339" s="34">
        <v>2</v>
      </c>
      <c r="C339" s="34">
        <v>4</v>
      </c>
      <c r="D339" s="35" t="s">
        <v>85</v>
      </c>
      <c r="E339" s="35" t="s">
        <v>35</v>
      </c>
      <c r="F339" s="35" t="s">
        <v>280</v>
      </c>
      <c r="G339" s="35" t="s">
        <v>226</v>
      </c>
      <c r="H339" s="35" t="s">
        <v>357</v>
      </c>
      <c r="I339" s="34" t="s">
        <v>437</v>
      </c>
      <c r="J339" s="34">
        <v>99</v>
      </c>
      <c r="K339" s="36" t="s">
        <v>961</v>
      </c>
      <c r="L339" s="36" t="s">
        <v>711</v>
      </c>
      <c r="M339" s="37" t="s">
        <v>733</v>
      </c>
      <c r="N339" s="37" t="s">
        <v>1776</v>
      </c>
      <c r="O339" s="38">
        <v>1</v>
      </c>
      <c r="P339" s="38"/>
      <c r="Q339" s="35"/>
      <c r="S339" s="1">
        <f t="shared" si="111"/>
        <v>0</v>
      </c>
      <c r="T339" s="1">
        <f t="shared" si="112"/>
        <v>0</v>
      </c>
      <c r="U339" s="1">
        <f t="shared" si="113"/>
        <v>0</v>
      </c>
      <c r="V339" s="1">
        <f t="shared" si="114"/>
        <v>0</v>
      </c>
      <c r="W339" s="1">
        <f t="shared" si="115"/>
        <v>0</v>
      </c>
      <c r="X339" s="1">
        <f t="shared" si="116"/>
        <v>0</v>
      </c>
      <c r="Y339" s="1">
        <f t="shared" si="117"/>
        <v>0</v>
      </c>
      <c r="Z339" s="1">
        <f t="shared" si="118"/>
        <v>0</v>
      </c>
      <c r="AA339" s="1">
        <f t="shared" si="119"/>
        <v>0</v>
      </c>
      <c r="AB339" s="1">
        <f t="shared" si="120"/>
        <v>0</v>
      </c>
      <c r="AD339" s="1">
        <f t="shared" si="121"/>
        <v>0</v>
      </c>
      <c r="AE339" s="1">
        <f t="shared" si="122"/>
        <v>1</v>
      </c>
      <c r="AF339" s="1">
        <f t="shared" si="107"/>
        <v>0</v>
      </c>
      <c r="AG339" s="1">
        <f t="shared" si="108"/>
        <v>1</v>
      </c>
      <c r="AH339" s="1">
        <f t="shared" si="109"/>
        <v>0</v>
      </c>
      <c r="AI339" s="1">
        <f t="shared" si="110"/>
        <v>1</v>
      </c>
    </row>
    <row r="340" spans="1:35" ht="14.25" customHeight="1" x14ac:dyDescent="0.25">
      <c r="A340" s="15">
        <v>0</v>
      </c>
      <c r="B340" s="15">
        <v>2</v>
      </c>
      <c r="C340" s="15">
        <v>4</v>
      </c>
      <c r="D340" s="16" t="s">
        <v>886</v>
      </c>
      <c r="E340" s="16" t="s">
        <v>779</v>
      </c>
      <c r="F340" s="16" t="s">
        <v>884</v>
      </c>
      <c r="G340" s="16" t="s">
        <v>282</v>
      </c>
      <c r="H340" s="16" t="s">
        <v>357</v>
      </c>
      <c r="I340" s="15" t="s">
        <v>885</v>
      </c>
      <c r="J340" s="15">
        <v>99</v>
      </c>
      <c r="K340" s="10" t="s">
        <v>710</v>
      </c>
      <c r="L340" s="10">
        <v>25</v>
      </c>
      <c r="M340" s="19" t="s">
        <v>1436</v>
      </c>
      <c r="N340" s="19"/>
      <c r="Q340" s="16"/>
      <c r="S340" s="1">
        <f t="shared" si="111"/>
        <v>0</v>
      </c>
      <c r="T340" s="1">
        <f t="shared" si="112"/>
        <v>0</v>
      </c>
      <c r="U340" s="1">
        <f t="shared" si="113"/>
        <v>0</v>
      </c>
      <c r="V340" s="1">
        <f t="shared" si="114"/>
        <v>0</v>
      </c>
      <c r="W340" s="1">
        <f t="shared" si="115"/>
        <v>0</v>
      </c>
      <c r="X340" s="1">
        <f t="shared" si="116"/>
        <v>0</v>
      </c>
      <c r="Y340" s="1">
        <f t="shared" si="117"/>
        <v>0</v>
      </c>
      <c r="Z340" s="1">
        <f t="shared" si="118"/>
        <v>0</v>
      </c>
      <c r="AA340" s="1">
        <f t="shared" si="119"/>
        <v>0</v>
      </c>
      <c r="AB340" s="1">
        <f t="shared" si="120"/>
        <v>0</v>
      </c>
      <c r="AD340" s="1">
        <f t="shared" si="121"/>
        <v>0</v>
      </c>
      <c r="AE340" s="1">
        <f t="shared" si="122"/>
        <v>0</v>
      </c>
      <c r="AF340" s="1">
        <f t="shared" si="107"/>
        <v>0</v>
      </c>
      <c r="AG340" s="1">
        <f t="shared" si="108"/>
        <v>0</v>
      </c>
      <c r="AH340" s="1">
        <f t="shared" si="109"/>
        <v>0</v>
      </c>
      <c r="AI340" s="1">
        <f t="shared" si="110"/>
        <v>1</v>
      </c>
    </row>
    <row r="341" spans="1:35" ht="14.25" customHeight="1" x14ac:dyDescent="0.25">
      <c r="A341" s="34">
        <v>0</v>
      </c>
      <c r="B341" s="34">
        <v>2</v>
      </c>
      <c r="C341" s="34">
        <v>4</v>
      </c>
      <c r="D341" s="35" t="s">
        <v>929</v>
      </c>
      <c r="E341" s="35" t="s">
        <v>779</v>
      </c>
      <c r="F341" s="35" t="s">
        <v>851</v>
      </c>
      <c r="G341" s="35" t="s">
        <v>211</v>
      </c>
      <c r="H341" s="35" t="s">
        <v>357</v>
      </c>
      <c r="I341" s="34" t="s">
        <v>852</v>
      </c>
      <c r="J341" s="34">
        <v>99</v>
      </c>
      <c r="K341" s="36" t="s">
        <v>719</v>
      </c>
      <c r="L341" s="36" t="s">
        <v>711</v>
      </c>
      <c r="M341" s="37" t="s">
        <v>733</v>
      </c>
      <c r="N341" s="37" t="s">
        <v>1771</v>
      </c>
      <c r="O341" s="38">
        <v>1</v>
      </c>
      <c r="P341" s="38"/>
      <c r="Q341" s="35"/>
      <c r="S341" s="1">
        <f t="shared" si="111"/>
        <v>0</v>
      </c>
      <c r="T341" s="1">
        <f t="shared" si="112"/>
        <v>0</v>
      </c>
      <c r="U341" s="1">
        <f t="shared" si="113"/>
        <v>0</v>
      </c>
      <c r="V341" s="1">
        <f t="shared" si="114"/>
        <v>0</v>
      </c>
      <c r="W341" s="1">
        <f t="shared" si="115"/>
        <v>0</v>
      </c>
      <c r="X341" s="1">
        <f t="shared" si="116"/>
        <v>0</v>
      </c>
      <c r="Y341" s="1">
        <f t="shared" si="117"/>
        <v>0</v>
      </c>
      <c r="Z341" s="1">
        <f t="shared" si="118"/>
        <v>0</v>
      </c>
      <c r="AA341" s="1">
        <f t="shared" si="119"/>
        <v>0</v>
      </c>
      <c r="AB341" s="1">
        <f t="shared" si="120"/>
        <v>0</v>
      </c>
      <c r="AD341" s="1">
        <f t="shared" si="121"/>
        <v>0</v>
      </c>
      <c r="AE341" s="1">
        <f t="shared" si="122"/>
        <v>1</v>
      </c>
      <c r="AF341" s="1">
        <f t="shared" si="107"/>
        <v>0</v>
      </c>
      <c r="AG341" s="1">
        <f t="shared" si="108"/>
        <v>1</v>
      </c>
      <c r="AH341" s="1">
        <f t="shared" si="109"/>
        <v>0</v>
      </c>
      <c r="AI341" s="1">
        <f t="shared" si="110"/>
        <v>1</v>
      </c>
    </row>
    <row r="342" spans="1:35" ht="14.25" customHeight="1" x14ac:dyDescent="0.25">
      <c r="A342" s="47">
        <v>0</v>
      </c>
      <c r="B342" s="47">
        <v>2</v>
      </c>
      <c r="C342" s="47">
        <v>4</v>
      </c>
      <c r="D342" s="48" t="s">
        <v>1237</v>
      </c>
      <c r="E342" s="48" t="s">
        <v>1236</v>
      </c>
      <c r="F342" s="48" t="s">
        <v>1238</v>
      </c>
      <c r="G342" s="48" t="s">
        <v>540</v>
      </c>
      <c r="H342" s="48" t="s">
        <v>357</v>
      </c>
      <c r="I342" s="47" t="s">
        <v>1239</v>
      </c>
      <c r="J342" s="47">
        <v>99</v>
      </c>
      <c r="K342" s="49" t="s">
        <v>720</v>
      </c>
      <c r="L342" s="49" t="s">
        <v>701</v>
      </c>
      <c r="M342" s="50" t="s">
        <v>1437</v>
      </c>
      <c r="N342" s="50" t="s">
        <v>1762</v>
      </c>
      <c r="O342" s="51"/>
      <c r="P342" s="51"/>
      <c r="Q342" s="48"/>
      <c r="S342" s="1">
        <f t="shared" si="111"/>
        <v>0</v>
      </c>
      <c r="T342" s="1">
        <f t="shared" si="112"/>
        <v>0</v>
      </c>
      <c r="U342" s="1">
        <f t="shared" si="113"/>
        <v>0</v>
      </c>
      <c r="V342" s="1">
        <f t="shared" si="114"/>
        <v>0</v>
      </c>
      <c r="W342" s="1">
        <f t="shared" si="115"/>
        <v>0</v>
      </c>
      <c r="X342" s="1">
        <f t="shared" si="116"/>
        <v>0</v>
      </c>
      <c r="Y342" s="1">
        <f t="shared" si="117"/>
        <v>0</v>
      </c>
      <c r="Z342" s="1">
        <f t="shared" si="118"/>
        <v>0</v>
      </c>
      <c r="AA342" s="1">
        <f t="shared" si="119"/>
        <v>0</v>
      </c>
      <c r="AB342" s="1">
        <f t="shared" si="120"/>
        <v>0</v>
      </c>
      <c r="AD342" s="1">
        <f t="shared" si="121"/>
        <v>0</v>
      </c>
      <c r="AE342" s="1">
        <f t="shared" si="122"/>
        <v>0</v>
      </c>
      <c r="AF342" s="1">
        <f t="shared" si="107"/>
        <v>0</v>
      </c>
      <c r="AG342" s="1">
        <f t="shared" si="108"/>
        <v>0</v>
      </c>
      <c r="AH342" s="1">
        <f t="shared" si="109"/>
        <v>0</v>
      </c>
      <c r="AI342" s="1">
        <f t="shared" si="110"/>
        <v>1</v>
      </c>
    </row>
    <row r="343" spans="1:35" ht="14.25" customHeight="1" x14ac:dyDescent="0.25">
      <c r="A343" s="34">
        <v>0</v>
      </c>
      <c r="B343" s="34">
        <v>2</v>
      </c>
      <c r="C343" s="34">
        <v>4</v>
      </c>
      <c r="D343" s="35" t="s">
        <v>830</v>
      </c>
      <c r="E343" s="35" t="s">
        <v>595</v>
      </c>
      <c r="F343" s="35" t="s">
        <v>831</v>
      </c>
      <c r="G343" s="35" t="s">
        <v>944</v>
      </c>
      <c r="H343" s="35" t="s">
        <v>357</v>
      </c>
      <c r="I343" s="34" t="s">
        <v>958</v>
      </c>
      <c r="J343" s="34">
        <v>7</v>
      </c>
      <c r="K343" s="36" t="s">
        <v>719</v>
      </c>
      <c r="L343" s="36" t="s">
        <v>39</v>
      </c>
      <c r="M343" s="37" t="s">
        <v>39</v>
      </c>
      <c r="N343" s="37" t="s">
        <v>1742</v>
      </c>
      <c r="O343" s="38">
        <v>1</v>
      </c>
      <c r="P343" s="38">
        <v>1</v>
      </c>
      <c r="Q343" s="35"/>
      <c r="S343" s="1">
        <f t="shared" si="111"/>
        <v>0</v>
      </c>
      <c r="T343" s="1">
        <f t="shared" si="112"/>
        <v>0</v>
      </c>
      <c r="U343" s="1">
        <f t="shared" si="113"/>
        <v>0</v>
      </c>
      <c r="V343" s="1">
        <f t="shared" si="114"/>
        <v>0</v>
      </c>
      <c r="W343" s="1">
        <f t="shared" si="115"/>
        <v>0</v>
      </c>
      <c r="X343" s="1">
        <f t="shared" si="116"/>
        <v>0</v>
      </c>
      <c r="Y343" s="1">
        <f t="shared" si="117"/>
        <v>1</v>
      </c>
      <c r="Z343" s="1">
        <f t="shared" si="118"/>
        <v>0</v>
      </c>
      <c r="AA343" s="1">
        <f t="shared" si="119"/>
        <v>0</v>
      </c>
      <c r="AB343" s="1">
        <f t="shared" si="120"/>
        <v>0</v>
      </c>
      <c r="AD343" s="1">
        <f t="shared" si="121"/>
        <v>1</v>
      </c>
      <c r="AE343" s="1">
        <f t="shared" si="122"/>
        <v>0</v>
      </c>
      <c r="AF343" s="1">
        <f t="shared" si="107"/>
        <v>1</v>
      </c>
      <c r="AG343" s="1">
        <f t="shared" si="108"/>
        <v>0</v>
      </c>
      <c r="AH343" s="1">
        <f t="shared" si="109"/>
        <v>1</v>
      </c>
      <c r="AI343" s="1">
        <f t="shared" si="110"/>
        <v>0</v>
      </c>
    </row>
    <row r="344" spans="1:35" ht="14.25" customHeight="1" x14ac:dyDescent="0.25">
      <c r="A344" s="47">
        <v>0</v>
      </c>
      <c r="B344" s="47">
        <v>2</v>
      </c>
      <c r="C344" s="47">
        <v>4</v>
      </c>
      <c r="D344" s="48" t="s">
        <v>1620</v>
      </c>
      <c r="E344" s="48" t="s">
        <v>1670</v>
      </c>
      <c r="F344" s="48" t="s">
        <v>1621</v>
      </c>
      <c r="G344" s="48" t="s">
        <v>336</v>
      </c>
      <c r="H344" s="48" t="s">
        <v>357</v>
      </c>
      <c r="I344" s="47" t="s">
        <v>30</v>
      </c>
      <c r="J344" s="47">
        <v>99</v>
      </c>
      <c r="K344" s="49" t="s">
        <v>720</v>
      </c>
      <c r="L344" s="49">
        <v>20</v>
      </c>
      <c r="M344" s="50" t="s">
        <v>39</v>
      </c>
      <c r="N344" s="50" t="s">
        <v>1756</v>
      </c>
      <c r="O344" s="51"/>
      <c r="P344" s="51"/>
      <c r="Q344" s="48"/>
      <c r="S344" s="1">
        <f t="shared" si="111"/>
        <v>0</v>
      </c>
      <c r="T344" s="1">
        <f t="shared" si="112"/>
        <v>0</v>
      </c>
      <c r="U344" s="1">
        <f t="shared" si="113"/>
        <v>0</v>
      </c>
      <c r="V344" s="1">
        <f t="shared" si="114"/>
        <v>0</v>
      </c>
      <c r="W344" s="1">
        <f t="shared" si="115"/>
        <v>0</v>
      </c>
      <c r="X344" s="1">
        <f t="shared" si="116"/>
        <v>0</v>
      </c>
      <c r="Y344" s="1">
        <f t="shared" si="117"/>
        <v>0</v>
      </c>
      <c r="Z344" s="1">
        <f t="shared" si="118"/>
        <v>0</v>
      </c>
      <c r="AA344" s="1">
        <f t="shared" si="119"/>
        <v>0</v>
      </c>
      <c r="AB344" s="1">
        <f t="shared" si="120"/>
        <v>0</v>
      </c>
      <c r="AD344" s="1">
        <f t="shared" si="121"/>
        <v>0</v>
      </c>
      <c r="AE344" s="1">
        <f t="shared" si="122"/>
        <v>0</v>
      </c>
      <c r="AF344" s="1">
        <f t="shared" si="107"/>
        <v>0</v>
      </c>
      <c r="AG344" s="1">
        <f t="shared" si="108"/>
        <v>0</v>
      </c>
      <c r="AH344" s="1">
        <f t="shared" si="109"/>
        <v>0</v>
      </c>
      <c r="AI344" s="1">
        <f t="shared" si="110"/>
        <v>1</v>
      </c>
    </row>
    <row r="345" spans="1:35" ht="14.25" customHeight="1" x14ac:dyDescent="0.25">
      <c r="A345" s="34">
        <v>0</v>
      </c>
      <c r="B345" s="34">
        <v>2</v>
      </c>
      <c r="C345" s="34">
        <v>5</v>
      </c>
      <c r="D345" s="35" t="s">
        <v>58</v>
      </c>
      <c r="E345" s="35" t="s">
        <v>44</v>
      </c>
      <c r="F345" s="35" t="s">
        <v>677</v>
      </c>
      <c r="G345" s="35" t="s">
        <v>225</v>
      </c>
      <c r="H345" s="35" t="s">
        <v>357</v>
      </c>
      <c r="I345" s="34" t="s">
        <v>400</v>
      </c>
      <c r="J345" s="34">
        <v>8</v>
      </c>
      <c r="K345" s="36" t="s">
        <v>720</v>
      </c>
      <c r="L345" s="36" t="s">
        <v>723</v>
      </c>
      <c r="M345" s="37" t="s">
        <v>1438</v>
      </c>
      <c r="N345" s="37" t="s">
        <v>1763</v>
      </c>
      <c r="O345" s="38">
        <v>1</v>
      </c>
      <c r="P345" s="38"/>
      <c r="Q345" s="35"/>
      <c r="S345" s="1">
        <f t="shared" si="111"/>
        <v>0</v>
      </c>
      <c r="T345" s="1">
        <f t="shared" si="112"/>
        <v>0</v>
      </c>
      <c r="U345" s="1">
        <f t="shared" si="113"/>
        <v>0</v>
      </c>
      <c r="V345" s="1">
        <f t="shared" si="114"/>
        <v>0</v>
      </c>
      <c r="W345" s="1">
        <f t="shared" si="115"/>
        <v>0</v>
      </c>
      <c r="X345" s="1">
        <f t="shared" si="116"/>
        <v>0</v>
      </c>
      <c r="Y345" s="1">
        <f t="shared" si="117"/>
        <v>0</v>
      </c>
      <c r="Z345" s="1">
        <f t="shared" si="118"/>
        <v>1</v>
      </c>
      <c r="AA345" s="1">
        <f t="shared" si="119"/>
        <v>0</v>
      </c>
      <c r="AB345" s="1">
        <f t="shared" si="120"/>
        <v>0</v>
      </c>
      <c r="AD345" s="1">
        <f t="shared" si="121"/>
        <v>0</v>
      </c>
      <c r="AE345" s="1">
        <f t="shared" si="122"/>
        <v>1</v>
      </c>
      <c r="AF345" s="1">
        <f t="shared" si="107"/>
        <v>0</v>
      </c>
      <c r="AG345" s="1">
        <f t="shared" si="108"/>
        <v>1</v>
      </c>
      <c r="AH345" s="1">
        <f t="shared" si="109"/>
        <v>0</v>
      </c>
      <c r="AI345" s="1">
        <f t="shared" si="110"/>
        <v>1</v>
      </c>
    </row>
    <row r="346" spans="1:35" ht="14.25" customHeight="1" x14ac:dyDescent="0.25">
      <c r="A346" s="47">
        <v>0</v>
      </c>
      <c r="B346" s="47">
        <v>2</v>
      </c>
      <c r="C346" s="47">
        <v>5</v>
      </c>
      <c r="D346" s="48" t="s">
        <v>839</v>
      </c>
      <c r="E346" s="48" t="s">
        <v>838</v>
      </c>
      <c r="F346" s="48" t="s">
        <v>931</v>
      </c>
      <c r="G346" s="48" t="s">
        <v>215</v>
      </c>
      <c r="H346" s="48" t="s">
        <v>357</v>
      </c>
      <c r="I346" s="47" t="s">
        <v>840</v>
      </c>
      <c r="J346" s="47">
        <v>1</v>
      </c>
      <c r="K346" s="49" t="s">
        <v>719</v>
      </c>
      <c r="L346" s="49" t="s">
        <v>700</v>
      </c>
      <c r="M346" s="50" t="s">
        <v>1439</v>
      </c>
      <c r="N346" s="50" t="s">
        <v>1750</v>
      </c>
      <c r="O346" s="51"/>
      <c r="P346" s="51"/>
      <c r="Q346" s="48"/>
      <c r="S346" s="1">
        <f t="shared" si="111"/>
        <v>1</v>
      </c>
      <c r="T346" s="1">
        <f t="shared" si="112"/>
        <v>0</v>
      </c>
      <c r="U346" s="1">
        <f t="shared" si="113"/>
        <v>0</v>
      </c>
      <c r="V346" s="1">
        <f t="shared" si="114"/>
        <v>0</v>
      </c>
      <c r="W346" s="1">
        <f t="shared" si="115"/>
        <v>0</v>
      </c>
      <c r="X346" s="1">
        <f t="shared" si="116"/>
        <v>0</v>
      </c>
      <c r="Y346" s="1">
        <f t="shared" si="117"/>
        <v>0</v>
      </c>
      <c r="Z346" s="1">
        <f t="shared" si="118"/>
        <v>0</v>
      </c>
      <c r="AA346" s="1">
        <f t="shared" si="119"/>
        <v>0</v>
      </c>
      <c r="AB346" s="1">
        <f t="shared" si="120"/>
        <v>0</v>
      </c>
      <c r="AD346" s="1">
        <f t="shared" si="121"/>
        <v>0</v>
      </c>
      <c r="AE346" s="1">
        <f t="shared" si="122"/>
        <v>0</v>
      </c>
      <c r="AF346" s="1">
        <f t="shared" si="107"/>
        <v>0</v>
      </c>
      <c r="AG346" s="1">
        <f t="shared" si="108"/>
        <v>0</v>
      </c>
      <c r="AH346" s="1">
        <f t="shared" si="109"/>
        <v>0</v>
      </c>
      <c r="AI346" s="1">
        <f t="shared" si="110"/>
        <v>1</v>
      </c>
    </row>
    <row r="347" spans="1:35" ht="14.25" customHeight="1" x14ac:dyDescent="0.25">
      <c r="A347" s="47">
        <v>0</v>
      </c>
      <c r="B347" s="47">
        <v>2</v>
      </c>
      <c r="C347" s="47">
        <v>5</v>
      </c>
      <c r="D347" s="48" t="s">
        <v>65</v>
      </c>
      <c r="E347" s="48" t="s">
        <v>166</v>
      </c>
      <c r="F347" s="48" t="s">
        <v>552</v>
      </c>
      <c r="G347" s="48" t="s">
        <v>196</v>
      </c>
      <c r="H347" s="48" t="s">
        <v>357</v>
      </c>
      <c r="I347" s="47" t="s">
        <v>557</v>
      </c>
      <c r="J347" s="47">
        <v>9</v>
      </c>
      <c r="K347" s="49" t="s">
        <v>720</v>
      </c>
      <c r="L347" s="49" t="s">
        <v>693</v>
      </c>
      <c r="M347" s="50" t="s">
        <v>1458</v>
      </c>
      <c r="N347" s="50" t="s">
        <v>1753</v>
      </c>
      <c r="O347" s="51"/>
      <c r="P347" s="51"/>
      <c r="Q347" s="48"/>
      <c r="S347" s="1">
        <f t="shared" si="111"/>
        <v>0</v>
      </c>
      <c r="T347" s="1">
        <f t="shared" si="112"/>
        <v>0</v>
      </c>
      <c r="U347" s="1">
        <f t="shared" si="113"/>
        <v>0</v>
      </c>
      <c r="V347" s="1">
        <f t="shared" si="114"/>
        <v>0</v>
      </c>
      <c r="W347" s="1">
        <f t="shared" si="115"/>
        <v>0</v>
      </c>
      <c r="X347" s="1">
        <f t="shared" si="116"/>
        <v>0</v>
      </c>
      <c r="Y347" s="1">
        <f t="shared" si="117"/>
        <v>0</v>
      </c>
      <c r="Z347" s="1">
        <f t="shared" si="118"/>
        <v>0</v>
      </c>
      <c r="AA347" s="1">
        <f t="shared" si="119"/>
        <v>1</v>
      </c>
      <c r="AB347" s="1">
        <f t="shared" si="120"/>
        <v>0</v>
      </c>
      <c r="AD347" s="1">
        <f t="shared" si="121"/>
        <v>0</v>
      </c>
      <c r="AE347" s="1">
        <f t="shared" si="122"/>
        <v>0</v>
      </c>
      <c r="AF347" s="1">
        <f t="shared" si="107"/>
        <v>0</v>
      </c>
      <c r="AG347" s="1">
        <f t="shared" si="108"/>
        <v>0</v>
      </c>
      <c r="AH347" s="1">
        <f t="shared" si="109"/>
        <v>0</v>
      </c>
      <c r="AI347" s="1">
        <f t="shared" si="110"/>
        <v>1</v>
      </c>
    </row>
    <row r="348" spans="1:35" ht="14.25" customHeight="1" x14ac:dyDescent="0.25">
      <c r="A348" s="47">
        <v>0</v>
      </c>
      <c r="B348" s="47">
        <v>2</v>
      </c>
      <c r="C348" s="47">
        <v>5</v>
      </c>
      <c r="D348" s="48" t="s">
        <v>1047</v>
      </c>
      <c r="E348" s="48" t="s">
        <v>779</v>
      </c>
      <c r="F348" s="48" t="s">
        <v>1048</v>
      </c>
      <c r="G348" s="48" t="s">
        <v>224</v>
      </c>
      <c r="H348" s="48" t="s">
        <v>357</v>
      </c>
      <c r="I348" s="47" t="s">
        <v>1049</v>
      </c>
      <c r="J348" s="47">
        <v>99</v>
      </c>
      <c r="K348" s="49" t="s">
        <v>720</v>
      </c>
      <c r="L348" s="49" t="s">
        <v>700</v>
      </c>
      <c r="M348" s="50" t="s">
        <v>1432</v>
      </c>
      <c r="N348" s="50" t="s">
        <v>1753</v>
      </c>
      <c r="O348" s="51"/>
      <c r="P348" s="51"/>
      <c r="Q348" s="48"/>
      <c r="S348" s="1">
        <f t="shared" si="111"/>
        <v>0</v>
      </c>
      <c r="T348" s="1">
        <f t="shared" si="112"/>
        <v>0</v>
      </c>
      <c r="U348" s="1">
        <f t="shared" si="113"/>
        <v>0</v>
      </c>
      <c r="V348" s="1">
        <f t="shared" si="114"/>
        <v>0</v>
      </c>
      <c r="W348" s="1">
        <f t="shared" si="115"/>
        <v>0</v>
      </c>
      <c r="X348" s="1">
        <f t="shared" si="116"/>
        <v>0</v>
      </c>
      <c r="Y348" s="1">
        <f t="shared" si="117"/>
        <v>0</v>
      </c>
      <c r="Z348" s="1">
        <f t="shared" si="118"/>
        <v>0</v>
      </c>
      <c r="AA348" s="1">
        <f t="shared" si="119"/>
        <v>0</v>
      </c>
      <c r="AB348" s="1">
        <f t="shared" si="120"/>
        <v>0</v>
      </c>
      <c r="AD348" s="1">
        <f t="shared" si="121"/>
        <v>0</v>
      </c>
      <c r="AE348" s="1">
        <f t="shared" si="122"/>
        <v>0</v>
      </c>
      <c r="AF348" s="1">
        <f t="shared" si="107"/>
        <v>0</v>
      </c>
      <c r="AG348" s="1">
        <f t="shared" si="108"/>
        <v>0</v>
      </c>
      <c r="AH348" s="1">
        <f t="shared" si="109"/>
        <v>0</v>
      </c>
      <c r="AI348" s="1">
        <f t="shared" si="110"/>
        <v>1</v>
      </c>
    </row>
    <row r="349" spans="1:35" ht="14.25" customHeight="1" x14ac:dyDescent="0.25">
      <c r="A349" s="47">
        <v>0</v>
      </c>
      <c r="B349" s="47">
        <v>2</v>
      </c>
      <c r="C349" s="47">
        <v>5</v>
      </c>
      <c r="D349" s="48" t="s">
        <v>1501</v>
      </c>
      <c r="E349" s="48" t="s">
        <v>35</v>
      </c>
      <c r="F349" s="68" t="s">
        <v>1888</v>
      </c>
      <c r="G349" s="48" t="s">
        <v>224</v>
      </c>
      <c r="H349" s="48" t="s">
        <v>357</v>
      </c>
      <c r="I349" s="47" t="s">
        <v>1701</v>
      </c>
      <c r="J349" s="47">
        <v>99</v>
      </c>
      <c r="K349" s="49" t="s">
        <v>720</v>
      </c>
      <c r="L349" s="49">
        <v>25</v>
      </c>
      <c r="M349" s="50" t="s">
        <v>39</v>
      </c>
      <c r="N349" s="50" t="s">
        <v>1752</v>
      </c>
      <c r="O349" s="51"/>
      <c r="P349" s="51"/>
      <c r="Q349" s="48"/>
      <c r="S349" s="1">
        <f t="shared" si="111"/>
        <v>0</v>
      </c>
      <c r="T349" s="1">
        <f t="shared" si="112"/>
        <v>0</v>
      </c>
      <c r="U349" s="1">
        <f t="shared" si="113"/>
        <v>0</v>
      </c>
      <c r="V349" s="1">
        <f t="shared" si="114"/>
        <v>0</v>
      </c>
      <c r="W349" s="1">
        <f t="shared" si="115"/>
        <v>0</v>
      </c>
      <c r="X349" s="1">
        <f t="shared" si="116"/>
        <v>0</v>
      </c>
      <c r="Y349" s="1">
        <f t="shared" si="117"/>
        <v>0</v>
      </c>
      <c r="Z349" s="1">
        <f t="shared" si="118"/>
        <v>0</v>
      </c>
      <c r="AA349" s="1">
        <f t="shared" si="119"/>
        <v>0</v>
      </c>
      <c r="AB349" s="1">
        <f t="shared" si="120"/>
        <v>0</v>
      </c>
      <c r="AD349" s="1">
        <f t="shared" si="121"/>
        <v>0</v>
      </c>
      <c r="AE349" s="1">
        <f t="shared" si="122"/>
        <v>0</v>
      </c>
      <c r="AF349" s="1">
        <f t="shared" si="107"/>
        <v>0</v>
      </c>
      <c r="AG349" s="1">
        <f t="shared" si="108"/>
        <v>0</v>
      </c>
      <c r="AH349" s="1">
        <f t="shared" si="109"/>
        <v>0</v>
      </c>
      <c r="AI349" s="1">
        <f t="shared" si="110"/>
        <v>1</v>
      </c>
    </row>
    <row r="350" spans="1:35" ht="14.25" customHeight="1" x14ac:dyDescent="0.25">
      <c r="A350" s="47">
        <v>0</v>
      </c>
      <c r="B350" s="47">
        <v>2</v>
      </c>
      <c r="C350" s="47">
        <v>5</v>
      </c>
      <c r="D350" s="48" t="s">
        <v>1834</v>
      </c>
      <c r="E350" s="48" t="s">
        <v>779</v>
      </c>
      <c r="F350" s="48" t="s">
        <v>1835</v>
      </c>
      <c r="G350" s="48" t="s">
        <v>226</v>
      </c>
      <c r="H350" s="48" t="s">
        <v>357</v>
      </c>
      <c r="I350" s="47" t="s">
        <v>1836</v>
      </c>
      <c r="J350" s="47">
        <v>99</v>
      </c>
      <c r="K350" s="49" t="s">
        <v>1837</v>
      </c>
      <c r="L350" s="49">
        <v>40</v>
      </c>
      <c r="M350" s="50" t="s">
        <v>1838</v>
      </c>
      <c r="N350" s="50" t="s">
        <v>1824</v>
      </c>
      <c r="O350" s="51"/>
      <c r="P350" s="51"/>
      <c r="Q350" s="48"/>
      <c r="S350" s="1">
        <f t="shared" si="111"/>
        <v>0</v>
      </c>
      <c r="T350" s="1">
        <f t="shared" si="112"/>
        <v>0</v>
      </c>
      <c r="U350" s="1">
        <f t="shared" si="113"/>
        <v>0</v>
      </c>
      <c r="V350" s="1">
        <f t="shared" si="114"/>
        <v>0</v>
      </c>
      <c r="W350" s="1">
        <f t="shared" si="115"/>
        <v>0</v>
      </c>
      <c r="X350" s="1">
        <f t="shared" si="116"/>
        <v>0</v>
      </c>
      <c r="Y350" s="1">
        <f t="shared" si="117"/>
        <v>0</v>
      </c>
      <c r="Z350" s="1">
        <f t="shared" si="118"/>
        <v>0</v>
      </c>
      <c r="AA350" s="1">
        <f t="shared" si="119"/>
        <v>0</v>
      </c>
      <c r="AB350" s="1">
        <f t="shared" si="120"/>
        <v>0</v>
      </c>
      <c r="AD350" s="1">
        <f t="shared" si="121"/>
        <v>0</v>
      </c>
      <c r="AE350" s="1">
        <f t="shared" si="122"/>
        <v>0</v>
      </c>
      <c r="AF350" s="1">
        <f t="shared" si="107"/>
        <v>0</v>
      </c>
      <c r="AG350" s="1">
        <f t="shared" si="108"/>
        <v>0</v>
      </c>
      <c r="AH350" s="1">
        <f t="shared" si="109"/>
        <v>0</v>
      </c>
      <c r="AI350" s="1">
        <f t="shared" si="110"/>
        <v>1</v>
      </c>
    </row>
    <row r="351" spans="1:35" ht="14.25" customHeight="1" x14ac:dyDescent="0.25">
      <c r="A351" s="34">
        <v>0</v>
      </c>
      <c r="B351" s="34">
        <v>2</v>
      </c>
      <c r="C351" s="34">
        <v>5</v>
      </c>
      <c r="D351" s="35" t="s">
        <v>621</v>
      </c>
      <c r="E351" s="35" t="s">
        <v>692</v>
      </c>
      <c r="F351" s="35" t="s">
        <v>622</v>
      </c>
      <c r="G351" s="35" t="s">
        <v>290</v>
      </c>
      <c r="H351" s="35" t="s">
        <v>357</v>
      </c>
      <c r="I351" s="34" t="s">
        <v>623</v>
      </c>
      <c r="J351" s="34">
        <v>99</v>
      </c>
      <c r="K351" s="36" t="s">
        <v>719</v>
      </c>
      <c r="L351" s="36" t="s">
        <v>711</v>
      </c>
      <c r="M351" s="37" t="s">
        <v>1440</v>
      </c>
      <c r="N351" s="37" t="s">
        <v>1758</v>
      </c>
      <c r="O351" s="38">
        <v>1</v>
      </c>
      <c r="P351" s="38"/>
      <c r="Q351" s="35"/>
      <c r="S351" s="1">
        <f t="shared" si="111"/>
        <v>0</v>
      </c>
      <c r="T351" s="1">
        <f t="shared" si="112"/>
        <v>0</v>
      </c>
      <c r="U351" s="1">
        <f t="shared" si="113"/>
        <v>0</v>
      </c>
      <c r="V351" s="1">
        <f t="shared" si="114"/>
        <v>0</v>
      </c>
      <c r="W351" s="1">
        <f t="shared" si="115"/>
        <v>0</v>
      </c>
      <c r="X351" s="1">
        <f t="shared" si="116"/>
        <v>0</v>
      </c>
      <c r="Y351" s="1">
        <f t="shared" si="117"/>
        <v>0</v>
      </c>
      <c r="Z351" s="1">
        <f t="shared" si="118"/>
        <v>0</v>
      </c>
      <c r="AA351" s="1">
        <f t="shared" si="119"/>
        <v>0</v>
      </c>
      <c r="AB351" s="1">
        <f t="shared" si="120"/>
        <v>0</v>
      </c>
      <c r="AD351" s="1">
        <f t="shared" si="121"/>
        <v>0</v>
      </c>
      <c r="AE351" s="1">
        <f t="shared" si="122"/>
        <v>1</v>
      </c>
      <c r="AF351" s="1">
        <f t="shared" si="107"/>
        <v>0</v>
      </c>
      <c r="AG351" s="1">
        <f t="shared" si="108"/>
        <v>1</v>
      </c>
      <c r="AH351" s="1">
        <f t="shared" si="109"/>
        <v>0</v>
      </c>
      <c r="AI351" s="1">
        <f t="shared" si="110"/>
        <v>1</v>
      </c>
    </row>
    <row r="352" spans="1:35" ht="14.25" customHeight="1" x14ac:dyDescent="0.25">
      <c r="A352" s="47">
        <v>0</v>
      </c>
      <c r="B352" s="47">
        <v>2</v>
      </c>
      <c r="C352" s="47">
        <v>5</v>
      </c>
      <c r="D352" s="48" t="s">
        <v>1503</v>
      </c>
      <c r="E352" s="48" t="s">
        <v>779</v>
      </c>
      <c r="F352" s="48" t="s">
        <v>1504</v>
      </c>
      <c r="G352" s="48" t="s">
        <v>198</v>
      </c>
      <c r="H352" s="48" t="s">
        <v>357</v>
      </c>
      <c r="I352" s="47" t="s">
        <v>1505</v>
      </c>
      <c r="J352" s="47">
        <v>99</v>
      </c>
      <c r="K352" s="49" t="s">
        <v>961</v>
      </c>
      <c r="L352" s="49" t="s">
        <v>700</v>
      </c>
      <c r="M352" s="50" t="s">
        <v>1430</v>
      </c>
      <c r="N352" s="50" t="s">
        <v>1750</v>
      </c>
      <c r="O352" s="51"/>
      <c r="P352" s="51"/>
      <c r="Q352" s="48"/>
      <c r="S352" s="1">
        <f t="shared" si="111"/>
        <v>0</v>
      </c>
      <c r="T352" s="1">
        <f t="shared" si="112"/>
        <v>0</v>
      </c>
      <c r="U352" s="1">
        <f t="shared" si="113"/>
        <v>0</v>
      </c>
      <c r="V352" s="1">
        <f t="shared" si="114"/>
        <v>0</v>
      </c>
      <c r="W352" s="1">
        <f t="shared" si="115"/>
        <v>0</v>
      </c>
      <c r="X352" s="1">
        <f t="shared" si="116"/>
        <v>0</v>
      </c>
      <c r="Y352" s="1">
        <f t="shared" si="117"/>
        <v>0</v>
      </c>
      <c r="Z352" s="1">
        <f t="shared" si="118"/>
        <v>0</v>
      </c>
      <c r="AA352" s="1">
        <f t="shared" si="119"/>
        <v>0</v>
      </c>
      <c r="AB352" s="1">
        <f t="shared" si="120"/>
        <v>0</v>
      </c>
      <c r="AD352" s="1">
        <f t="shared" si="121"/>
        <v>0</v>
      </c>
      <c r="AE352" s="1">
        <f t="shared" si="122"/>
        <v>0</v>
      </c>
      <c r="AF352" s="1">
        <f t="shared" si="107"/>
        <v>0</v>
      </c>
      <c r="AG352" s="1">
        <f t="shared" si="108"/>
        <v>0</v>
      </c>
      <c r="AH352" s="1">
        <f t="shared" si="109"/>
        <v>0</v>
      </c>
      <c r="AI352" s="1">
        <f t="shared" si="110"/>
        <v>1</v>
      </c>
    </row>
    <row r="353" spans="1:35" ht="14.25" customHeight="1" x14ac:dyDescent="0.25">
      <c r="A353" s="47">
        <v>0</v>
      </c>
      <c r="B353" s="47">
        <v>2</v>
      </c>
      <c r="C353" s="47">
        <v>5</v>
      </c>
      <c r="D353" s="48" t="s">
        <v>782</v>
      </c>
      <c r="E353" s="48" t="s">
        <v>779</v>
      </c>
      <c r="F353" s="48" t="s">
        <v>784</v>
      </c>
      <c r="G353" s="48" t="s">
        <v>209</v>
      </c>
      <c r="H353" s="48" t="s">
        <v>357</v>
      </c>
      <c r="I353" s="47" t="s">
        <v>783</v>
      </c>
      <c r="J353" s="47">
        <v>99</v>
      </c>
      <c r="K353" s="49" t="s">
        <v>719</v>
      </c>
      <c r="L353" s="49" t="s">
        <v>701</v>
      </c>
      <c r="M353" s="50" t="s">
        <v>1441</v>
      </c>
      <c r="N353" s="50" t="s">
        <v>1750</v>
      </c>
      <c r="O353" s="51"/>
      <c r="P353" s="51"/>
      <c r="Q353" s="48"/>
      <c r="S353" s="1">
        <f t="shared" si="111"/>
        <v>0</v>
      </c>
      <c r="T353" s="1">
        <f t="shared" si="112"/>
        <v>0</v>
      </c>
      <c r="U353" s="1">
        <f t="shared" si="113"/>
        <v>0</v>
      </c>
      <c r="V353" s="1">
        <f t="shared" si="114"/>
        <v>0</v>
      </c>
      <c r="W353" s="1">
        <f t="shared" si="115"/>
        <v>0</v>
      </c>
      <c r="X353" s="1">
        <f t="shared" si="116"/>
        <v>0</v>
      </c>
      <c r="Y353" s="1">
        <f t="shared" si="117"/>
        <v>0</v>
      </c>
      <c r="Z353" s="1">
        <f t="shared" si="118"/>
        <v>0</v>
      </c>
      <c r="AA353" s="1">
        <f t="shared" si="119"/>
        <v>0</v>
      </c>
      <c r="AB353" s="1">
        <f t="shared" si="120"/>
        <v>0</v>
      </c>
      <c r="AD353" s="1">
        <f t="shared" si="121"/>
        <v>0</v>
      </c>
      <c r="AE353" s="1">
        <f t="shared" si="122"/>
        <v>0</v>
      </c>
      <c r="AF353" s="1">
        <f t="shared" si="107"/>
        <v>0</v>
      </c>
      <c r="AG353" s="1">
        <f t="shared" si="108"/>
        <v>0</v>
      </c>
      <c r="AH353" s="1">
        <f t="shared" si="109"/>
        <v>0</v>
      </c>
      <c r="AI353" s="1">
        <f t="shared" si="110"/>
        <v>1</v>
      </c>
    </row>
    <row r="354" spans="1:35" ht="14.25" customHeight="1" x14ac:dyDescent="0.25">
      <c r="A354" s="47">
        <v>1</v>
      </c>
      <c r="B354" s="47">
        <v>2</v>
      </c>
      <c r="C354" s="47">
        <v>5</v>
      </c>
      <c r="D354" s="48" t="s">
        <v>782</v>
      </c>
      <c r="E354" s="48" t="s">
        <v>779</v>
      </c>
      <c r="F354" s="48" t="s">
        <v>1013</v>
      </c>
      <c r="G354" s="48" t="s">
        <v>192</v>
      </c>
      <c r="H354" s="48" t="s">
        <v>357</v>
      </c>
      <c r="I354" s="47" t="s">
        <v>1014</v>
      </c>
      <c r="J354" s="47">
        <v>99</v>
      </c>
      <c r="K354" s="49" t="s">
        <v>719</v>
      </c>
      <c r="L354" s="49" t="s">
        <v>701</v>
      </c>
      <c r="M354" s="50" t="s">
        <v>1441</v>
      </c>
      <c r="N354" s="50" t="s">
        <v>1750</v>
      </c>
      <c r="O354" s="51"/>
      <c r="P354" s="51"/>
      <c r="Q354" s="48"/>
      <c r="S354" s="1">
        <f t="shared" si="111"/>
        <v>0</v>
      </c>
      <c r="T354" s="1">
        <f t="shared" si="112"/>
        <v>0</v>
      </c>
      <c r="U354" s="1">
        <f t="shared" si="113"/>
        <v>0</v>
      </c>
      <c r="V354" s="1">
        <f t="shared" si="114"/>
        <v>0</v>
      </c>
      <c r="W354" s="1">
        <f t="shared" si="115"/>
        <v>0</v>
      </c>
      <c r="X354" s="1">
        <f t="shared" si="116"/>
        <v>0</v>
      </c>
      <c r="Y354" s="1">
        <f t="shared" si="117"/>
        <v>0</v>
      </c>
      <c r="Z354" s="1">
        <f t="shared" si="118"/>
        <v>0</v>
      </c>
      <c r="AA354" s="1">
        <f t="shared" si="119"/>
        <v>0</v>
      </c>
      <c r="AB354" s="1">
        <f t="shared" si="120"/>
        <v>0</v>
      </c>
      <c r="AD354" s="1">
        <f t="shared" si="121"/>
        <v>0</v>
      </c>
      <c r="AE354" s="1">
        <f t="shared" si="122"/>
        <v>0</v>
      </c>
      <c r="AF354" s="1">
        <f t="shared" si="107"/>
        <v>0</v>
      </c>
      <c r="AG354" s="1">
        <f t="shared" si="108"/>
        <v>0</v>
      </c>
      <c r="AH354" s="1">
        <f t="shared" si="109"/>
        <v>0</v>
      </c>
      <c r="AI354" s="1">
        <f t="shared" si="110"/>
        <v>0</v>
      </c>
    </row>
    <row r="355" spans="1:35" ht="14.25" customHeight="1" x14ac:dyDescent="0.25">
      <c r="A355" s="15">
        <v>0</v>
      </c>
      <c r="B355" s="15">
        <v>2</v>
      </c>
      <c r="C355" s="15">
        <v>5</v>
      </c>
      <c r="D355" s="16" t="s">
        <v>923</v>
      </c>
      <c r="E355" s="16" t="s">
        <v>918</v>
      </c>
      <c r="F355" s="16" t="s">
        <v>936</v>
      </c>
      <c r="G355" s="16" t="s">
        <v>1364</v>
      </c>
      <c r="H355" s="16" t="s">
        <v>357</v>
      </c>
      <c r="I355" s="15" t="s">
        <v>777</v>
      </c>
      <c r="J355" s="15">
        <v>99</v>
      </c>
      <c r="K355" s="10" t="s">
        <v>710</v>
      </c>
      <c r="L355" s="10">
        <v>20</v>
      </c>
      <c r="M355" s="19" t="s">
        <v>1442</v>
      </c>
      <c r="N355" s="19"/>
      <c r="Q355" s="16"/>
      <c r="S355" s="1">
        <f t="shared" si="111"/>
        <v>0</v>
      </c>
      <c r="T355" s="1">
        <f t="shared" si="112"/>
        <v>0</v>
      </c>
      <c r="U355" s="1">
        <f t="shared" si="113"/>
        <v>0</v>
      </c>
      <c r="V355" s="1">
        <f t="shared" si="114"/>
        <v>0</v>
      </c>
      <c r="W355" s="1">
        <f t="shared" si="115"/>
        <v>0</v>
      </c>
      <c r="X355" s="1">
        <f t="shared" si="116"/>
        <v>0</v>
      </c>
      <c r="Y355" s="1">
        <f t="shared" si="117"/>
        <v>0</v>
      </c>
      <c r="Z355" s="1">
        <f t="shared" si="118"/>
        <v>0</v>
      </c>
      <c r="AA355" s="1">
        <f t="shared" si="119"/>
        <v>0</v>
      </c>
      <c r="AB355" s="1">
        <f t="shared" si="120"/>
        <v>0</v>
      </c>
      <c r="AD355" s="1">
        <f t="shared" si="121"/>
        <v>0</v>
      </c>
      <c r="AE355" s="1">
        <f t="shared" si="122"/>
        <v>0</v>
      </c>
      <c r="AF355" s="1">
        <f t="shared" si="107"/>
        <v>0</v>
      </c>
      <c r="AG355" s="1">
        <f t="shared" si="108"/>
        <v>0</v>
      </c>
      <c r="AH355" s="1">
        <f t="shared" si="109"/>
        <v>0</v>
      </c>
      <c r="AI355" s="1">
        <f t="shared" si="110"/>
        <v>1</v>
      </c>
    </row>
    <row r="356" spans="1:35" ht="14.25" customHeight="1" x14ac:dyDescent="0.25">
      <c r="A356" s="52">
        <v>0</v>
      </c>
      <c r="B356" s="52">
        <v>2</v>
      </c>
      <c r="C356" s="52">
        <v>5</v>
      </c>
      <c r="D356" s="58" t="s">
        <v>1805</v>
      </c>
      <c r="E356" s="53" t="s">
        <v>169</v>
      </c>
      <c r="F356" s="53" t="s">
        <v>1783</v>
      </c>
      <c r="G356" s="53"/>
      <c r="H356" s="53" t="s">
        <v>357</v>
      </c>
      <c r="I356" s="52" t="s">
        <v>1784</v>
      </c>
      <c r="J356" s="52"/>
      <c r="K356" s="54" t="s">
        <v>710</v>
      </c>
      <c r="L356" s="54">
        <v>30</v>
      </c>
      <c r="M356" s="55" t="s">
        <v>1785</v>
      </c>
      <c r="N356" s="55" t="s">
        <v>1763</v>
      </c>
      <c r="O356" s="56">
        <v>1</v>
      </c>
      <c r="P356" s="56"/>
      <c r="Q356" s="53"/>
      <c r="S356" s="1">
        <f t="shared" si="111"/>
        <v>0</v>
      </c>
      <c r="T356" s="1">
        <f t="shared" si="112"/>
        <v>0</v>
      </c>
      <c r="U356" s="1">
        <f t="shared" si="113"/>
        <v>0</v>
      </c>
      <c r="V356" s="1">
        <f t="shared" si="114"/>
        <v>0</v>
      </c>
      <c r="W356" s="1">
        <f t="shared" si="115"/>
        <v>0</v>
      </c>
      <c r="X356" s="1">
        <f t="shared" si="116"/>
        <v>0</v>
      </c>
      <c r="Y356" s="1">
        <f t="shared" si="117"/>
        <v>0</v>
      </c>
      <c r="Z356" s="1">
        <f t="shared" si="118"/>
        <v>0</v>
      </c>
      <c r="AA356" s="1">
        <f t="shared" si="119"/>
        <v>0</v>
      </c>
      <c r="AB356" s="1">
        <f t="shared" si="120"/>
        <v>0</v>
      </c>
      <c r="AD356" s="1">
        <f t="shared" si="121"/>
        <v>0</v>
      </c>
      <c r="AE356" s="1">
        <f t="shared" si="122"/>
        <v>1</v>
      </c>
      <c r="AF356" s="1">
        <f t="shared" si="107"/>
        <v>0</v>
      </c>
      <c r="AG356" s="1">
        <f t="shared" si="108"/>
        <v>1</v>
      </c>
      <c r="AH356" s="1">
        <f t="shared" si="109"/>
        <v>0</v>
      </c>
      <c r="AI356" s="1">
        <f t="shared" si="110"/>
        <v>1</v>
      </c>
    </row>
    <row r="357" spans="1:35" ht="14.25" customHeight="1" x14ac:dyDescent="0.25">
      <c r="A357" s="34">
        <v>0</v>
      </c>
      <c r="B357" s="34">
        <v>2</v>
      </c>
      <c r="C357" s="34">
        <v>5</v>
      </c>
      <c r="D357" s="35" t="s">
        <v>1284</v>
      </c>
      <c r="E357" s="35" t="s">
        <v>1285</v>
      </c>
      <c r="F357" s="35" t="s">
        <v>1286</v>
      </c>
      <c r="G357" s="35" t="s">
        <v>222</v>
      </c>
      <c r="H357" s="35" t="s">
        <v>357</v>
      </c>
      <c r="I357" s="34" t="s">
        <v>1738</v>
      </c>
      <c r="J357" s="34">
        <v>8</v>
      </c>
      <c r="K357" s="36" t="s">
        <v>720</v>
      </c>
      <c r="L357" s="36" t="s">
        <v>39</v>
      </c>
      <c r="M357" s="37" t="s">
        <v>39</v>
      </c>
      <c r="N357" s="37" t="s">
        <v>1742</v>
      </c>
      <c r="O357" s="38">
        <v>1</v>
      </c>
      <c r="P357" s="38">
        <v>1</v>
      </c>
      <c r="Q357" s="35"/>
      <c r="S357" s="1">
        <f t="shared" si="111"/>
        <v>0</v>
      </c>
      <c r="T357" s="1">
        <f t="shared" si="112"/>
        <v>0</v>
      </c>
      <c r="U357" s="1">
        <f t="shared" si="113"/>
        <v>0</v>
      </c>
      <c r="V357" s="1">
        <f t="shared" si="114"/>
        <v>0</v>
      </c>
      <c r="W357" s="1">
        <f t="shared" si="115"/>
        <v>0</v>
      </c>
      <c r="X357" s="1">
        <f t="shared" si="116"/>
        <v>0</v>
      </c>
      <c r="Y357" s="1">
        <f t="shared" si="117"/>
        <v>0</v>
      </c>
      <c r="Z357" s="1">
        <f t="shared" si="118"/>
        <v>1</v>
      </c>
      <c r="AA357" s="1">
        <f t="shared" si="119"/>
        <v>0</v>
      </c>
      <c r="AB357" s="1">
        <f t="shared" si="120"/>
        <v>0</v>
      </c>
      <c r="AD357" s="1">
        <f t="shared" si="121"/>
        <v>1</v>
      </c>
      <c r="AE357" s="1">
        <f t="shared" si="122"/>
        <v>0</v>
      </c>
      <c r="AF357" s="1">
        <f t="shared" si="107"/>
        <v>1</v>
      </c>
      <c r="AG357" s="1">
        <f t="shared" si="108"/>
        <v>0</v>
      </c>
      <c r="AH357" s="1">
        <f t="shared" si="109"/>
        <v>1</v>
      </c>
      <c r="AI357" s="1">
        <f t="shared" si="110"/>
        <v>0</v>
      </c>
    </row>
    <row r="358" spans="1:35" ht="14.25" customHeight="1" x14ac:dyDescent="0.25">
      <c r="A358" s="34">
        <v>0</v>
      </c>
      <c r="B358" s="34">
        <v>2</v>
      </c>
      <c r="C358" s="34">
        <v>5</v>
      </c>
      <c r="D358" s="35" t="s">
        <v>1092</v>
      </c>
      <c r="E358" s="35" t="s">
        <v>157</v>
      </c>
      <c r="F358" s="35" t="s">
        <v>1076</v>
      </c>
      <c r="G358" s="35" t="s">
        <v>324</v>
      </c>
      <c r="H358" s="35" t="s">
        <v>357</v>
      </c>
      <c r="I358" s="34" t="s">
        <v>1077</v>
      </c>
      <c r="J358" s="34">
        <v>99</v>
      </c>
      <c r="K358" s="36" t="s">
        <v>720</v>
      </c>
      <c r="L358" s="36" t="s">
        <v>701</v>
      </c>
      <c r="M358" s="37" t="s">
        <v>1443</v>
      </c>
      <c r="N358" s="37" t="s">
        <v>1771</v>
      </c>
      <c r="O358" s="38">
        <v>1</v>
      </c>
      <c r="P358" s="38"/>
      <c r="Q358" s="35"/>
      <c r="S358" s="1">
        <f t="shared" si="111"/>
        <v>0</v>
      </c>
      <c r="T358" s="1">
        <f t="shared" si="112"/>
        <v>0</v>
      </c>
      <c r="U358" s="1">
        <f t="shared" si="113"/>
        <v>0</v>
      </c>
      <c r="V358" s="1">
        <f t="shared" si="114"/>
        <v>0</v>
      </c>
      <c r="W358" s="1">
        <f t="shared" si="115"/>
        <v>0</v>
      </c>
      <c r="X358" s="1">
        <f t="shared" si="116"/>
        <v>0</v>
      </c>
      <c r="Y358" s="1">
        <f t="shared" si="117"/>
        <v>0</v>
      </c>
      <c r="Z358" s="1">
        <f t="shared" si="118"/>
        <v>0</v>
      </c>
      <c r="AA358" s="1">
        <f t="shared" si="119"/>
        <v>0</v>
      </c>
      <c r="AB358" s="1">
        <f t="shared" si="120"/>
        <v>0</v>
      </c>
      <c r="AD358" s="1">
        <f t="shared" si="121"/>
        <v>0</v>
      </c>
      <c r="AE358" s="1">
        <f t="shared" si="122"/>
        <v>1</v>
      </c>
      <c r="AF358" s="1">
        <f t="shared" si="107"/>
        <v>0</v>
      </c>
      <c r="AG358" s="1">
        <f t="shared" si="108"/>
        <v>1</v>
      </c>
      <c r="AH358" s="1">
        <f t="shared" si="109"/>
        <v>0</v>
      </c>
      <c r="AI358" s="1">
        <f t="shared" si="110"/>
        <v>1</v>
      </c>
    </row>
    <row r="359" spans="1:35" ht="14.25" customHeight="1" x14ac:dyDescent="0.25">
      <c r="A359" s="15">
        <v>0</v>
      </c>
      <c r="B359" s="15">
        <v>2</v>
      </c>
      <c r="C359" s="15">
        <v>5</v>
      </c>
      <c r="D359" s="16" t="s">
        <v>803</v>
      </c>
      <c r="E359" s="16" t="s">
        <v>779</v>
      </c>
      <c r="F359" s="16" t="s">
        <v>939</v>
      </c>
      <c r="G359" s="16" t="s">
        <v>222</v>
      </c>
      <c r="H359" s="16" t="s">
        <v>357</v>
      </c>
      <c r="I359" s="15" t="s">
        <v>804</v>
      </c>
      <c r="J359" s="15">
        <v>8</v>
      </c>
      <c r="K359" s="10" t="s">
        <v>710</v>
      </c>
      <c r="L359" s="10">
        <v>20</v>
      </c>
      <c r="M359" s="19" t="s">
        <v>1434</v>
      </c>
      <c r="N359" s="19"/>
      <c r="Q359" s="16"/>
      <c r="S359" s="1">
        <f t="shared" si="111"/>
        <v>0</v>
      </c>
      <c r="T359" s="1">
        <f t="shared" si="112"/>
        <v>0</v>
      </c>
      <c r="U359" s="1">
        <f t="shared" si="113"/>
        <v>0</v>
      </c>
      <c r="V359" s="1">
        <f t="shared" si="114"/>
        <v>0</v>
      </c>
      <c r="W359" s="1">
        <f t="shared" si="115"/>
        <v>0</v>
      </c>
      <c r="X359" s="1">
        <f t="shared" si="116"/>
        <v>0</v>
      </c>
      <c r="Y359" s="1">
        <f t="shared" si="117"/>
        <v>0</v>
      </c>
      <c r="Z359" s="1">
        <f t="shared" si="118"/>
        <v>1</v>
      </c>
      <c r="AA359" s="1">
        <f t="shared" si="119"/>
        <v>0</v>
      </c>
      <c r="AB359" s="1">
        <f t="shared" si="120"/>
        <v>0</v>
      </c>
      <c r="AD359" s="1">
        <f t="shared" si="121"/>
        <v>0</v>
      </c>
      <c r="AE359" s="1">
        <f t="shared" si="122"/>
        <v>0</v>
      </c>
      <c r="AF359" s="1">
        <f t="shared" si="107"/>
        <v>0</v>
      </c>
      <c r="AG359" s="1">
        <f t="shared" si="108"/>
        <v>0</v>
      </c>
      <c r="AH359" s="1">
        <f t="shared" si="109"/>
        <v>0</v>
      </c>
      <c r="AI359" s="1">
        <f t="shared" si="110"/>
        <v>1</v>
      </c>
    </row>
    <row r="360" spans="1:35" ht="14.25" customHeight="1" x14ac:dyDescent="0.25">
      <c r="A360" s="52">
        <v>0</v>
      </c>
      <c r="B360" s="52">
        <v>2</v>
      </c>
      <c r="C360" s="52">
        <v>5</v>
      </c>
      <c r="D360" s="53" t="s">
        <v>80</v>
      </c>
      <c r="E360" s="53" t="s">
        <v>161</v>
      </c>
      <c r="F360" s="53" t="s">
        <v>271</v>
      </c>
      <c r="G360" s="53" t="s">
        <v>215</v>
      </c>
      <c r="H360" s="53" t="s">
        <v>357</v>
      </c>
      <c r="I360" s="52" t="s">
        <v>429</v>
      </c>
      <c r="J360" s="52">
        <v>1</v>
      </c>
      <c r="K360" s="54" t="s">
        <v>962</v>
      </c>
      <c r="L360" s="54" t="s">
        <v>711</v>
      </c>
      <c r="M360" s="55" t="s">
        <v>734</v>
      </c>
      <c r="N360" s="55" t="s">
        <v>1758</v>
      </c>
      <c r="O360" s="56">
        <v>1</v>
      </c>
      <c r="P360" s="56"/>
      <c r="Q360" s="53"/>
      <c r="S360" s="1">
        <f t="shared" si="111"/>
        <v>1</v>
      </c>
      <c r="T360" s="1">
        <f t="shared" si="112"/>
        <v>0</v>
      </c>
      <c r="U360" s="1">
        <f t="shared" si="113"/>
        <v>0</v>
      </c>
      <c r="V360" s="1">
        <f t="shared" si="114"/>
        <v>0</v>
      </c>
      <c r="W360" s="1">
        <f t="shared" si="115"/>
        <v>0</v>
      </c>
      <c r="X360" s="1">
        <f t="shared" si="116"/>
        <v>0</v>
      </c>
      <c r="Y360" s="1">
        <f t="shared" si="117"/>
        <v>0</v>
      </c>
      <c r="Z360" s="1">
        <f t="shared" si="118"/>
        <v>0</v>
      </c>
      <c r="AA360" s="1">
        <f t="shared" si="119"/>
        <v>0</v>
      </c>
      <c r="AB360" s="1">
        <f t="shared" si="120"/>
        <v>0</v>
      </c>
      <c r="AD360" s="1">
        <f t="shared" si="121"/>
        <v>0</v>
      </c>
      <c r="AE360" s="1">
        <f t="shared" si="122"/>
        <v>1</v>
      </c>
      <c r="AF360" s="1">
        <f t="shared" si="107"/>
        <v>0</v>
      </c>
      <c r="AG360" s="1">
        <f t="shared" si="108"/>
        <v>1</v>
      </c>
      <c r="AH360" s="1">
        <f t="shared" si="109"/>
        <v>0</v>
      </c>
      <c r="AI360" s="1">
        <f t="shared" si="110"/>
        <v>1</v>
      </c>
    </row>
    <row r="361" spans="1:35" ht="14.25" customHeight="1" x14ac:dyDescent="0.25">
      <c r="A361" s="34">
        <v>0</v>
      </c>
      <c r="B361" s="34">
        <v>2</v>
      </c>
      <c r="C361" s="34">
        <v>5</v>
      </c>
      <c r="D361" s="35" t="s">
        <v>1657</v>
      </c>
      <c r="E361" s="35" t="s">
        <v>1669</v>
      </c>
      <c r="F361" s="35" t="s">
        <v>1566</v>
      </c>
      <c r="G361" s="35" t="s">
        <v>265</v>
      </c>
      <c r="H361" s="35" t="s">
        <v>357</v>
      </c>
      <c r="I361" s="34" t="s">
        <v>1567</v>
      </c>
      <c r="J361" s="34">
        <v>99</v>
      </c>
      <c r="K361" s="36" t="s">
        <v>962</v>
      </c>
      <c r="L361" s="36">
        <v>40</v>
      </c>
      <c r="M361" s="37" t="s">
        <v>39</v>
      </c>
      <c r="N361" s="37" t="s">
        <v>1840</v>
      </c>
      <c r="O361" s="38">
        <v>1</v>
      </c>
      <c r="P361" s="38"/>
      <c r="Q361" s="35"/>
      <c r="S361" s="1">
        <f t="shared" si="111"/>
        <v>0</v>
      </c>
      <c r="T361" s="1">
        <f t="shared" si="112"/>
        <v>0</v>
      </c>
      <c r="U361" s="1">
        <f t="shared" si="113"/>
        <v>0</v>
      </c>
      <c r="V361" s="1">
        <f t="shared" si="114"/>
        <v>0</v>
      </c>
      <c r="W361" s="1">
        <f t="shared" si="115"/>
        <v>0</v>
      </c>
      <c r="X361" s="1">
        <f t="shared" si="116"/>
        <v>0</v>
      </c>
      <c r="Y361" s="1">
        <f t="shared" si="117"/>
        <v>0</v>
      </c>
      <c r="Z361" s="1">
        <f t="shared" si="118"/>
        <v>0</v>
      </c>
      <c r="AA361" s="1">
        <f t="shared" si="119"/>
        <v>0</v>
      </c>
      <c r="AB361" s="1">
        <f t="shared" si="120"/>
        <v>0</v>
      </c>
      <c r="AD361" s="1">
        <f t="shared" si="121"/>
        <v>0</v>
      </c>
      <c r="AE361" s="1">
        <f t="shared" si="122"/>
        <v>1</v>
      </c>
      <c r="AF361" s="1">
        <f t="shared" si="107"/>
        <v>0</v>
      </c>
      <c r="AG361" s="1">
        <f t="shared" si="108"/>
        <v>1</v>
      </c>
      <c r="AH361" s="1">
        <f t="shared" si="109"/>
        <v>0</v>
      </c>
      <c r="AI361" s="1">
        <f t="shared" si="110"/>
        <v>1</v>
      </c>
    </row>
    <row r="362" spans="1:35" ht="14.25" customHeight="1" x14ac:dyDescent="0.25">
      <c r="A362" s="41">
        <v>0</v>
      </c>
      <c r="B362" s="41">
        <v>2</v>
      </c>
      <c r="C362" s="41">
        <v>5</v>
      </c>
      <c r="D362" s="42" t="s">
        <v>1311</v>
      </c>
      <c r="E362" s="42" t="s">
        <v>27</v>
      </c>
      <c r="F362" s="42" t="s">
        <v>1312</v>
      </c>
      <c r="G362" s="42" t="s">
        <v>1313</v>
      </c>
      <c r="H362" s="42" t="s">
        <v>357</v>
      </c>
      <c r="I362" s="41" t="s">
        <v>1314</v>
      </c>
      <c r="J362" s="41">
        <v>99</v>
      </c>
      <c r="K362" s="43" t="s">
        <v>962</v>
      </c>
      <c r="L362" s="43" t="s">
        <v>39</v>
      </c>
      <c r="M362" s="44" t="s">
        <v>39</v>
      </c>
      <c r="N362" s="45"/>
      <c r="O362" s="46"/>
      <c r="P362" s="46">
        <v>1</v>
      </c>
      <c r="Q362" s="42"/>
      <c r="S362" s="1">
        <f t="shared" si="111"/>
        <v>0</v>
      </c>
      <c r="T362" s="1">
        <f t="shared" si="112"/>
        <v>0</v>
      </c>
      <c r="U362" s="1">
        <f t="shared" si="113"/>
        <v>0</v>
      </c>
      <c r="V362" s="1">
        <f t="shared" si="114"/>
        <v>0</v>
      </c>
      <c r="W362" s="1">
        <f t="shared" si="115"/>
        <v>0</v>
      </c>
      <c r="X362" s="1">
        <f t="shared" si="116"/>
        <v>0</v>
      </c>
      <c r="Y362" s="1">
        <f t="shared" si="117"/>
        <v>0</v>
      </c>
      <c r="Z362" s="1">
        <f t="shared" si="118"/>
        <v>0</v>
      </c>
      <c r="AA362" s="1">
        <f t="shared" si="119"/>
        <v>0</v>
      </c>
      <c r="AB362" s="1">
        <f t="shared" si="120"/>
        <v>0</v>
      </c>
      <c r="AD362" s="1">
        <f t="shared" si="121"/>
        <v>0</v>
      </c>
      <c r="AE362" s="1">
        <f t="shared" si="122"/>
        <v>0</v>
      </c>
      <c r="AF362" s="1">
        <f t="shared" si="107"/>
        <v>0</v>
      </c>
      <c r="AG362" s="1">
        <f t="shared" si="108"/>
        <v>0</v>
      </c>
      <c r="AH362" s="1">
        <f t="shared" si="109"/>
        <v>1</v>
      </c>
      <c r="AI362" s="1">
        <f t="shared" si="110"/>
        <v>0</v>
      </c>
    </row>
    <row r="363" spans="1:35" ht="14.25" customHeight="1" x14ac:dyDescent="0.25">
      <c r="A363" s="47">
        <v>0</v>
      </c>
      <c r="B363" s="47">
        <v>2</v>
      </c>
      <c r="C363" s="47">
        <v>5</v>
      </c>
      <c r="D363" s="48" t="s">
        <v>1618</v>
      </c>
      <c r="E363" s="48" t="s">
        <v>161</v>
      </c>
      <c r="F363" s="48" t="s">
        <v>1690</v>
      </c>
      <c r="G363" s="48" t="s">
        <v>1483</v>
      </c>
      <c r="H363" s="48" t="s">
        <v>357</v>
      </c>
      <c r="I363" s="47" t="s">
        <v>1484</v>
      </c>
      <c r="J363" s="47">
        <v>99</v>
      </c>
      <c r="K363" s="49" t="s">
        <v>720</v>
      </c>
      <c r="L363" s="49" t="s">
        <v>703</v>
      </c>
      <c r="M363" s="50" t="s">
        <v>1485</v>
      </c>
      <c r="N363" s="50" t="s">
        <v>1762</v>
      </c>
      <c r="O363" s="51"/>
      <c r="P363" s="51"/>
      <c r="Q363" s="48"/>
      <c r="S363" s="1">
        <f t="shared" si="111"/>
        <v>0</v>
      </c>
      <c r="T363" s="1">
        <f t="shared" si="112"/>
        <v>0</v>
      </c>
      <c r="U363" s="1">
        <f t="shared" si="113"/>
        <v>0</v>
      </c>
      <c r="V363" s="1">
        <f t="shared" si="114"/>
        <v>0</v>
      </c>
      <c r="W363" s="1">
        <f t="shared" si="115"/>
        <v>0</v>
      </c>
      <c r="X363" s="1">
        <f t="shared" si="116"/>
        <v>0</v>
      </c>
      <c r="Y363" s="1">
        <f t="shared" si="117"/>
        <v>0</v>
      </c>
      <c r="Z363" s="1">
        <f t="shared" si="118"/>
        <v>0</v>
      </c>
      <c r="AA363" s="1">
        <f t="shared" si="119"/>
        <v>0</v>
      </c>
      <c r="AB363" s="1">
        <f t="shared" si="120"/>
        <v>0</v>
      </c>
      <c r="AD363" s="1">
        <f t="shared" si="121"/>
        <v>0</v>
      </c>
      <c r="AE363" s="1">
        <f t="shared" si="122"/>
        <v>0</v>
      </c>
      <c r="AF363" s="1">
        <f t="shared" si="107"/>
        <v>0</v>
      </c>
      <c r="AG363" s="1">
        <f t="shared" si="108"/>
        <v>0</v>
      </c>
      <c r="AH363" s="1">
        <f t="shared" si="109"/>
        <v>0</v>
      </c>
      <c r="AI363" s="1">
        <f t="shared" si="110"/>
        <v>1</v>
      </c>
    </row>
    <row r="364" spans="1:35" ht="14.25" customHeight="1" x14ac:dyDescent="0.25">
      <c r="A364" s="34">
        <v>0</v>
      </c>
      <c r="B364" s="34">
        <v>2</v>
      </c>
      <c r="C364" s="34">
        <v>5</v>
      </c>
      <c r="D364" s="35" t="s">
        <v>1793</v>
      </c>
      <c r="E364" s="35" t="s">
        <v>157</v>
      </c>
      <c r="F364" s="35" t="s">
        <v>1794</v>
      </c>
      <c r="G364" s="35" t="s">
        <v>662</v>
      </c>
      <c r="H364" s="35" t="s">
        <v>357</v>
      </c>
      <c r="I364" s="34" t="s">
        <v>1795</v>
      </c>
      <c r="J364" s="34"/>
      <c r="K364" s="36" t="s">
        <v>710</v>
      </c>
      <c r="L364" s="36">
        <v>40</v>
      </c>
      <c r="M364" s="37" t="s">
        <v>1796</v>
      </c>
      <c r="N364" s="37" t="s">
        <v>1758</v>
      </c>
      <c r="O364" s="38">
        <v>1</v>
      </c>
      <c r="P364" s="38"/>
      <c r="Q364" s="35"/>
      <c r="S364" s="1">
        <f t="shared" si="111"/>
        <v>0</v>
      </c>
      <c r="T364" s="1">
        <f t="shared" si="112"/>
        <v>0</v>
      </c>
      <c r="U364" s="1">
        <f t="shared" si="113"/>
        <v>0</v>
      </c>
      <c r="V364" s="1">
        <f t="shared" si="114"/>
        <v>0</v>
      </c>
      <c r="W364" s="1">
        <f t="shared" si="115"/>
        <v>0</v>
      </c>
      <c r="X364" s="1">
        <f t="shared" si="116"/>
        <v>0</v>
      </c>
      <c r="Y364" s="1">
        <f t="shared" si="117"/>
        <v>0</v>
      </c>
      <c r="Z364" s="1">
        <f t="shared" si="118"/>
        <v>0</v>
      </c>
      <c r="AA364" s="1">
        <f t="shared" si="119"/>
        <v>0</v>
      </c>
      <c r="AB364" s="1">
        <f t="shared" si="120"/>
        <v>0</v>
      </c>
      <c r="AD364" s="1">
        <f t="shared" si="121"/>
        <v>0</v>
      </c>
      <c r="AE364" s="1">
        <f t="shared" si="122"/>
        <v>1</v>
      </c>
      <c r="AF364" s="1">
        <f t="shared" si="107"/>
        <v>0</v>
      </c>
      <c r="AG364" s="1">
        <f t="shared" si="108"/>
        <v>1</v>
      </c>
      <c r="AH364" s="1">
        <f t="shared" si="109"/>
        <v>0</v>
      </c>
      <c r="AI364" s="1">
        <f t="shared" si="110"/>
        <v>1</v>
      </c>
    </row>
    <row r="365" spans="1:35" ht="14.25" customHeight="1" x14ac:dyDescent="0.25">
      <c r="A365" s="47">
        <v>0</v>
      </c>
      <c r="B365" s="47">
        <v>2</v>
      </c>
      <c r="C365" s="47">
        <v>5</v>
      </c>
      <c r="D365" s="48" t="s">
        <v>844</v>
      </c>
      <c r="E365" s="48" t="s">
        <v>838</v>
      </c>
      <c r="F365" s="48" t="s">
        <v>948</v>
      </c>
      <c r="G365" s="48" t="s">
        <v>182</v>
      </c>
      <c r="H365" s="48" t="s">
        <v>357</v>
      </c>
      <c r="I365" s="47" t="s">
        <v>1119</v>
      </c>
      <c r="J365" s="47">
        <v>10</v>
      </c>
      <c r="K365" s="49" t="s">
        <v>719</v>
      </c>
      <c r="L365" s="49" t="s">
        <v>700</v>
      </c>
      <c r="M365" s="50" t="s">
        <v>1444</v>
      </c>
      <c r="N365" s="50" t="s">
        <v>1756</v>
      </c>
      <c r="O365" s="51"/>
      <c r="P365" s="51"/>
      <c r="Q365" s="48"/>
      <c r="S365" s="1">
        <f t="shared" si="111"/>
        <v>0</v>
      </c>
      <c r="T365" s="1">
        <f t="shared" si="112"/>
        <v>0</v>
      </c>
      <c r="U365" s="1">
        <f t="shared" si="113"/>
        <v>0</v>
      </c>
      <c r="V365" s="1">
        <f t="shared" si="114"/>
        <v>0</v>
      </c>
      <c r="W365" s="1">
        <f t="shared" si="115"/>
        <v>0</v>
      </c>
      <c r="X365" s="1">
        <f t="shared" si="116"/>
        <v>0</v>
      </c>
      <c r="Y365" s="1">
        <f t="shared" si="117"/>
        <v>0</v>
      </c>
      <c r="Z365" s="1">
        <f t="shared" si="118"/>
        <v>0</v>
      </c>
      <c r="AA365" s="1">
        <f t="shared" si="119"/>
        <v>0</v>
      </c>
      <c r="AB365" s="1">
        <f t="shared" si="120"/>
        <v>1</v>
      </c>
      <c r="AD365" s="1">
        <f t="shared" si="121"/>
        <v>0</v>
      </c>
      <c r="AE365" s="1">
        <f t="shared" si="122"/>
        <v>0</v>
      </c>
      <c r="AF365" s="1">
        <f t="shared" si="107"/>
        <v>0</v>
      </c>
      <c r="AG365" s="1">
        <f t="shared" si="108"/>
        <v>0</v>
      </c>
      <c r="AH365" s="1">
        <f t="shared" si="109"/>
        <v>0</v>
      </c>
      <c r="AI365" s="1">
        <f t="shared" si="110"/>
        <v>1</v>
      </c>
    </row>
    <row r="366" spans="1:35" ht="14.25" customHeight="1" x14ac:dyDescent="0.25">
      <c r="A366" s="60">
        <v>0</v>
      </c>
      <c r="B366" s="60">
        <v>2</v>
      </c>
      <c r="C366" s="60">
        <v>6</v>
      </c>
      <c r="D366" s="61" t="s">
        <v>1558</v>
      </c>
      <c r="E366" s="61" t="s">
        <v>27</v>
      </c>
      <c r="F366" s="61" t="s">
        <v>1560</v>
      </c>
      <c r="G366" s="61" t="s">
        <v>1549</v>
      </c>
      <c r="H366" s="61" t="s">
        <v>357</v>
      </c>
      <c r="I366" s="60" t="s">
        <v>1559</v>
      </c>
      <c r="J366" s="60">
        <v>5</v>
      </c>
      <c r="K366" s="62" t="s">
        <v>962</v>
      </c>
      <c r="L366" s="62" t="s">
        <v>39</v>
      </c>
      <c r="M366" s="63" t="s">
        <v>39</v>
      </c>
      <c r="N366" s="64"/>
      <c r="O366" s="65"/>
      <c r="P366" s="65"/>
      <c r="Q366" s="69" t="s">
        <v>1915</v>
      </c>
      <c r="S366" s="1">
        <f t="shared" si="111"/>
        <v>0</v>
      </c>
      <c r="T366" s="1">
        <f t="shared" si="112"/>
        <v>0</v>
      </c>
      <c r="U366" s="1">
        <f t="shared" si="113"/>
        <v>0</v>
      </c>
      <c r="V366" s="1">
        <f t="shared" si="114"/>
        <v>0</v>
      </c>
      <c r="W366" s="1">
        <f t="shared" si="115"/>
        <v>1</v>
      </c>
      <c r="X366" s="1">
        <f t="shared" si="116"/>
        <v>0</v>
      </c>
      <c r="Y366" s="1">
        <f t="shared" si="117"/>
        <v>0</v>
      </c>
      <c r="Z366" s="1">
        <f t="shared" si="118"/>
        <v>0</v>
      </c>
      <c r="AA366" s="1">
        <f t="shared" si="119"/>
        <v>0</v>
      </c>
      <c r="AB366" s="1">
        <f t="shared" si="120"/>
        <v>0</v>
      </c>
      <c r="AD366" s="1">
        <f t="shared" si="121"/>
        <v>0</v>
      </c>
      <c r="AE366" s="1">
        <f t="shared" si="122"/>
        <v>0</v>
      </c>
      <c r="AF366" s="1">
        <f t="shared" si="107"/>
        <v>0</v>
      </c>
      <c r="AG366" s="1">
        <f t="shared" si="108"/>
        <v>0</v>
      </c>
      <c r="AH366" s="1">
        <f t="shared" si="109"/>
        <v>0</v>
      </c>
      <c r="AI366" s="1">
        <f t="shared" si="110"/>
        <v>1</v>
      </c>
    </row>
    <row r="367" spans="1:35" ht="14.25" customHeight="1" x14ac:dyDescent="0.25">
      <c r="A367" s="47">
        <v>0</v>
      </c>
      <c r="B367" s="47">
        <v>2</v>
      </c>
      <c r="C367" s="47">
        <v>6</v>
      </c>
      <c r="D367" s="48" t="s">
        <v>524</v>
      </c>
      <c r="E367" s="48" t="s">
        <v>31</v>
      </c>
      <c r="F367" s="48" t="s">
        <v>678</v>
      </c>
      <c r="G367" s="48" t="s">
        <v>202</v>
      </c>
      <c r="H367" s="48" t="s">
        <v>357</v>
      </c>
      <c r="I367" s="47" t="s">
        <v>525</v>
      </c>
      <c r="J367" s="47">
        <v>2</v>
      </c>
      <c r="K367" s="49" t="s">
        <v>961</v>
      </c>
      <c r="L367" s="49" t="s">
        <v>701</v>
      </c>
      <c r="M367" s="50" t="s">
        <v>1445</v>
      </c>
      <c r="N367" s="50" t="s">
        <v>1750</v>
      </c>
      <c r="O367" s="51"/>
      <c r="P367" s="51"/>
      <c r="Q367" s="48"/>
      <c r="S367" s="1">
        <f t="shared" si="111"/>
        <v>0</v>
      </c>
      <c r="T367" s="1">
        <f t="shared" si="112"/>
        <v>1</v>
      </c>
      <c r="U367" s="1">
        <f t="shared" si="113"/>
        <v>0</v>
      </c>
      <c r="V367" s="1">
        <f t="shared" si="114"/>
        <v>0</v>
      </c>
      <c r="W367" s="1">
        <f t="shared" si="115"/>
        <v>0</v>
      </c>
      <c r="X367" s="1">
        <f t="shared" si="116"/>
        <v>0</v>
      </c>
      <c r="Y367" s="1">
        <f t="shared" si="117"/>
        <v>0</v>
      </c>
      <c r="Z367" s="1">
        <f t="shared" si="118"/>
        <v>0</v>
      </c>
      <c r="AA367" s="1">
        <f t="shared" si="119"/>
        <v>0</v>
      </c>
      <c r="AB367" s="1">
        <f t="shared" si="120"/>
        <v>0</v>
      </c>
      <c r="AD367" s="1">
        <f t="shared" si="121"/>
        <v>0</v>
      </c>
      <c r="AE367" s="1">
        <f t="shared" si="122"/>
        <v>0</v>
      </c>
      <c r="AF367" s="1">
        <f t="shared" si="107"/>
        <v>0</v>
      </c>
      <c r="AG367" s="1">
        <f t="shared" si="108"/>
        <v>0</v>
      </c>
      <c r="AH367" s="1">
        <f t="shared" si="109"/>
        <v>0</v>
      </c>
      <c r="AI367" s="1">
        <f t="shared" si="110"/>
        <v>1</v>
      </c>
    </row>
    <row r="368" spans="1:35" ht="14.25" customHeight="1" x14ac:dyDescent="0.25">
      <c r="A368" s="34">
        <v>0</v>
      </c>
      <c r="B368" s="34">
        <v>2</v>
      </c>
      <c r="C368" s="34">
        <v>6</v>
      </c>
      <c r="D368" s="35" t="s">
        <v>53</v>
      </c>
      <c r="E368" s="35" t="s">
        <v>31</v>
      </c>
      <c r="F368" s="35" t="s">
        <v>212</v>
      </c>
      <c r="G368" s="35" t="s">
        <v>213</v>
      </c>
      <c r="H368" s="35" t="s">
        <v>357</v>
      </c>
      <c r="I368" s="34" t="s">
        <v>395</v>
      </c>
      <c r="J368" s="34">
        <v>1</v>
      </c>
      <c r="K368" s="36" t="s">
        <v>719</v>
      </c>
      <c r="L368" s="36" t="s">
        <v>711</v>
      </c>
      <c r="M368" s="37" t="s">
        <v>735</v>
      </c>
      <c r="N368" s="37" t="s">
        <v>1758</v>
      </c>
      <c r="O368" s="38">
        <v>1</v>
      </c>
      <c r="P368" s="38"/>
      <c r="Q368" s="35"/>
      <c r="S368" s="1">
        <f t="shared" si="111"/>
        <v>1</v>
      </c>
      <c r="T368" s="1">
        <f t="shared" si="112"/>
        <v>0</v>
      </c>
      <c r="U368" s="1">
        <f t="shared" si="113"/>
        <v>0</v>
      </c>
      <c r="V368" s="1">
        <f t="shared" si="114"/>
        <v>0</v>
      </c>
      <c r="W368" s="1">
        <f t="shared" si="115"/>
        <v>0</v>
      </c>
      <c r="X368" s="1">
        <f t="shared" si="116"/>
        <v>0</v>
      </c>
      <c r="Y368" s="1">
        <f t="shared" si="117"/>
        <v>0</v>
      </c>
      <c r="Z368" s="1">
        <f t="shared" si="118"/>
        <v>0</v>
      </c>
      <c r="AA368" s="1">
        <f t="shared" si="119"/>
        <v>0</v>
      </c>
      <c r="AB368" s="1">
        <f t="shared" si="120"/>
        <v>0</v>
      </c>
      <c r="AD368" s="1">
        <f t="shared" si="121"/>
        <v>0</v>
      </c>
      <c r="AE368" s="1">
        <f t="shared" si="122"/>
        <v>1</v>
      </c>
      <c r="AF368" s="1">
        <f t="shared" si="107"/>
        <v>0</v>
      </c>
      <c r="AG368" s="1">
        <f t="shared" si="108"/>
        <v>1</v>
      </c>
      <c r="AH368" s="1">
        <f t="shared" si="109"/>
        <v>0</v>
      </c>
      <c r="AI368" s="1">
        <f t="shared" si="110"/>
        <v>1</v>
      </c>
    </row>
    <row r="369" spans="1:35" ht="14.25" customHeight="1" x14ac:dyDescent="0.25">
      <c r="A369" s="15">
        <v>0</v>
      </c>
      <c r="B369" s="15">
        <v>2</v>
      </c>
      <c r="C369" s="15">
        <v>6</v>
      </c>
      <c r="D369" s="16" t="s">
        <v>1877</v>
      </c>
      <c r="E369" s="16" t="s">
        <v>1878</v>
      </c>
      <c r="F369" s="20" t="s">
        <v>1879</v>
      </c>
      <c r="G369" s="16"/>
      <c r="H369" s="20" t="s">
        <v>357</v>
      </c>
      <c r="I369" s="21" t="s">
        <v>1880</v>
      </c>
      <c r="J369" s="15">
        <v>99</v>
      </c>
      <c r="K369" s="10" t="s">
        <v>710</v>
      </c>
      <c r="L369" s="10">
        <v>25</v>
      </c>
      <c r="M369" s="19" t="s">
        <v>1881</v>
      </c>
      <c r="N369" s="19"/>
      <c r="Q369" s="20"/>
      <c r="S369" s="1">
        <f t="shared" ref="S369:S371" si="123">IF(J369=$S$7,1,0)</f>
        <v>0</v>
      </c>
      <c r="T369" s="1">
        <f t="shared" ref="T369:T371" si="124">IF(J369=$T$7,1,0)</f>
        <v>0</v>
      </c>
      <c r="U369" s="1">
        <f t="shared" ref="U369:U371" si="125">IF(J369=$U$7,1,0)</f>
        <v>0</v>
      </c>
      <c r="V369" s="1">
        <f t="shared" ref="V369:V371" si="126">IF(J369=$V$7,1,0)</f>
        <v>0</v>
      </c>
      <c r="W369" s="1">
        <f t="shared" ref="W369:W371" si="127">IF(J369=$W$7,1,0)</f>
        <v>0</v>
      </c>
      <c r="X369" s="1">
        <f t="shared" ref="X369:X371" si="128">IF(J369=$X$7,1,0)</f>
        <v>0</v>
      </c>
      <c r="Y369" s="1">
        <f t="shared" ref="Y369:Y371" si="129">IF(J369=$Y$7,1,0)</f>
        <v>0</v>
      </c>
      <c r="Z369" s="1">
        <f t="shared" ref="Z369:Z371" si="130">IF(J369=$Z$7,1,0)</f>
        <v>0</v>
      </c>
      <c r="AA369" s="1">
        <f t="shared" ref="AA369:AA371" si="131">IF(J369=$AA$7,1,0)</f>
        <v>0</v>
      </c>
      <c r="AB369" s="1">
        <f t="shared" ref="AB369:AB371" si="132">IF(J369=$AB$7,1,0)</f>
        <v>0</v>
      </c>
      <c r="AD369" s="1">
        <f t="shared" ref="AD369:AD371" si="133">+O369*P369</f>
        <v>0</v>
      </c>
      <c r="AE369" s="1">
        <f t="shared" ref="AE369:AE371" si="134">O369*(1-P369)</f>
        <v>0</v>
      </c>
      <c r="AF369" s="1">
        <f t="shared" si="107"/>
        <v>0</v>
      </c>
      <c r="AG369" s="1">
        <f t="shared" si="108"/>
        <v>0</v>
      </c>
      <c r="AH369" s="1">
        <f t="shared" si="109"/>
        <v>0</v>
      </c>
      <c r="AI369" s="1">
        <f t="shared" si="110"/>
        <v>1</v>
      </c>
    </row>
    <row r="370" spans="1:35" ht="14.25" customHeight="1" x14ac:dyDescent="0.25">
      <c r="A370" s="15">
        <v>0</v>
      </c>
      <c r="B370" s="15">
        <v>2</v>
      </c>
      <c r="C370" s="15">
        <v>6</v>
      </c>
      <c r="D370" s="16" t="s">
        <v>81</v>
      </c>
      <c r="E370" s="16" t="s">
        <v>31</v>
      </c>
      <c r="F370" s="16" t="s">
        <v>273</v>
      </c>
      <c r="G370" s="16" t="s">
        <v>226</v>
      </c>
      <c r="H370" s="16" t="s">
        <v>357</v>
      </c>
      <c r="I370" s="15" t="s">
        <v>684</v>
      </c>
      <c r="J370" s="15">
        <v>99</v>
      </c>
      <c r="K370" s="10" t="s">
        <v>962</v>
      </c>
      <c r="L370" s="10" t="s">
        <v>701</v>
      </c>
      <c r="M370" s="19" t="s">
        <v>1446</v>
      </c>
      <c r="N370" s="19"/>
      <c r="Q370" s="16"/>
      <c r="S370" s="1">
        <f t="shared" si="123"/>
        <v>0</v>
      </c>
      <c r="T370" s="1">
        <f t="shared" si="124"/>
        <v>0</v>
      </c>
      <c r="U370" s="1">
        <f t="shared" si="125"/>
        <v>0</v>
      </c>
      <c r="V370" s="1">
        <f t="shared" si="126"/>
        <v>0</v>
      </c>
      <c r="W370" s="1">
        <f t="shared" si="127"/>
        <v>0</v>
      </c>
      <c r="X370" s="1">
        <f t="shared" si="128"/>
        <v>0</v>
      </c>
      <c r="Y370" s="1">
        <f t="shared" si="129"/>
        <v>0</v>
      </c>
      <c r="Z370" s="1">
        <f t="shared" si="130"/>
        <v>0</v>
      </c>
      <c r="AA370" s="1">
        <f t="shared" si="131"/>
        <v>0</v>
      </c>
      <c r="AB370" s="1">
        <f t="shared" si="132"/>
        <v>0</v>
      </c>
      <c r="AD370" s="1">
        <f t="shared" si="133"/>
        <v>0</v>
      </c>
      <c r="AE370" s="1">
        <f t="shared" si="134"/>
        <v>0</v>
      </c>
      <c r="AF370" s="1">
        <f t="shared" si="107"/>
        <v>0</v>
      </c>
      <c r="AG370" s="1">
        <f t="shared" si="108"/>
        <v>0</v>
      </c>
      <c r="AH370" s="1">
        <f t="shared" si="109"/>
        <v>0</v>
      </c>
      <c r="AI370" s="1">
        <f t="shared" si="110"/>
        <v>1</v>
      </c>
    </row>
    <row r="371" spans="1:35" ht="14.25" customHeight="1" x14ac:dyDescent="0.25">
      <c r="A371" s="47">
        <v>0</v>
      </c>
      <c r="B371" s="47">
        <v>2</v>
      </c>
      <c r="C371" s="47">
        <v>6</v>
      </c>
      <c r="D371" s="48" t="s">
        <v>644</v>
      </c>
      <c r="E371" s="48" t="s">
        <v>31</v>
      </c>
      <c r="F371" s="48" t="s">
        <v>645</v>
      </c>
      <c r="G371" s="48" t="s">
        <v>242</v>
      </c>
      <c r="H371" s="48" t="s">
        <v>357</v>
      </c>
      <c r="I371" s="47" t="s">
        <v>646</v>
      </c>
      <c r="J371" s="47">
        <v>1</v>
      </c>
      <c r="K371" s="49" t="s">
        <v>720</v>
      </c>
      <c r="L371" s="49" t="s">
        <v>701</v>
      </c>
      <c r="M371" s="50" t="s">
        <v>1447</v>
      </c>
      <c r="N371" s="50" t="s">
        <v>1750</v>
      </c>
      <c r="O371" s="51"/>
      <c r="P371" s="51"/>
      <c r="Q371" s="48"/>
      <c r="S371" s="1">
        <f t="shared" si="123"/>
        <v>1</v>
      </c>
      <c r="T371" s="1">
        <f t="shared" si="124"/>
        <v>0</v>
      </c>
      <c r="U371" s="1">
        <f t="shared" si="125"/>
        <v>0</v>
      </c>
      <c r="V371" s="1">
        <f t="shared" si="126"/>
        <v>0</v>
      </c>
      <c r="W371" s="1">
        <f t="shared" si="127"/>
        <v>0</v>
      </c>
      <c r="X371" s="1">
        <f t="shared" si="128"/>
        <v>0</v>
      </c>
      <c r="Y371" s="1">
        <f t="shared" si="129"/>
        <v>0</v>
      </c>
      <c r="Z371" s="1">
        <f t="shared" si="130"/>
        <v>0</v>
      </c>
      <c r="AA371" s="1">
        <f t="shared" si="131"/>
        <v>0</v>
      </c>
      <c r="AB371" s="1">
        <f t="shared" si="132"/>
        <v>0</v>
      </c>
      <c r="AD371" s="1">
        <f t="shared" si="133"/>
        <v>0</v>
      </c>
      <c r="AE371" s="1">
        <f t="shared" si="134"/>
        <v>0</v>
      </c>
      <c r="AF371" s="1">
        <f t="shared" si="107"/>
        <v>0</v>
      </c>
      <c r="AG371" s="1">
        <f t="shared" si="108"/>
        <v>0</v>
      </c>
      <c r="AH371" s="1">
        <f t="shared" si="109"/>
        <v>0</v>
      </c>
      <c r="AI371" s="1">
        <f t="shared" si="110"/>
        <v>1</v>
      </c>
    </row>
    <row r="372" spans="1:35" ht="14.25" customHeight="1" x14ac:dyDescent="0.25">
      <c r="A372" s="47">
        <v>0</v>
      </c>
      <c r="B372" s="47">
        <v>2</v>
      </c>
      <c r="C372" s="47">
        <v>6</v>
      </c>
      <c r="D372" s="48" t="s">
        <v>1145</v>
      </c>
      <c r="E372" s="48" t="s">
        <v>31</v>
      </c>
      <c r="F372" s="48" t="s">
        <v>678</v>
      </c>
      <c r="G372" s="48" t="s">
        <v>202</v>
      </c>
      <c r="H372" s="48" t="s">
        <v>357</v>
      </c>
      <c r="I372" s="47" t="s">
        <v>525</v>
      </c>
      <c r="J372" s="47">
        <v>2</v>
      </c>
      <c r="K372" s="49" t="s">
        <v>719</v>
      </c>
      <c r="L372" s="49" t="s">
        <v>701</v>
      </c>
      <c r="M372" s="50" t="s">
        <v>735</v>
      </c>
      <c r="N372" s="50" t="s">
        <v>1750</v>
      </c>
      <c r="O372" s="51"/>
      <c r="P372" s="51"/>
      <c r="Q372" s="48"/>
      <c r="S372" s="1">
        <f t="shared" si="111"/>
        <v>0</v>
      </c>
      <c r="T372" s="1">
        <f t="shared" si="112"/>
        <v>1</v>
      </c>
      <c r="U372" s="1">
        <f t="shared" si="113"/>
        <v>0</v>
      </c>
      <c r="V372" s="1">
        <f t="shared" si="114"/>
        <v>0</v>
      </c>
      <c r="W372" s="1">
        <f t="shared" si="115"/>
        <v>0</v>
      </c>
      <c r="X372" s="1">
        <f t="shared" si="116"/>
        <v>0</v>
      </c>
      <c r="Y372" s="1">
        <f t="shared" si="117"/>
        <v>0</v>
      </c>
      <c r="Z372" s="1">
        <f t="shared" si="118"/>
        <v>0</v>
      </c>
      <c r="AA372" s="1">
        <f t="shared" si="119"/>
        <v>0</v>
      </c>
      <c r="AB372" s="1">
        <f t="shared" si="120"/>
        <v>0</v>
      </c>
      <c r="AD372" s="1">
        <f t="shared" si="121"/>
        <v>0</v>
      </c>
      <c r="AE372" s="1">
        <f t="shared" si="122"/>
        <v>0</v>
      </c>
      <c r="AF372" s="1">
        <f t="shared" si="107"/>
        <v>0</v>
      </c>
      <c r="AG372" s="1">
        <f t="shared" si="108"/>
        <v>0</v>
      </c>
      <c r="AH372" s="1">
        <f t="shared" si="109"/>
        <v>0</v>
      </c>
      <c r="AI372" s="1">
        <f t="shared" si="110"/>
        <v>1</v>
      </c>
    </row>
    <row r="373" spans="1:35" ht="14.25" customHeight="1" x14ac:dyDescent="0.25">
      <c r="A373" s="47">
        <v>0</v>
      </c>
      <c r="B373" s="47">
        <v>2</v>
      </c>
      <c r="C373" s="47">
        <v>6</v>
      </c>
      <c r="D373" s="48" t="s">
        <v>1093</v>
      </c>
      <c r="E373" s="48" t="s">
        <v>161</v>
      </c>
      <c r="F373" s="48" t="s">
        <v>200</v>
      </c>
      <c r="G373" s="48" t="s">
        <v>201</v>
      </c>
      <c r="H373" s="48" t="s">
        <v>357</v>
      </c>
      <c r="I373" s="47" t="s">
        <v>391</v>
      </c>
      <c r="J373" s="47">
        <v>99</v>
      </c>
      <c r="K373" s="49" t="s">
        <v>719</v>
      </c>
      <c r="L373" s="49" t="s">
        <v>723</v>
      </c>
      <c r="M373" s="50" t="s">
        <v>737</v>
      </c>
      <c r="N373" s="50" t="s">
        <v>1749</v>
      </c>
      <c r="O373" s="51"/>
      <c r="P373" s="51"/>
      <c r="Q373" s="48"/>
      <c r="S373" s="1">
        <f t="shared" si="111"/>
        <v>0</v>
      </c>
      <c r="T373" s="1">
        <f t="shared" si="112"/>
        <v>0</v>
      </c>
      <c r="U373" s="1">
        <f t="shared" si="113"/>
        <v>0</v>
      </c>
      <c r="V373" s="1">
        <f t="shared" si="114"/>
        <v>0</v>
      </c>
      <c r="W373" s="1">
        <f t="shared" si="115"/>
        <v>0</v>
      </c>
      <c r="X373" s="1">
        <f t="shared" si="116"/>
        <v>0</v>
      </c>
      <c r="Y373" s="1">
        <f t="shared" si="117"/>
        <v>0</v>
      </c>
      <c r="Z373" s="1">
        <f t="shared" si="118"/>
        <v>0</v>
      </c>
      <c r="AA373" s="1">
        <f t="shared" si="119"/>
        <v>0</v>
      </c>
      <c r="AB373" s="1">
        <f t="shared" si="120"/>
        <v>0</v>
      </c>
      <c r="AD373" s="1">
        <f t="shared" si="121"/>
        <v>0</v>
      </c>
      <c r="AE373" s="1">
        <f t="shared" si="122"/>
        <v>0</v>
      </c>
      <c r="AF373" s="1">
        <f t="shared" si="107"/>
        <v>0</v>
      </c>
      <c r="AG373" s="1">
        <f t="shared" si="108"/>
        <v>0</v>
      </c>
      <c r="AH373" s="1">
        <f t="shared" si="109"/>
        <v>0</v>
      </c>
      <c r="AI373" s="1">
        <f t="shared" si="110"/>
        <v>1</v>
      </c>
    </row>
    <row r="374" spans="1:35" ht="14.25" customHeight="1" x14ac:dyDescent="0.25">
      <c r="A374" s="34">
        <v>0</v>
      </c>
      <c r="B374" s="34">
        <v>2</v>
      </c>
      <c r="C374" s="34">
        <v>7</v>
      </c>
      <c r="D374" s="35" t="s">
        <v>514</v>
      </c>
      <c r="E374" s="35" t="s">
        <v>158</v>
      </c>
      <c r="F374" s="35" t="s">
        <v>515</v>
      </c>
      <c r="G374" s="35" t="s">
        <v>39</v>
      </c>
      <c r="H374" s="35" t="s">
        <v>357</v>
      </c>
      <c r="I374" s="34" t="s">
        <v>949</v>
      </c>
      <c r="J374" s="34">
        <v>7</v>
      </c>
      <c r="K374" s="36" t="s">
        <v>962</v>
      </c>
      <c r="L374" s="36" t="s">
        <v>39</v>
      </c>
      <c r="M374" s="37" t="s">
        <v>39</v>
      </c>
      <c r="N374" s="37" t="s">
        <v>1742</v>
      </c>
      <c r="O374" s="38">
        <v>1</v>
      </c>
      <c r="P374" s="38">
        <v>1</v>
      </c>
      <c r="Q374" s="35"/>
      <c r="S374" s="1">
        <f t="shared" si="111"/>
        <v>0</v>
      </c>
      <c r="T374" s="1">
        <f t="shared" si="112"/>
        <v>0</v>
      </c>
      <c r="U374" s="1">
        <f t="shared" si="113"/>
        <v>0</v>
      </c>
      <c r="V374" s="1">
        <f t="shared" si="114"/>
        <v>0</v>
      </c>
      <c r="W374" s="1">
        <f t="shared" si="115"/>
        <v>0</v>
      </c>
      <c r="X374" s="1">
        <f t="shared" si="116"/>
        <v>0</v>
      </c>
      <c r="Y374" s="1">
        <f t="shared" si="117"/>
        <v>1</v>
      </c>
      <c r="Z374" s="1">
        <f t="shared" si="118"/>
        <v>0</v>
      </c>
      <c r="AA374" s="1">
        <f t="shared" si="119"/>
        <v>0</v>
      </c>
      <c r="AB374" s="1">
        <f t="shared" si="120"/>
        <v>0</v>
      </c>
      <c r="AD374" s="1">
        <f t="shared" si="121"/>
        <v>1</v>
      </c>
      <c r="AE374" s="1">
        <f t="shared" si="122"/>
        <v>0</v>
      </c>
      <c r="AF374" s="1">
        <f t="shared" si="107"/>
        <v>1</v>
      </c>
      <c r="AG374" s="1">
        <f t="shared" si="108"/>
        <v>0</v>
      </c>
      <c r="AH374" s="1">
        <f t="shared" si="109"/>
        <v>1</v>
      </c>
      <c r="AI374" s="1">
        <f t="shared" si="110"/>
        <v>0</v>
      </c>
    </row>
    <row r="375" spans="1:35" ht="14.25" customHeight="1" x14ac:dyDescent="0.25">
      <c r="A375" s="34">
        <v>0</v>
      </c>
      <c r="B375" s="34">
        <v>2</v>
      </c>
      <c r="C375" s="34">
        <v>7</v>
      </c>
      <c r="D375" s="35" t="s">
        <v>70</v>
      </c>
      <c r="E375" s="35" t="s">
        <v>28</v>
      </c>
      <c r="F375" s="35" t="s">
        <v>679</v>
      </c>
      <c r="G375" s="35" t="s">
        <v>260</v>
      </c>
      <c r="H375" s="35" t="s">
        <v>357</v>
      </c>
      <c r="I375" s="34" t="s">
        <v>420</v>
      </c>
      <c r="J375" s="34">
        <v>8</v>
      </c>
      <c r="K375" s="36" t="s">
        <v>720</v>
      </c>
      <c r="L375" s="36" t="s">
        <v>720</v>
      </c>
      <c r="M375" s="37" t="s">
        <v>738</v>
      </c>
      <c r="N375" s="37" t="s">
        <v>1758</v>
      </c>
      <c r="O375" s="38">
        <v>1</v>
      </c>
      <c r="P375" s="38"/>
      <c r="Q375" s="35"/>
      <c r="S375" s="1">
        <f t="shared" si="111"/>
        <v>0</v>
      </c>
      <c r="T375" s="1">
        <f t="shared" si="112"/>
        <v>0</v>
      </c>
      <c r="U375" s="1">
        <f t="shared" si="113"/>
        <v>0</v>
      </c>
      <c r="V375" s="1">
        <f t="shared" si="114"/>
        <v>0</v>
      </c>
      <c r="W375" s="1">
        <f t="shared" si="115"/>
        <v>0</v>
      </c>
      <c r="X375" s="1">
        <f t="shared" si="116"/>
        <v>0</v>
      </c>
      <c r="Y375" s="1">
        <f t="shared" si="117"/>
        <v>0</v>
      </c>
      <c r="Z375" s="1">
        <f t="shared" si="118"/>
        <v>1</v>
      </c>
      <c r="AA375" s="1">
        <f t="shared" si="119"/>
        <v>0</v>
      </c>
      <c r="AB375" s="1">
        <f t="shared" si="120"/>
        <v>0</v>
      </c>
      <c r="AD375" s="1">
        <f t="shared" si="121"/>
        <v>0</v>
      </c>
      <c r="AE375" s="1">
        <f t="shared" si="122"/>
        <v>1</v>
      </c>
      <c r="AF375" s="1">
        <f t="shared" si="107"/>
        <v>0</v>
      </c>
      <c r="AG375" s="1">
        <f t="shared" si="108"/>
        <v>1</v>
      </c>
      <c r="AH375" s="1">
        <f t="shared" si="109"/>
        <v>0</v>
      </c>
      <c r="AI375" s="1">
        <f t="shared" si="110"/>
        <v>1</v>
      </c>
    </row>
    <row r="376" spans="1:35" ht="14.25" customHeight="1" x14ac:dyDescent="0.25">
      <c r="A376" s="34">
        <v>0</v>
      </c>
      <c r="B376" s="34">
        <v>2</v>
      </c>
      <c r="C376" s="34">
        <v>7</v>
      </c>
      <c r="D376" s="35" t="s">
        <v>659</v>
      </c>
      <c r="E376" s="35" t="s">
        <v>158</v>
      </c>
      <c r="F376" s="35" t="s">
        <v>590</v>
      </c>
      <c r="G376" s="35" t="s">
        <v>251</v>
      </c>
      <c r="H376" s="35" t="s">
        <v>357</v>
      </c>
      <c r="I376" s="34" t="s">
        <v>685</v>
      </c>
      <c r="J376" s="34">
        <v>7</v>
      </c>
      <c r="K376" s="36" t="s">
        <v>962</v>
      </c>
      <c r="L376" s="36" t="s">
        <v>39</v>
      </c>
      <c r="M376" s="37" t="s">
        <v>39</v>
      </c>
      <c r="N376" s="37" t="s">
        <v>1742</v>
      </c>
      <c r="O376" s="38">
        <v>1</v>
      </c>
      <c r="P376" s="38">
        <v>1</v>
      </c>
      <c r="Q376" s="35"/>
      <c r="S376" s="1">
        <f t="shared" si="111"/>
        <v>0</v>
      </c>
      <c r="T376" s="1">
        <f t="shared" si="112"/>
        <v>0</v>
      </c>
      <c r="U376" s="1">
        <f t="shared" si="113"/>
        <v>0</v>
      </c>
      <c r="V376" s="1">
        <f t="shared" si="114"/>
        <v>0</v>
      </c>
      <c r="W376" s="1">
        <f t="shared" si="115"/>
        <v>0</v>
      </c>
      <c r="X376" s="1">
        <f t="shared" si="116"/>
        <v>0</v>
      </c>
      <c r="Y376" s="1">
        <f t="shared" si="117"/>
        <v>1</v>
      </c>
      <c r="Z376" s="1">
        <f t="shared" si="118"/>
        <v>0</v>
      </c>
      <c r="AA376" s="1">
        <f t="shared" si="119"/>
        <v>0</v>
      </c>
      <c r="AB376" s="1">
        <f t="shared" si="120"/>
        <v>0</v>
      </c>
      <c r="AD376" s="1">
        <f t="shared" si="121"/>
        <v>1</v>
      </c>
      <c r="AE376" s="1">
        <f t="shared" si="122"/>
        <v>0</v>
      </c>
      <c r="AF376" s="1">
        <f t="shared" si="107"/>
        <v>1</v>
      </c>
      <c r="AG376" s="1">
        <f t="shared" si="108"/>
        <v>0</v>
      </c>
      <c r="AH376" s="1">
        <f t="shared" si="109"/>
        <v>1</v>
      </c>
      <c r="AI376" s="1">
        <f t="shared" si="110"/>
        <v>0</v>
      </c>
    </row>
    <row r="377" spans="1:35" ht="14.25" customHeight="1" x14ac:dyDescent="0.25">
      <c r="A377" s="47">
        <v>0</v>
      </c>
      <c r="B377" s="47">
        <v>2</v>
      </c>
      <c r="C377" s="47">
        <v>7</v>
      </c>
      <c r="D377" s="48" t="s">
        <v>1649</v>
      </c>
      <c r="E377" s="48" t="s">
        <v>158</v>
      </c>
      <c r="F377" s="48" t="s">
        <v>1672</v>
      </c>
      <c r="G377" s="48" t="s">
        <v>215</v>
      </c>
      <c r="H377" s="48" t="s">
        <v>357</v>
      </c>
      <c r="I377" s="47" t="s">
        <v>599</v>
      </c>
      <c r="J377" s="47">
        <v>1</v>
      </c>
      <c r="K377" s="49" t="s">
        <v>719</v>
      </c>
      <c r="L377" s="49" t="s">
        <v>729</v>
      </c>
      <c r="M377" s="50" t="s">
        <v>1448</v>
      </c>
      <c r="N377" s="50" t="s">
        <v>1750</v>
      </c>
      <c r="O377" s="51"/>
      <c r="P377" s="51"/>
      <c r="Q377" s="48"/>
      <c r="S377" s="1">
        <f t="shared" si="111"/>
        <v>1</v>
      </c>
      <c r="T377" s="1">
        <f t="shared" si="112"/>
        <v>0</v>
      </c>
      <c r="U377" s="1">
        <f t="shared" si="113"/>
        <v>0</v>
      </c>
      <c r="V377" s="1">
        <f t="shared" si="114"/>
        <v>0</v>
      </c>
      <c r="W377" s="1">
        <f t="shared" si="115"/>
        <v>0</v>
      </c>
      <c r="X377" s="1">
        <f t="shared" si="116"/>
        <v>0</v>
      </c>
      <c r="Y377" s="1">
        <f t="shared" si="117"/>
        <v>0</v>
      </c>
      <c r="Z377" s="1">
        <f t="shared" si="118"/>
        <v>0</v>
      </c>
      <c r="AA377" s="1">
        <f t="shared" si="119"/>
        <v>0</v>
      </c>
      <c r="AB377" s="1">
        <f t="shared" si="120"/>
        <v>0</v>
      </c>
      <c r="AD377" s="1">
        <f t="shared" si="121"/>
        <v>0</v>
      </c>
      <c r="AE377" s="1">
        <f t="shared" si="122"/>
        <v>0</v>
      </c>
      <c r="AF377" s="1">
        <f t="shared" si="107"/>
        <v>0</v>
      </c>
      <c r="AG377" s="1">
        <f t="shared" si="108"/>
        <v>0</v>
      </c>
      <c r="AH377" s="1">
        <f t="shared" si="109"/>
        <v>0</v>
      </c>
      <c r="AI377" s="1">
        <f t="shared" si="110"/>
        <v>1</v>
      </c>
    </row>
    <row r="378" spans="1:35" ht="14.25" customHeight="1" x14ac:dyDescent="0.25">
      <c r="A378" s="47">
        <v>0</v>
      </c>
      <c r="B378" s="47">
        <v>2</v>
      </c>
      <c r="C378" s="47">
        <v>7</v>
      </c>
      <c r="D378" s="48" t="s">
        <v>1080</v>
      </c>
      <c r="E378" s="48" t="s">
        <v>1056</v>
      </c>
      <c r="F378" s="48" t="s">
        <v>1081</v>
      </c>
      <c r="G378" s="48" t="s">
        <v>215</v>
      </c>
      <c r="H378" s="48" t="s">
        <v>357</v>
      </c>
      <c r="I378" s="47" t="s">
        <v>1082</v>
      </c>
      <c r="J378" s="47">
        <v>1</v>
      </c>
      <c r="K378" s="49" t="s">
        <v>962</v>
      </c>
      <c r="L378" s="49" t="s">
        <v>729</v>
      </c>
      <c r="M378" s="50" t="s">
        <v>1449</v>
      </c>
      <c r="N378" s="50" t="s">
        <v>1750</v>
      </c>
      <c r="O378" s="51"/>
      <c r="P378" s="51"/>
      <c r="Q378" s="48" t="s">
        <v>1933</v>
      </c>
      <c r="S378" s="1">
        <f t="shared" si="111"/>
        <v>1</v>
      </c>
      <c r="T378" s="1">
        <f t="shared" si="112"/>
        <v>0</v>
      </c>
      <c r="U378" s="1">
        <f t="shared" si="113"/>
        <v>0</v>
      </c>
      <c r="V378" s="1">
        <f t="shared" si="114"/>
        <v>0</v>
      </c>
      <c r="W378" s="1">
        <f t="shared" si="115"/>
        <v>0</v>
      </c>
      <c r="X378" s="1">
        <f t="shared" si="116"/>
        <v>0</v>
      </c>
      <c r="Y378" s="1">
        <f t="shared" si="117"/>
        <v>0</v>
      </c>
      <c r="Z378" s="1">
        <f t="shared" si="118"/>
        <v>0</v>
      </c>
      <c r="AA378" s="1">
        <f t="shared" si="119"/>
        <v>0</v>
      </c>
      <c r="AB378" s="1">
        <f t="shared" si="120"/>
        <v>0</v>
      </c>
      <c r="AD378" s="1">
        <f t="shared" si="121"/>
        <v>0</v>
      </c>
      <c r="AE378" s="1">
        <f t="shared" si="122"/>
        <v>0</v>
      </c>
      <c r="AF378" s="1">
        <f t="shared" si="107"/>
        <v>0</v>
      </c>
      <c r="AG378" s="1">
        <f t="shared" si="108"/>
        <v>0</v>
      </c>
      <c r="AH378" s="1">
        <f t="shared" si="109"/>
        <v>0</v>
      </c>
      <c r="AI378" s="1">
        <f t="shared" si="110"/>
        <v>1</v>
      </c>
    </row>
    <row r="379" spans="1:35" ht="14.25" customHeight="1" x14ac:dyDescent="0.25">
      <c r="A379" s="34">
        <v>0</v>
      </c>
      <c r="B379" s="34">
        <v>2</v>
      </c>
      <c r="C379" s="34">
        <v>7</v>
      </c>
      <c r="D379" s="35" t="s">
        <v>1024</v>
      </c>
      <c r="E379" s="35" t="s">
        <v>158</v>
      </c>
      <c r="F379" s="35" t="s">
        <v>1098</v>
      </c>
      <c r="G379" s="35" t="s">
        <v>1108</v>
      </c>
      <c r="H379" s="35" t="s">
        <v>357</v>
      </c>
      <c r="I379" s="34" t="s">
        <v>1025</v>
      </c>
      <c r="J379" s="34">
        <v>99</v>
      </c>
      <c r="K379" s="36" t="s">
        <v>720</v>
      </c>
      <c r="L379" s="36" t="s">
        <v>729</v>
      </c>
      <c r="M379" s="37" t="s">
        <v>1449</v>
      </c>
      <c r="N379" s="37" t="s">
        <v>1763</v>
      </c>
      <c r="O379" s="38">
        <v>1</v>
      </c>
      <c r="P379" s="38"/>
      <c r="Q379" s="35"/>
      <c r="S379" s="1">
        <f t="shared" si="111"/>
        <v>0</v>
      </c>
      <c r="T379" s="1">
        <f t="shared" si="112"/>
        <v>0</v>
      </c>
      <c r="U379" s="1">
        <f t="shared" si="113"/>
        <v>0</v>
      </c>
      <c r="V379" s="1">
        <f t="shared" si="114"/>
        <v>0</v>
      </c>
      <c r="W379" s="1">
        <f t="shared" si="115"/>
        <v>0</v>
      </c>
      <c r="X379" s="1">
        <f t="shared" si="116"/>
        <v>0</v>
      </c>
      <c r="Y379" s="1">
        <f t="shared" si="117"/>
        <v>0</v>
      </c>
      <c r="Z379" s="1">
        <f t="shared" si="118"/>
        <v>0</v>
      </c>
      <c r="AA379" s="1">
        <f t="shared" si="119"/>
        <v>0</v>
      </c>
      <c r="AB379" s="1">
        <f t="shared" si="120"/>
        <v>0</v>
      </c>
      <c r="AD379" s="1">
        <f t="shared" si="121"/>
        <v>0</v>
      </c>
      <c r="AE379" s="1">
        <f t="shared" si="122"/>
        <v>1</v>
      </c>
      <c r="AF379" s="1">
        <f t="shared" si="107"/>
        <v>0</v>
      </c>
      <c r="AG379" s="1">
        <f t="shared" si="108"/>
        <v>1</v>
      </c>
      <c r="AH379" s="1">
        <f t="shared" si="109"/>
        <v>0</v>
      </c>
      <c r="AI379" s="1">
        <f t="shared" si="110"/>
        <v>1</v>
      </c>
    </row>
    <row r="380" spans="1:35" ht="14.25" customHeight="1" x14ac:dyDescent="0.25">
      <c r="A380" s="34">
        <v>0</v>
      </c>
      <c r="B380" s="34">
        <v>2</v>
      </c>
      <c r="C380" s="34">
        <v>7</v>
      </c>
      <c r="D380" s="35" t="s">
        <v>1219</v>
      </c>
      <c r="E380" s="35" t="s">
        <v>1346</v>
      </c>
      <c r="F380" s="35" t="s">
        <v>1220</v>
      </c>
      <c r="G380" s="35" t="s">
        <v>39</v>
      </c>
      <c r="H380" s="35" t="s">
        <v>357</v>
      </c>
      <c r="I380" s="34" t="s">
        <v>1700</v>
      </c>
      <c r="J380" s="34">
        <v>99</v>
      </c>
      <c r="K380" s="36" t="s">
        <v>962</v>
      </c>
      <c r="L380" s="36" t="s">
        <v>736</v>
      </c>
      <c r="M380" s="37" t="s">
        <v>1450</v>
      </c>
      <c r="N380" s="37" t="s">
        <v>1763</v>
      </c>
      <c r="O380" s="38">
        <v>1</v>
      </c>
      <c r="P380" s="38"/>
      <c r="Q380" s="35"/>
      <c r="S380" s="1">
        <f t="shared" si="111"/>
        <v>0</v>
      </c>
      <c r="T380" s="1">
        <f t="shared" si="112"/>
        <v>0</v>
      </c>
      <c r="U380" s="1">
        <f t="shared" si="113"/>
        <v>0</v>
      </c>
      <c r="V380" s="1">
        <f t="shared" si="114"/>
        <v>0</v>
      </c>
      <c r="W380" s="1">
        <f t="shared" si="115"/>
        <v>0</v>
      </c>
      <c r="X380" s="1">
        <f t="shared" si="116"/>
        <v>0</v>
      </c>
      <c r="Y380" s="1">
        <f t="shared" si="117"/>
        <v>0</v>
      </c>
      <c r="Z380" s="1">
        <f t="shared" si="118"/>
        <v>0</v>
      </c>
      <c r="AA380" s="1">
        <f t="shared" si="119"/>
        <v>0</v>
      </c>
      <c r="AB380" s="1">
        <f t="shared" si="120"/>
        <v>0</v>
      </c>
      <c r="AD380" s="1">
        <f t="shared" si="121"/>
        <v>0</v>
      </c>
      <c r="AE380" s="1">
        <f t="shared" si="122"/>
        <v>1</v>
      </c>
      <c r="AF380" s="1">
        <f t="shared" si="107"/>
        <v>0</v>
      </c>
      <c r="AG380" s="1">
        <f t="shared" si="108"/>
        <v>1</v>
      </c>
      <c r="AH380" s="1">
        <f t="shared" si="109"/>
        <v>0</v>
      </c>
      <c r="AI380" s="1">
        <f t="shared" si="110"/>
        <v>1</v>
      </c>
    </row>
    <row r="381" spans="1:35" ht="14.25" customHeight="1" x14ac:dyDescent="0.25">
      <c r="A381" s="34">
        <v>0</v>
      </c>
      <c r="B381" s="34">
        <v>2</v>
      </c>
      <c r="C381" s="34">
        <v>7</v>
      </c>
      <c r="D381" s="35" t="s">
        <v>55</v>
      </c>
      <c r="E381" s="35" t="s">
        <v>28</v>
      </c>
      <c r="F381" s="35" t="s">
        <v>649</v>
      </c>
      <c r="G381" s="35" t="s">
        <v>540</v>
      </c>
      <c r="H381" s="35" t="s">
        <v>357</v>
      </c>
      <c r="I381" s="34" t="s">
        <v>397</v>
      </c>
      <c r="J381" s="34">
        <v>6</v>
      </c>
      <c r="K381" s="36" t="s">
        <v>719</v>
      </c>
      <c r="L381" s="36" t="s">
        <v>720</v>
      </c>
      <c r="M381" s="37" t="s">
        <v>738</v>
      </c>
      <c r="N381" s="37" t="s">
        <v>1776</v>
      </c>
      <c r="O381" s="38">
        <v>1</v>
      </c>
      <c r="P381" s="38"/>
      <c r="Q381" s="35"/>
      <c r="S381" s="1">
        <f t="shared" si="111"/>
        <v>0</v>
      </c>
      <c r="T381" s="1">
        <f t="shared" si="112"/>
        <v>0</v>
      </c>
      <c r="U381" s="1">
        <f t="shared" si="113"/>
        <v>0</v>
      </c>
      <c r="V381" s="1">
        <f t="shared" si="114"/>
        <v>0</v>
      </c>
      <c r="W381" s="1">
        <f t="shared" si="115"/>
        <v>0</v>
      </c>
      <c r="X381" s="1">
        <f t="shared" si="116"/>
        <v>1</v>
      </c>
      <c r="Y381" s="1">
        <f t="shared" si="117"/>
        <v>0</v>
      </c>
      <c r="Z381" s="1">
        <f t="shared" si="118"/>
        <v>0</v>
      </c>
      <c r="AA381" s="1">
        <f t="shared" si="119"/>
        <v>0</v>
      </c>
      <c r="AB381" s="1">
        <f t="shared" si="120"/>
        <v>0</v>
      </c>
      <c r="AD381" s="1">
        <f t="shared" si="121"/>
        <v>0</v>
      </c>
      <c r="AE381" s="1">
        <f t="shared" si="122"/>
        <v>1</v>
      </c>
      <c r="AF381" s="1">
        <f t="shared" si="107"/>
        <v>0</v>
      </c>
      <c r="AG381" s="1">
        <f t="shared" si="108"/>
        <v>1</v>
      </c>
      <c r="AH381" s="1">
        <f t="shared" si="109"/>
        <v>0</v>
      </c>
      <c r="AI381" s="1">
        <f t="shared" si="110"/>
        <v>1</v>
      </c>
    </row>
    <row r="382" spans="1:35" ht="14.25" customHeight="1" x14ac:dyDescent="0.25">
      <c r="A382" s="34">
        <v>1</v>
      </c>
      <c r="B382" s="34">
        <v>2</v>
      </c>
      <c r="C382" s="34">
        <v>7</v>
      </c>
      <c r="D382" s="35" t="s">
        <v>55</v>
      </c>
      <c r="E382" s="35" t="s">
        <v>28</v>
      </c>
      <c r="F382" s="35" t="s">
        <v>218</v>
      </c>
      <c r="G382" s="35" t="s">
        <v>39</v>
      </c>
      <c r="H382" s="35" t="s">
        <v>357</v>
      </c>
      <c r="I382" s="34" t="s">
        <v>30</v>
      </c>
      <c r="J382" s="34">
        <v>99</v>
      </c>
      <c r="K382" s="36" t="s">
        <v>719</v>
      </c>
      <c r="L382" s="36" t="s">
        <v>720</v>
      </c>
      <c r="M382" s="37" t="s">
        <v>738</v>
      </c>
      <c r="N382" s="37" t="s">
        <v>1776</v>
      </c>
      <c r="O382" s="38">
        <v>1</v>
      </c>
      <c r="P382" s="38"/>
      <c r="Q382" s="35"/>
      <c r="S382" s="1">
        <f t="shared" si="111"/>
        <v>0</v>
      </c>
      <c r="T382" s="1">
        <f t="shared" si="112"/>
        <v>0</v>
      </c>
      <c r="U382" s="1">
        <f t="shared" si="113"/>
        <v>0</v>
      </c>
      <c r="V382" s="1">
        <f t="shared" si="114"/>
        <v>0</v>
      </c>
      <c r="W382" s="1">
        <f t="shared" si="115"/>
        <v>0</v>
      </c>
      <c r="X382" s="1">
        <f t="shared" si="116"/>
        <v>0</v>
      </c>
      <c r="Y382" s="1">
        <f t="shared" si="117"/>
        <v>0</v>
      </c>
      <c r="Z382" s="1">
        <f t="shared" si="118"/>
        <v>0</v>
      </c>
      <c r="AA382" s="1">
        <f t="shared" si="119"/>
        <v>0</v>
      </c>
      <c r="AB382" s="1">
        <f t="shared" si="120"/>
        <v>0</v>
      </c>
      <c r="AD382" s="1">
        <f t="shared" si="121"/>
        <v>0</v>
      </c>
      <c r="AE382" s="1">
        <f t="shared" si="122"/>
        <v>1</v>
      </c>
      <c r="AF382" s="1">
        <f t="shared" si="107"/>
        <v>0</v>
      </c>
      <c r="AG382" s="1">
        <f t="shared" si="108"/>
        <v>0</v>
      </c>
      <c r="AH382" s="1">
        <f t="shared" si="109"/>
        <v>0</v>
      </c>
      <c r="AI382" s="1">
        <f t="shared" si="110"/>
        <v>0</v>
      </c>
    </row>
    <row r="383" spans="1:35" ht="14.25" customHeight="1" x14ac:dyDescent="0.25">
      <c r="A383" s="34">
        <v>1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217</v>
      </c>
      <c r="G383" s="35" t="s">
        <v>39</v>
      </c>
      <c r="H383" s="35" t="s">
        <v>357</v>
      </c>
      <c r="I383" s="34" t="s">
        <v>397</v>
      </c>
      <c r="J383" s="34">
        <v>99</v>
      </c>
      <c r="K383" s="36" t="s">
        <v>719</v>
      </c>
      <c r="L383" s="36" t="s">
        <v>720</v>
      </c>
      <c r="M383" s="37" t="s">
        <v>738</v>
      </c>
      <c r="N383" s="37" t="s">
        <v>1776</v>
      </c>
      <c r="O383" s="38">
        <v>1</v>
      </c>
      <c r="P383" s="38"/>
      <c r="Q383" s="35"/>
      <c r="S383" s="1">
        <f t="shared" si="111"/>
        <v>0</v>
      </c>
      <c r="T383" s="1">
        <f t="shared" si="112"/>
        <v>0</v>
      </c>
      <c r="U383" s="1">
        <f t="shared" si="113"/>
        <v>0</v>
      </c>
      <c r="V383" s="1">
        <f t="shared" si="114"/>
        <v>0</v>
      </c>
      <c r="W383" s="1">
        <f t="shared" si="115"/>
        <v>0</v>
      </c>
      <c r="X383" s="1">
        <f t="shared" si="116"/>
        <v>0</v>
      </c>
      <c r="Y383" s="1">
        <f t="shared" si="117"/>
        <v>0</v>
      </c>
      <c r="Z383" s="1">
        <f t="shared" si="118"/>
        <v>0</v>
      </c>
      <c r="AA383" s="1">
        <f t="shared" si="119"/>
        <v>0</v>
      </c>
      <c r="AB383" s="1">
        <f t="shared" si="120"/>
        <v>0</v>
      </c>
      <c r="AD383" s="1">
        <f t="shared" si="121"/>
        <v>0</v>
      </c>
      <c r="AE383" s="1">
        <f t="shared" si="122"/>
        <v>1</v>
      </c>
      <c r="AF383" s="1">
        <f t="shared" si="107"/>
        <v>0</v>
      </c>
      <c r="AG383" s="1">
        <f t="shared" si="108"/>
        <v>0</v>
      </c>
      <c r="AH383" s="1">
        <f t="shared" si="109"/>
        <v>0</v>
      </c>
      <c r="AI383" s="1">
        <f t="shared" si="110"/>
        <v>0</v>
      </c>
    </row>
    <row r="384" spans="1:35" ht="14.25" customHeight="1" x14ac:dyDescent="0.25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219</v>
      </c>
      <c r="G384" s="35" t="s">
        <v>220</v>
      </c>
      <c r="H384" s="35" t="s">
        <v>357</v>
      </c>
      <c r="I384" s="34" t="s">
        <v>398</v>
      </c>
      <c r="J384" s="34">
        <v>99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Q384" s="35"/>
      <c r="S384" s="1">
        <f t="shared" si="111"/>
        <v>0</v>
      </c>
      <c r="T384" s="1">
        <f t="shared" si="112"/>
        <v>0</v>
      </c>
      <c r="U384" s="1">
        <f t="shared" si="113"/>
        <v>0</v>
      </c>
      <c r="V384" s="1">
        <f t="shared" si="114"/>
        <v>0</v>
      </c>
      <c r="W384" s="1">
        <f t="shared" si="115"/>
        <v>0</v>
      </c>
      <c r="X384" s="1">
        <f t="shared" si="116"/>
        <v>0</v>
      </c>
      <c r="Y384" s="1">
        <f t="shared" si="117"/>
        <v>0</v>
      </c>
      <c r="Z384" s="1">
        <f t="shared" si="118"/>
        <v>0</v>
      </c>
      <c r="AA384" s="1">
        <f t="shared" si="119"/>
        <v>0</v>
      </c>
      <c r="AB384" s="1">
        <f t="shared" si="120"/>
        <v>0</v>
      </c>
      <c r="AD384" s="1">
        <f t="shared" si="121"/>
        <v>0</v>
      </c>
      <c r="AE384" s="1">
        <f t="shared" si="122"/>
        <v>1</v>
      </c>
      <c r="AF384" s="1">
        <f t="shared" si="107"/>
        <v>0</v>
      </c>
      <c r="AG384" s="1">
        <f t="shared" si="108"/>
        <v>0</v>
      </c>
      <c r="AH384" s="1">
        <f t="shared" si="109"/>
        <v>0</v>
      </c>
      <c r="AI384" s="1">
        <f t="shared" si="110"/>
        <v>0</v>
      </c>
    </row>
    <row r="385" spans="1:35" ht="14.25" customHeight="1" x14ac:dyDescent="0.25">
      <c r="A385" s="47">
        <v>0</v>
      </c>
      <c r="B385" s="47">
        <v>2</v>
      </c>
      <c r="C385" s="47">
        <v>7</v>
      </c>
      <c r="D385" s="48" t="s">
        <v>68</v>
      </c>
      <c r="E385" s="48" t="s">
        <v>28</v>
      </c>
      <c r="F385" s="48" t="s">
        <v>255</v>
      </c>
      <c r="G385" s="48" t="s">
        <v>256</v>
      </c>
      <c r="H385" s="48" t="s">
        <v>357</v>
      </c>
      <c r="I385" s="47" t="s">
        <v>417</v>
      </c>
      <c r="J385" s="47">
        <v>99</v>
      </c>
      <c r="K385" s="49" t="s">
        <v>720</v>
      </c>
      <c r="L385" s="49" t="s">
        <v>720</v>
      </c>
      <c r="M385" s="50" t="s">
        <v>738</v>
      </c>
      <c r="N385" s="50" t="s">
        <v>1817</v>
      </c>
      <c r="O385" s="51"/>
      <c r="P385" s="51"/>
      <c r="Q385" s="48"/>
      <c r="S385" s="1">
        <f t="shared" si="111"/>
        <v>0</v>
      </c>
      <c r="T385" s="1">
        <f t="shared" si="112"/>
        <v>0</v>
      </c>
      <c r="U385" s="1">
        <f t="shared" si="113"/>
        <v>0</v>
      </c>
      <c r="V385" s="1">
        <f t="shared" si="114"/>
        <v>0</v>
      </c>
      <c r="W385" s="1">
        <f t="shared" si="115"/>
        <v>0</v>
      </c>
      <c r="X385" s="1">
        <f t="shared" si="116"/>
        <v>0</v>
      </c>
      <c r="Y385" s="1">
        <f t="shared" si="117"/>
        <v>0</v>
      </c>
      <c r="Z385" s="1">
        <f t="shared" si="118"/>
        <v>0</v>
      </c>
      <c r="AA385" s="1">
        <f t="shared" si="119"/>
        <v>0</v>
      </c>
      <c r="AB385" s="1">
        <f t="shared" si="120"/>
        <v>0</v>
      </c>
      <c r="AD385" s="1">
        <f t="shared" si="121"/>
        <v>0</v>
      </c>
      <c r="AE385" s="1">
        <f t="shared" si="122"/>
        <v>0</v>
      </c>
      <c r="AF385" s="1">
        <f t="shared" si="107"/>
        <v>0</v>
      </c>
      <c r="AG385" s="1">
        <f t="shared" si="108"/>
        <v>0</v>
      </c>
      <c r="AH385" s="1">
        <f t="shared" si="109"/>
        <v>0</v>
      </c>
      <c r="AI385" s="1">
        <f t="shared" si="110"/>
        <v>1</v>
      </c>
    </row>
    <row r="386" spans="1:35" ht="14.25" customHeight="1" x14ac:dyDescent="0.25">
      <c r="A386" s="15">
        <v>0</v>
      </c>
      <c r="B386" s="15">
        <v>2</v>
      </c>
      <c r="C386" s="15">
        <v>7</v>
      </c>
      <c r="D386" s="16" t="s">
        <v>69</v>
      </c>
      <c r="E386" s="16" t="s">
        <v>28</v>
      </c>
      <c r="F386" s="16" t="s">
        <v>257</v>
      </c>
      <c r="G386" s="16" t="s">
        <v>209</v>
      </c>
      <c r="H386" s="16" t="s">
        <v>357</v>
      </c>
      <c r="I386" s="15" t="s">
        <v>418</v>
      </c>
      <c r="J386" s="15">
        <v>99</v>
      </c>
      <c r="K386" s="10" t="s">
        <v>962</v>
      </c>
      <c r="L386" s="10" t="s">
        <v>720</v>
      </c>
      <c r="M386" s="19" t="s">
        <v>738</v>
      </c>
      <c r="N386" s="17"/>
      <c r="Q386" s="16"/>
      <c r="S386" s="1">
        <f t="shared" si="111"/>
        <v>0</v>
      </c>
      <c r="T386" s="1">
        <f t="shared" si="112"/>
        <v>0</v>
      </c>
      <c r="U386" s="1">
        <f t="shared" si="113"/>
        <v>0</v>
      </c>
      <c r="V386" s="1">
        <f t="shared" si="114"/>
        <v>0</v>
      </c>
      <c r="W386" s="1">
        <f t="shared" si="115"/>
        <v>0</v>
      </c>
      <c r="X386" s="1">
        <f t="shared" si="116"/>
        <v>0</v>
      </c>
      <c r="Y386" s="1">
        <f t="shared" si="117"/>
        <v>0</v>
      </c>
      <c r="Z386" s="1">
        <f t="shared" si="118"/>
        <v>0</v>
      </c>
      <c r="AA386" s="1">
        <f t="shared" si="119"/>
        <v>0</v>
      </c>
      <c r="AB386" s="1">
        <f t="shared" si="120"/>
        <v>0</v>
      </c>
      <c r="AD386" s="1">
        <f t="shared" si="121"/>
        <v>0</v>
      </c>
      <c r="AE386" s="1">
        <f t="shared" si="122"/>
        <v>0</v>
      </c>
      <c r="AF386" s="1">
        <f t="shared" si="107"/>
        <v>0</v>
      </c>
      <c r="AG386" s="1">
        <f t="shared" si="108"/>
        <v>0</v>
      </c>
      <c r="AH386" s="1">
        <f t="shared" si="109"/>
        <v>0</v>
      </c>
      <c r="AI386" s="1">
        <f t="shared" si="110"/>
        <v>1</v>
      </c>
    </row>
    <row r="387" spans="1:35" ht="14.25" customHeight="1" x14ac:dyDescent="0.25">
      <c r="A387" s="15">
        <v>1</v>
      </c>
      <c r="B387" s="15">
        <v>2</v>
      </c>
      <c r="C387" s="15">
        <v>7</v>
      </c>
      <c r="D387" s="16" t="s">
        <v>69</v>
      </c>
      <c r="E387" s="16" t="s">
        <v>28</v>
      </c>
      <c r="F387" s="20" t="s">
        <v>1889</v>
      </c>
      <c r="G387" s="16" t="s">
        <v>258</v>
      </c>
      <c r="H387" s="16" t="s">
        <v>357</v>
      </c>
      <c r="I387" s="15" t="s">
        <v>419</v>
      </c>
      <c r="J387" s="15">
        <v>99</v>
      </c>
      <c r="K387" s="10" t="s">
        <v>962</v>
      </c>
      <c r="L387" s="10" t="s">
        <v>720</v>
      </c>
      <c r="M387" s="19" t="s">
        <v>738</v>
      </c>
      <c r="N387" s="17"/>
      <c r="Q387" s="16"/>
      <c r="S387" s="1">
        <f t="shared" si="111"/>
        <v>0</v>
      </c>
      <c r="T387" s="1">
        <f t="shared" si="112"/>
        <v>0</v>
      </c>
      <c r="U387" s="1">
        <f t="shared" si="113"/>
        <v>0</v>
      </c>
      <c r="V387" s="1">
        <f t="shared" si="114"/>
        <v>0</v>
      </c>
      <c r="W387" s="1">
        <f t="shared" si="115"/>
        <v>0</v>
      </c>
      <c r="X387" s="1">
        <f t="shared" si="116"/>
        <v>0</v>
      </c>
      <c r="Y387" s="1">
        <f t="shared" si="117"/>
        <v>0</v>
      </c>
      <c r="Z387" s="1">
        <f t="shared" si="118"/>
        <v>0</v>
      </c>
      <c r="AA387" s="1">
        <f t="shared" si="119"/>
        <v>0</v>
      </c>
      <c r="AB387" s="1">
        <f t="shared" si="120"/>
        <v>0</v>
      </c>
      <c r="AD387" s="1">
        <f t="shared" si="121"/>
        <v>0</v>
      </c>
      <c r="AE387" s="1">
        <f t="shared" si="122"/>
        <v>0</v>
      </c>
      <c r="AF387" s="1">
        <f t="shared" si="107"/>
        <v>0</v>
      </c>
      <c r="AG387" s="1">
        <f t="shared" si="108"/>
        <v>0</v>
      </c>
      <c r="AH387" s="1">
        <f t="shared" si="109"/>
        <v>0</v>
      </c>
      <c r="AI387" s="1">
        <f t="shared" si="110"/>
        <v>0</v>
      </c>
    </row>
    <row r="388" spans="1:35" ht="14.25" customHeight="1" x14ac:dyDescent="0.25">
      <c r="A388" s="15">
        <v>1</v>
      </c>
      <c r="B388" s="15">
        <v>2</v>
      </c>
      <c r="C388" s="15">
        <v>7</v>
      </c>
      <c r="D388" s="16" t="s">
        <v>69</v>
      </c>
      <c r="E388" s="16" t="s">
        <v>28</v>
      </c>
      <c r="F388" s="16" t="s">
        <v>575</v>
      </c>
      <c r="G388" s="16" t="s">
        <v>576</v>
      </c>
      <c r="H388" s="16" t="s">
        <v>357</v>
      </c>
      <c r="I388" s="15" t="s">
        <v>585</v>
      </c>
      <c r="J388" s="15">
        <v>99</v>
      </c>
      <c r="K388" s="10" t="s">
        <v>962</v>
      </c>
      <c r="L388" s="10" t="s">
        <v>720</v>
      </c>
      <c r="M388" s="19" t="s">
        <v>738</v>
      </c>
      <c r="N388" s="17"/>
      <c r="Q388" s="16"/>
      <c r="S388" s="1">
        <f t="shared" si="111"/>
        <v>0</v>
      </c>
      <c r="T388" s="1">
        <f t="shared" si="112"/>
        <v>0</v>
      </c>
      <c r="U388" s="1">
        <f t="shared" si="113"/>
        <v>0</v>
      </c>
      <c r="V388" s="1">
        <f t="shared" si="114"/>
        <v>0</v>
      </c>
      <c r="W388" s="1">
        <f t="shared" si="115"/>
        <v>0</v>
      </c>
      <c r="X388" s="1">
        <f t="shared" si="116"/>
        <v>0</v>
      </c>
      <c r="Y388" s="1">
        <f t="shared" si="117"/>
        <v>0</v>
      </c>
      <c r="Z388" s="1">
        <f t="shared" si="118"/>
        <v>0</v>
      </c>
      <c r="AA388" s="1">
        <f t="shared" si="119"/>
        <v>0</v>
      </c>
      <c r="AB388" s="1">
        <f t="shared" si="120"/>
        <v>0</v>
      </c>
      <c r="AD388" s="1">
        <f t="shared" si="121"/>
        <v>0</v>
      </c>
      <c r="AE388" s="1">
        <f t="shared" si="122"/>
        <v>0</v>
      </c>
      <c r="AF388" s="1">
        <f t="shared" si="107"/>
        <v>0</v>
      </c>
      <c r="AG388" s="1">
        <f t="shared" si="108"/>
        <v>0</v>
      </c>
      <c r="AH388" s="1">
        <f t="shared" si="109"/>
        <v>0</v>
      </c>
      <c r="AI388" s="1">
        <f t="shared" si="110"/>
        <v>0</v>
      </c>
    </row>
    <row r="389" spans="1:35" ht="14.25" customHeight="1" x14ac:dyDescent="0.25">
      <c r="A389" s="47">
        <v>0</v>
      </c>
      <c r="B389" s="47">
        <v>2</v>
      </c>
      <c r="C389" s="47">
        <v>7</v>
      </c>
      <c r="D389" s="48" t="s">
        <v>71</v>
      </c>
      <c r="E389" s="48" t="s">
        <v>28</v>
      </c>
      <c r="F389" s="48" t="s">
        <v>1363</v>
      </c>
      <c r="G389" s="48" t="s">
        <v>262</v>
      </c>
      <c r="H389" s="48" t="s">
        <v>357</v>
      </c>
      <c r="I389" s="47" t="s">
        <v>421</v>
      </c>
      <c r="J389" s="47">
        <v>99</v>
      </c>
      <c r="K389" s="49" t="s">
        <v>720</v>
      </c>
      <c r="L389" s="49" t="s">
        <v>720</v>
      </c>
      <c r="M389" s="50" t="s">
        <v>738</v>
      </c>
      <c r="N389" s="50" t="s">
        <v>1817</v>
      </c>
      <c r="O389" s="51"/>
      <c r="P389" s="51"/>
      <c r="Q389" s="48"/>
      <c r="S389" s="1">
        <f t="shared" si="111"/>
        <v>0</v>
      </c>
      <c r="T389" s="1">
        <f t="shared" si="112"/>
        <v>0</v>
      </c>
      <c r="U389" s="1">
        <f t="shared" si="113"/>
        <v>0</v>
      </c>
      <c r="V389" s="1">
        <f t="shared" si="114"/>
        <v>0</v>
      </c>
      <c r="W389" s="1">
        <f t="shared" si="115"/>
        <v>0</v>
      </c>
      <c r="X389" s="1">
        <f t="shared" si="116"/>
        <v>0</v>
      </c>
      <c r="Y389" s="1">
        <f t="shared" si="117"/>
        <v>0</v>
      </c>
      <c r="Z389" s="1">
        <f t="shared" si="118"/>
        <v>0</v>
      </c>
      <c r="AA389" s="1">
        <f t="shared" si="119"/>
        <v>0</v>
      </c>
      <c r="AB389" s="1">
        <f t="shared" si="120"/>
        <v>0</v>
      </c>
      <c r="AD389" s="1">
        <f t="shared" si="121"/>
        <v>0</v>
      </c>
      <c r="AE389" s="1">
        <f t="shared" si="122"/>
        <v>0</v>
      </c>
      <c r="AF389" s="1">
        <f t="shared" si="107"/>
        <v>0</v>
      </c>
      <c r="AG389" s="1">
        <f t="shared" si="108"/>
        <v>0</v>
      </c>
      <c r="AH389" s="1">
        <f t="shared" si="109"/>
        <v>0</v>
      </c>
      <c r="AI389" s="1">
        <f t="shared" si="110"/>
        <v>1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1072</v>
      </c>
      <c r="E390" s="48" t="s">
        <v>28</v>
      </c>
      <c r="F390" s="48" t="s">
        <v>1073</v>
      </c>
      <c r="G390" s="48" t="s">
        <v>1074</v>
      </c>
      <c r="H390" s="48" t="s">
        <v>357</v>
      </c>
      <c r="I390" s="47" t="s">
        <v>1075</v>
      </c>
      <c r="J390" s="47">
        <v>99</v>
      </c>
      <c r="K390" s="49" t="s">
        <v>720</v>
      </c>
      <c r="L390" s="49" t="s">
        <v>720</v>
      </c>
      <c r="M390" s="50" t="s">
        <v>738</v>
      </c>
      <c r="N390" s="50" t="s">
        <v>1817</v>
      </c>
      <c r="O390" s="51"/>
      <c r="P390" s="51"/>
      <c r="Q390" s="48"/>
      <c r="S390" s="1">
        <f t="shared" si="111"/>
        <v>0</v>
      </c>
      <c r="T390" s="1">
        <f t="shared" si="112"/>
        <v>0</v>
      </c>
      <c r="U390" s="1">
        <f t="shared" si="113"/>
        <v>0</v>
      </c>
      <c r="V390" s="1">
        <f t="shared" si="114"/>
        <v>0</v>
      </c>
      <c r="W390" s="1">
        <f t="shared" si="115"/>
        <v>0</v>
      </c>
      <c r="X390" s="1">
        <f t="shared" si="116"/>
        <v>0</v>
      </c>
      <c r="Y390" s="1">
        <f t="shared" si="117"/>
        <v>0</v>
      </c>
      <c r="Z390" s="1">
        <f t="shared" si="118"/>
        <v>0</v>
      </c>
      <c r="AA390" s="1">
        <f t="shared" si="119"/>
        <v>0</v>
      </c>
      <c r="AB390" s="1">
        <f t="shared" si="120"/>
        <v>0</v>
      </c>
      <c r="AD390" s="1">
        <f t="shared" si="121"/>
        <v>0</v>
      </c>
      <c r="AE390" s="1">
        <f t="shared" si="122"/>
        <v>0</v>
      </c>
      <c r="AF390" s="1">
        <f t="shared" si="107"/>
        <v>0</v>
      </c>
      <c r="AG390" s="1">
        <f t="shared" si="108"/>
        <v>0</v>
      </c>
      <c r="AH390" s="1">
        <f t="shared" si="109"/>
        <v>0</v>
      </c>
      <c r="AI390" s="1">
        <f t="shared" si="110"/>
        <v>1</v>
      </c>
    </row>
    <row r="391" spans="1:35" ht="14.25" customHeight="1" x14ac:dyDescent="0.25">
      <c r="A391" s="34">
        <v>0</v>
      </c>
      <c r="B391" s="34">
        <v>2</v>
      </c>
      <c r="C391" s="34">
        <v>7</v>
      </c>
      <c r="D391" s="35" t="s">
        <v>1821</v>
      </c>
      <c r="E391" s="35" t="s">
        <v>158</v>
      </c>
      <c r="F391" s="35" t="s">
        <v>1822</v>
      </c>
      <c r="G391" s="35"/>
      <c r="H391" s="35" t="s">
        <v>357</v>
      </c>
      <c r="I391" s="34" t="s">
        <v>1823</v>
      </c>
      <c r="J391" s="34">
        <v>99</v>
      </c>
      <c r="K391" s="36" t="s">
        <v>710</v>
      </c>
      <c r="L391" s="36"/>
      <c r="M391" s="37"/>
      <c r="N391" s="37" t="s">
        <v>1742</v>
      </c>
      <c r="O391" s="38">
        <v>1</v>
      </c>
      <c r="P391" s="38">
        <v>1</v>
      </c>
      <c r="Q391" s="35"/>
      <c r="S391" s="1">
        <f t="shared" si="111"/>
        <v>0</v>
      </c>
      <c r="T391" s="1">
        <f t="shared" si="112"/>
        <v>0</v>
      </c>
      <c r="U391" s="1">
        <f t="shared" si="113"/>
        <v>0</v>
      </c>
      <c r="V391" s="1">
        <f t="shared" si="114"/>
        <v>0</v>
      </c>
      <c r="W391" s="1">
        <f t="shared" si="115"/>
        <v>0</v>
      </c>
      <c r="X391" s="1">
        <f t="shared" si="116"/>
        <v>0</v>
      </c>
      <c r="Y391" s="1">
        <f t="shared" si="117"/>
        <v>0</v>
      </c>
      <c r="Z391" s="1">
        <f t="shared" si="118"/>
        <v>0</v>
      </c>
      <c r="AA391" s="1">
        <f t="shared" si="119"/>
        <v>0</v>
      </c>
      <c r="AB391" s="1">
        <f t="shared" si="120"/>
        <v>0</v>
      </c>
      <c r="AD391" s="1">
        <f t="shared" si="121"/>
        <v>1</v>
      </c>
      <c r="AE391" s="1">
        <f t="shared" si="122"/>
        <v>0</v>
      </c>
      <c r="AF391" s="1">
        <f t="shared" si="107"/>
        <v>1</v>
      </c>
      <c r="AG391" s="1">
        <f t="shared" si="108"/>
        <v>0</v>
      </c>
      <c r="AH391" s="1">
        <f t="shared" si="109"/>
        <v>1</v>
      </c>
      <c r="AI391" s="1">
        <f t="shared" si="110"/>
        <v>0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1192</v>
      </c>
      <c r="E392" s="35" t="s">
        <v>158</v>
      </c>
      <c r="F392" s="35" t="s">
        <v>1193</v>
      </c>
      <c r="G392" s="35" t="s">
        <v>296</v>
      </c>
      <c r="H392" s="35" t="s">
        <v>357</v>
      </c>
      <c r="I392" s="34" t="s">
        <v>1194</v>
      </c>
      <c r="J392" s="34">
        <v>99</v>
      </c>
      <c r="K392" s="36" t="s">
        <v>720</v>
      </c>
      <c r="L392" s="36" t="s">
        <v>729</v>
      </c>
      <c r="M392" s="37" t="s">
        <v>1449</v>
      </c>
      <c r="N392" s="37" t="s">
        <v>1763</v>
      </c>
      <c r="O392" s="38">
        <v>1</v>
      </c>
      <c r="P392" s="38"/>
      <c r="Q392" s="35"/>
      <c r="S392" s="1">
        <f t="shared" si="111"/>
        <v>0</v>
      </c>
      <c r="T392" s="1">
        <f t="shared" si="112"/>
        <v>0</v>
      </c>
      <c r="U392" s="1">
        <f t="shared" si="113"/>
        <v>0</v>
      </c>
      <c r="V392" s="1">
        <f t="shared" si="114"/>
        <v>0</v>
      </c>
      <c r="W392" s="1">
        <f t="shared" si="115"/>
        <v>0</v>
      </c>
      <c r="X392" s="1">
        <f t="shared" si="116"/>
        <v>0</v>
      </c>
      <c r="Y392" s="1">
        <f t="shared" si="117"/>
        <v>0</v>
      </c>
      <c r="Z392" s="1">
        <f t="shared" si="118"/>
        <v>0</v>
      </c>
      <c r="AA392" s="1">
        <f t="shared" si="119"/>
        <v>0</v>
      </c>
      <c r="AB392" s="1">
        <f t="shared" si="120"/>
        <v>0</v>
      </c>
      <c r="AD392" s="1">
        <f t="shared" si="121"/>
        <v>0</v>
      </c>
      <c r="AE392" s="1">
        <f t="shared" si="122"/>
        <v>1</v>
      </c>
      <c r="AF392" s="1">
        <f t="shared" ref="AF392:AF455" si="135">+O392*P392*(1-A392)</f>
        <v>0</v>
      </c>
      <c r="AG392" s="1">
        <f t="shared" ref="AG392:AG455" si="136">O392*(1-P392)*(1-A392)</f>
        <v>1</v>
      </c>
      <c r="AH392" s="1">
        <f t="shared" ref="AH392:AH455" si="137">+P392*(1-A392)</f>
        <v>0</v>
      </c>
      <c r="AI392" s="1">
        <f t="shared" ref="AI392:AI455" si="138">+(1-A392)*(1-P392)</f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1165</v>
      </c>
      <c r="E393" s="35" t="s">
        <v>1166</v>
      </c>
      <c r="F393" s="39" t="s">
        <v>1893</v>
      </c>
      <c r="G393" s="35" t="s">
        <v>633</v>
      </c>
      <c r="H393" s="35" t="s">
        <v>357</v>
      </c>
      <c r="I393" s="34" t="s">
        <v>1167</v>
      </c>
      <c r="J393" s="34">
        <v>99</v>
      </c>
      <c r="K393" s="36" t="s">
        <v>720</v>
      </c>
      <c r="L393" s="36" t="s">
        <v>720</v>
      </c>
      <c r="M393" s="37" t="s">
        <v>738</v>
      </c>
      <c r="N393" s="37" t="s">
        <v>1758</v>
      </c>
      <c r="O393" s="38">
        <v>1</v>
      </c>
      <c r="P393" s="38"/>
      <c r="Q393" s="39" t="s">
        <v>1913</v>
      </c>
      <c r="S393" s="1">
        <f t="shared" si="111"/>
        <v>0</v>
      </c>
      <c r="T393" s="1">
        <f t="shared" si="112"/>
        <v>0</v>
      </c>
      <c r="U393" s="1">
        <f t="shared" si="113"/>
        <v>0</v>
      </c>
      <c r="V393" s="1">
        <f t="shared" si="114"/>
        <v>0</v>
      </c>
      <c r="W393" s="1">
        <f t="shared" si="115"/>
        <v>0</v>
      </c>
      <c r="X393" s="1">
        <f t="shared" si="116"/>
        <v>0</v>
      </c>
      <c r="Y393" s="1">
        <f t="shared" si="117"/>
        <v>0</v>
      </c>
      <c r="Z393" s="1">
        <f t="shared" si="118"/>
        <v>0</v>
      </c>
      <c r="AA393" s="1">
        <f t="shared" si="119"/>
        <v>0</v>
      </c>
      <c r="AB393" s="1">
        <f t="shared" si="120"/>
        <v>0</v>
      </c>
      <c r="AD393" s="1">
        <f t="shared" si="121"/>
        <v>0</v>
      </c>
      <c r="AE393" s="1">
        <f t="shared" si="122"/>
        <v>1</v>
      </c>
      <c r="AF393" s="1">
        <f t="shared" si="135"/>
        <v>0</v>
      </c>
      <c r="AG393" s="1">
        <f t="shared" si="136"/>
        <v>1</v>
      </c>
      <c r="AH393" s="1">
        <f t="shared" si="137"/>
        <v>0</v>
      </c>
      <c r="AI393" s="1">
        <f t="shared" si="138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547</v>
      </c>
      <c r="E394" s="35" t="s">
        <v>160</v>
      </c>
      <c r="F394" s="35" t="s">
        <v>197</v>
      </c>
      <c r="G394" s="35" t="s">
        <v>198</v>
      </c>
      <c r="H394" s="35" t="s">
        <v>357</v>
      </c>
      <c r="I394" s="34" t="s">
        <v>555</v>
      </c>
      <c r="J394" s="34">
        <v>99</v>
      </c>
      <c r="K394" s="36" t="s">
        <v>962</v>
      </c>
      <c r="L394" s="36" t="s">
        <v>703</v>
      </c>
      <c r="M394" s="37" t="s">
        <v>1451</v>
      </c>
      <c r="N394" s="37" t="s">
        <v>1763</v>
      </c>
      <c r="O394" s="38">
        <v>1</v>
      </c>
      <c r="P394" s="38"/>
      <c r="Q394" s="35"/>
      <c r="S394" s="1">
        <f t="shared" si="111"/>
        <v>0</v>
      </c>
      <c r="T394" s="1">
        <f t="shared" si="112"/>
        <v>0</v>
      </c>
      <c r="U394" s="1">
        <f t="shared" si="113"/>
        <v>0</v>
      </c>
      <c r="V394" s="1">
        <f t="shared" si="114"/>
        <v>0</v>
      </c>
      <c r="W394" s="1">
        <f t="shared" si="115"/>
        <v>0</v>
      </c>
      <c r="X394" s="1">
        <f t="shared" si="116"/>
        <v>0</v>
      </c>
      <c r="Y394" s="1">
        <f t="shared" si="117"/>
        <v>0</v>
      </c>
      <c r="Z394" s="1">
        <f t="shared" si="118"/>
        <v>0</v>
      </c>
      <c r="AA394" s="1">
        <f t="shared" si="119"/>
        <v>0</v>
      </c>
      <c r="AB394" s="1">
        <f t="shared" si="120"/>
        <v>0</v>
      </c>
      <c r="AD394" s="1">
        <f t="shared" si="121"/>
        <v>0</v>
      </c>
      <c r="AE394" s="1">
        <f t="shared" si="122"/>
        <v>1</v>
      </c>
      <c r="AF394" s="1">
        <f t="shared" si="135"/>
        <v>0</v>
      </c>
      <c r="AG394" s="1">
        <f t="shared" si="136"/>
        <v>1</v>
      </c>
      <c r="AH394" s="1">
        <f t="shared" si="137"/>
        <v>0</v>
      </c>
      <c r="AI394" s="1">
        <f t="shared" si="138"/>
        <v>1</v>
      </c>
    </row>
    <row r="395" spans="1:35" ht="14.25" customHeight="1" x14ac:dyDescent="0.25">
      <c r="A395" s="15">
        <v>0</v>
      </c>
      <c r="B395" s="15">
        <v>2</v>
      </c>
      <c r="C395" s="15">
        <v>7</v>
      </c>
      <c r="D395" s="16" t="s">
        <v>46</v>
      </c>
      <c r="E395" s="16" t="s">
        <v>158</v>
      </c>
      <c r="F395" s="16" t="s">
        <v>185</v>
      </c>
      <c r="G395" s="16" t="s">
        <v>181</v>
      </c>
      <c r="H395" s="16" t="s">
        <v>357</v>
      </c>
      <c r="I395" s="15" t="s">
        <v>385</v>
      </c>
      <c r="J395" s="15">
        <v>10</v>
      </c>
      <c r="K395" s="10" t="s">
        <v>962</v>
      </c>
      <c r="L395" s="10" t="s">
        <v>729</v>
      </c>
      <c r="M395" s="19" t="s">
        <v>1449</v>
      </c>
      <c r="N395" s="19"/>
      <c r="Q395" s="16"/>
      <c r="S395" s="1">
        <f t="shared" si="111"/>
        <v>0</v>
      </c>
      <c r="T395" s="1">
        <f t="shared" si="112"/>
        <v>0</v>
      </c>
      <c r="U395" s="1">
        <f t="shared" si="113"/>
        <v>0</v>
      </c>
      <c r="V395" s="1">
        <f t="shared" si="114"/>
        <v>0</v>
      </c>
      <c r="W395" s="1">
        <f t="shared" si="115"/>
        <v>0</v>
      </c>
      <c r="X395" s="1">
        <f t="shared" si="116"/>
        <v>0</v>
      </c>
      <c r="Y395" s="1">
        <f t="shared" si="117"/>
        <v>0</v>
      </c>
      <c r="Z395" s="1">
        <f t="shared" si="118"/>
        <v>0</v>
      </c>
      <c r="AA395" s="1">
        <f t="shared" si="119"/>
        <v>0</v>
      </c>
      <c r="AB395" s="1">
        <f t="shared" si="120"/>
        <v>1</v>
      </c>
      <c r="AD395" s="1">
        <f t="shared" si="121"/>
        <v>0</v>
      </c>
      <c r="AE395" s="1">
        <f t="shared" si="122"/>
        <v>0</v>
      </c>
      <c r="AF395" s="1">
        <f t="shared" si="135"/>
        <v>0</v>
      </c>
      <c r="AG395" s="1">
        <f t="shared" si="136"/>
        <v>0</v>
      </c>
      <c r="AH395" s="1">
        <f t="shared" si="137"/>
        <v>0</v>
      </c>
      <c r="AI395" s="1">
        <f t="shared" si="138"/>
        <v>1</v>
      </c>
    </row>
    <row r="396" spans="1:35" ht="14.25" customHeight="1" x14ac:dyDescent="0.25">
      <c r="A396" s="47">
        <v>0</v>
      </c>
      <c r="B396" s="47">
        <v>2</v>
      </c>
      <c r="C396" s="47">
        <v>7</v>
      </c>
      <c r="D396" s="48" t="s">
        <v>67</v>
      </c>
      <c r="E396" s="48" t="s">
        <v>28</v>
      </c>
      <c r="F396" s="48" t="s">
        <v>250</v>
      </c>
      <c r="G396" s="48" t="s">
        <v>251</v>
      </c>
      <c r="H396" s="48" t="s">
        <v>357</v>
      </c>
      <c r="I396" s="47" t="s">
        <v>414</v>
      </c>
      <c r="J396" s="47">
        <v>7</v>
      </c>
      <c r="K396" s="49" t="s">
        <v>720</v>
      </c>
      <c r="L396" s="49" t="s">
        <v>720</v>
      </c>
      <c r="M396" s="50" t="s">
        <v>738</v>
      </c>
      <c r="N396" s="50" t="s">
        <v>1749</v>
      </c>
      <c r="O396" s="51"/>
      <c r="P396" s="51"/>
      <c r="Q396" s="48"/>
      <c r="S396" s="1">
        <f t="shared" ref="S396:S462" si="139">IF(J396=$S$7,1,0)</f>
        <v>0</v>
      </c>
      <c r="T396" s="1">
        <f t="shared" ref="T396:T462" si="140">IF(J396=$T$7,1,0)</f>
        <v>0</v>
      </c>
      <c r="U396" s="1">
        <f t="shared" ref="U396:U462" si="141">IF(J396=$U$7,1,0)</f>
        <v>0</v>
      </c>
      <c r="V396" s="1">
        <f t="shared" ref="V396:V462" si="142">IF(J396=$V$7,1,0)</f>
        <v>0</v>
      </c>
      <c r="W396" s="1">
        <f t="shared" ref="W396:W462" si="143">IF(J396=$W$7,1,0)</f>
        <v>0</v>
      </c>
      <c r="X396" s="1">
        <f t="shared" ref="X396:X462" si="144">IF(J396=$X$7,1,0)</f>
        <v>0</v>
      </c>
      <c r="Y396" s="1">
        <f t="shared" ref="Y396:Y462" si="145">IF(J396=$Y$7,1,0)</f>
        <v>1</v>
      </c>
      <c r="Z396" s="1">
        <f t="shared" ref="Z396:Z462" si="146">IF(J396=$Z$7,1,0)</f>
        <v>0</v>
      </c>
      <c r="AA396" s="1">
        <f t="shared" ref="AA396:AA462" si="147">IF(J396=$AA$7,1,0)</f>
        <v>0</v>
      </c>
      <c r="AB396" s="1">
        <f t="shared" ref="AB396:AB462" si="148">IF(J396=$AB$7,1,0)</f>
        <v>0</v>
      </c>
      <c r="AD396" s="1">
        <f t="shared" ref="AD396:AD462" si="149">+O396*P396</f>
        <v>0</v>
      </c>
      <c r="AE396" s="1">
        <f t="shared" ref="AE396:AE462" si="150">O396*(1-P396)</f>
        <v>0</v>
      </c>
      <c r="AF396" s="1">
        <f t="shared" si="135"/>
        <v>0</v>
      </c>
      <c r="AG396" s="1">
        <f t="shared" si="136"/>
        <v>0</v>
      </c>
      <c r="AH396" s="1">
        <f t="shared" si="137"/>
        <v>0</v>
      </c>
      <c r="AI396" s="1">
        <f t="shared" si="138"/>
        <v>1</v>
      </c>
    </row>
    <row r="397" spans="1:35" ht="14.25" customHeight="1" x14ac:dyDescent="0.25">
      <c r="A397" s="47">
        <v>1</v>
      </c>
      <c r="B397" s="47">
        <v>2</v>
      </c>
      <c r="C397" s="47">
        <v>7</v>
      </c>
      <c r="D397" s="48" t="s">
        <v>67</v>
      </c>
      <c r="E397" s="48" t="s">
        <v>28</v>
      </c>
      <c r="F397" s="48" t="s">
        <v>1046</v>
      </c>
      <c r="G397" s="48" t="s">
        <v>544</v>
      </c>
      <c r="H397" s="48" t="s">
        <v>357</v>
      </c>
      <c r="I397" s="47" t="s">
        <v>30</v>
      </c>
      <c r="J397" s="47">
        <v>1</v>
      </c>
      <c r="K397" s="49" t="s">
        <v>720</v>
      </c>
      <c r="L397" s="49" t="s">
        <v>720</v>
      </c>
      <c r="M397" s="50" t="s">
        <v>738</v>
      </c>
      <c r="N397" s="50" t="s">
        <v>1749</v>
      </c>
      <c r="O397" s="51"/>
      <c r="P397" s="51"/>
      <c r="Q397" s="48"/>
      <c r="S397" s="1">
        <f t="shared" si="139"/>
        <v>1</v>
      </c>
      <c r="T397" s="1">
        <f t="shared" si="140"/>
        <v>0</v>
      </c>
      <c r="U397" s="1">
        <f t="shared" si="141"/>
        <v>0</v>
      </c>
      <c r="V397" s="1">
        <f t="shared" si="142"/>
        <v>0</v>
      </c>
      <c r="W397" s="1">
        <f t="shared" si="143"/>
        <v>0</v>
      </c>
      <c r="X397" s="1">
        <f t="shared" si="144"/>
        <v>0</v>
      </c>
      <c r="Y397" s="1">
        <f t="shared" si="145"/>
        <v>0</v>
      </c>
      <c r="Z397" s="1">
        <f t="shared" si="146"/>
        <v>0</v>
      </c>
      <c r="AA397" s="1">
        <f t="shared" si="147"/>
        <v>0</v>
      </c>
      <c r="AB397" s="1">
        <f t="shared" si="148"/>
        <v>0</v>
      </c>
      <c r="AD397" s="1">
        <f t="shared" si="149"/>
        <v>0</v>
      </c>
      <c r="AE397" s="1">
        <f t="shared" si="150"/>
        <v>0</v>
      </c>
      <c r="AF397" s="1">
        <f t="shared" si="135"/>
        <v>0</v>
      </c>
      <c r="AG397" s="1">
        <f t="shared" si="136"/>
        <v>0</v>
      </c>
      <c r="AH397" s="1">
        <f t="shared" si="137"/>
        <v>0</v>
      </c>
      <c r="AI397" s="1">
        <f t="shared" si="138"/>
        <v>0</v>
      </c>
    </row>
    <row r="398" spans="1:35" ht="14.25" customHeight="1" x14ac:dyDescent="0.25">
      <c r="A398" s="47">
        <v>1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252</v>
      </c>
      <c r="G398" s="48" t="s">
        <v>202</v>
      </c>
      <c r="H398" s="48" t="s">
        <v>357</v>
      </c>
      <c r="I398" s="47" t="s">
        <v>415</v>
      </c>
      <c r="J398" s="47">
        <v>2</v>
      </c>
      <c r="K398" s="49" t="s">
        <v>720</v>
      </c>
      <c r="L398" s="49" t="s">
        <v>720</v>
      </c>
      <c r="M398" s="50" t="s">
        <v>738</v>
      </c>
      <c r="N398" s="50" t="s">
        <v>1749</v>
      </c>
      <c r="O398" s="51"/>
      <c r="P398" s="51"/>
      <c r="Q398" s="48"/>
      <c r="S398" s="1">
        <f t="shared" si="139"/>
        <v>0</v>
      </c>
      <c r="T398" s="1">
        <f t="shared" si="140"/>
        <v>1</v>
      </c>
      <c r="U398" s="1">
        <f t="shared" si="141"/>
        <v>0</v>
      </c>
      <c r="V398" s="1">
        <f t="shared" si="142"/>
        <v>0</v>
      </c>
      <c r="W398" s="1">
        <f t="shared" si="143"/>
        <v>0</v>
      </c>
      <c r="X398" s="1">
        <f t="shared" si="144"/>
        <v>0</v>
      </c>
      <c r="Y398" s="1">
        <f t="shared" si="145"/>
        <v>0</v>
      </c>
      <c r="Z398" s="1">
        <f t="shared" si="146"/>
        <v>0</v>
      </c>
      <c r="AA398" s="1">
        <f t="shared" si="147"/>
        <v>0</v>
      </c>
      <c r="AB398" s="1">
        <f t="shared" si="148"/>
        <v>0</v>
      </c>
      <c r="AD398" s="1">
        <f t="shared" si="149"/>
        <v>0</v>
      </c>
      <c r="AE398" s="1">
        <f t="shared" si="150"/>
        <v>0</v>
      </c>
      <c r="AF398" s="1">
        <f t="shared" si="135"/>
        <v>0</v>
      </c>
      <c r="AG398" s="1">
        <f t="shared" si="136"/>
        <v>0</v>
      </c>
      <c r="AH398" s="1">
        <f t="shared" si="137"/>
        <v>0</v>
      </c>
      <c r="AI398" s="1">
        <f t="shared" si="138"/>
        <v>0</v>
      </c>
    </row>
    <row r="399" spans="1:35" ht="14.25" customHeight="1" x14ac:dyDescent="0.25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249</v>
      </c>
      <c r="G399" s="48" t="s">
        <v>1365</v>
      </c>
      <c r="H399" s="48" t="s">
        <v>357</v>
      </c>
      <c r="I399" s="47" t="s">
        <v>30</v>
      </c>
      <c r="J399" s="47">
        <v>1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Q399" s="48" t="s">
        <v>1932</v>
      </c>
      <c r="S399" s="1">
        <f t="shared" si="139"/>
        <v>1</v>
      </c>
      <c r="T399" s="1">
        <f t="shared" si="140"/>
        <v>0</v>
      </c>
      <c r="U399" s="1">
        <f t="shared" si="141"/>
        <v>0</v>
      </c>
      <c r="V399" s="1">
        <f t="shared" si="142"/>
        <v>0</v>
      </c>
      <c r="W399" s="1">
        <f t="shared" si="143"/>
        <v>0</v>
      </c>
      <c r="X399" s="1">
        <f t="shared" si="144"/>
        <v>0</v>
      </c>
      <c r="Y399" s="1">
        <f t="shared" si="145"/>
        <v>0</v>
      </c>
      <c r="Z399" s="1">
        <f t="shared" si="146"/>
        <v>0</v>
      </c>
      <c r="AA399" s="1">
        <f t="shared" si="147"/>
        <v>0</v>
      </c>
      <c r="AB399" s="1">
        <f t="shared" si="148"/>
        <v>0</v>
      </c>
      <c r="AD399" s="1">
        <f t="shared" si="149"/>
        <v>0</v>
      </c>
      <c r="AE399" s="1">
        <f t="shared" si="150"/>
        <v>0</v>
      </c>
      <c r="AF399" s="1">
        <f t="shared" si="135"/>
        <v>0</v>
      </c>
      <c r="AG399" s="1">
        <f t="shared" si="136"/>
        <v>0</v>
      </c>
      <c r="AH399" s="1">
        <f t="shared" si="137"/>
        <v>0</v>
      </c>
      <c r="AI399" s="1">
        <f t="shared" si="138"/>
        <v>0</v>
      </c>
    </row>
    <row r="400" spans="1:35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254</v>
      </c>
      <c r="G400" s="48" t="s">
        <v>196</v>
      </c>
      <c r="H400" s="48" t="s">
        <v>357</v>
      </c>
      <c r="I400" s="47" t="s">
        <v>416</v>
      </c>
      <c r="J400" s="47">
        <v>9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Q400" s="48"/>
      <c r="S400" s="1">
        <f t="shared" si="139"/>
        <v>0</v>
      </c>
      <c r="T400" s="1">
        <f t="shared" si="140"/>
        <v>0</v>
      </c>
      <c r="U400" s="1">
        <f t="shared" si="141"/>
        <v>0</v>
      </c>
      <c r="V400" s="1">
        <f t="shared" si="142"/>
        <v>0</v>
      </c>
      <c r="W400" s="1">
        <f t="shared" si="143"/>
        <v>0</v>
      </c>
      <c r="X400" s="1">
        <f t="shared" si="144"/>
        <v>0</v>
      </c>
      <c r="Y400" s="1">
        <f t="shared" si="145"/>
        <v>0</v>
      </c>
      <c r="Z400" s="1">
        <f t="shared" si="146"/>
        <v>0</v>
      </c>
      <c r="AA400" s="1">
        <f t="shared" si="147"/>
        <v>1</v>
      </c>
      <c r="AB400" s="1">
        <f t="shared" si="148"/>
        <v>0</v>
      </c>
      <c r="AD400" s="1">
        <f t="shared" si="149"/>
        <v>0</v>
      </c>
      <c r="AE400" s="1">
        <f t="shared" si="150"/>
        <v>0</v>
      </c>
      <c r="AF400" s="1">
        <f t="shared" si="135"/>
        <v>0</v>
      </c>
      <c r="AG400" s="1">
        <f t="shared" si="136"/>
        <v>0</v>
      </c>
      <c r="AH400" s="1">
        <f t="shared" si="137"/>
        <v>0</v>
      </c>
      <c r="AI400" s="1">
        <f t="shared" si="138"/>
        <v>0</v>
      </c>
    </row>
    <row r="401" spans="1:35" ht="14.25" customHeight="1" x14ac:dyDescent="0.25">
      <c r="A401" s="47">
        <v>0</v>
      </c>
      <c r="B401" s="47">
        <v>2</v>
      </c>
      <c r="C401" s="47">
        <v>7</v>
      </c>
      <c r="D401" s="48" t="s">
        <v>1030</v>
      </c>
      <c r="E401" s="48" t="s">
        <v>28</v>
      </c>
      <c r="F401" s="48" t="s">
        <v>1031</v>
      </c>
      <c r="G401" s="48" t="s">
        <v>196</v>
      </c>
      <c r="H401" s="48" t="s">
        <v>357</v>
      </c>
      <c r="I401" s="47" t="s">
        <v>1032</v>
      </c>
      <c r="J401" s="47">
        <v>9</v>
      </c>
      <c r="K401" s="49" t="s">
        <v>719</v>
      </c>
      <c r="L401" s="49" t="s">
        <v>720</v>
      </c>
      <c r="M401" s="50" t="s">
        <v>738</v>
      </c>
      <c r="N401" s="50" t="s">
        <v>1750</v>
      </c>
      <c r="O401" s="51"/>
      <c r="P401" s="51"/>
      <c r="Q401" s="48"/>
      <c r="S401" s="1">
        <f t="shared" si="139"/>
        <v>0</v>
      </c>
      <c r="T401" s="1">
        <f t="shared" si="140"/>
        <v>0</v>
      </c>
      <c r="U401" s="1">
        <f t="shared" si="141"/>
        <v>0</v>
      </c>
      <c r="V401" s="1">
        <f t="shared" si="142"/>
        <v>0</v>
      </c>
      <c r="W401" s="1">
        <f t="shared" si="143"/>
        <v>0</v>
      </c>
      <c r="X401" s="1">
        <f t="shared" si="144"/>
        <v>0</v>
      </c>
      <c r="Y401" s="1">
        <f t="shared" si="145"/>
        <v>0</v>
      </c>
      <c r="Z401" s="1">
        <f t="shared" si="146"/>
        <v>0</v>
      </c>
      <c r="AA401" s="1">
        <f t="shared" si="147"/>
        <v>1</v>
      </c>
      <c r="AB401" s="1">
        <f t="shared" si="148"/>
        <v>0</v>
      </c>
      <c r="AD401" s="1">
        <f t="shared" si="149"/>
        <v>0</v>
      </c>
      <c r="AE401" s="1">
        <f t="shared" si="150"/>
        <v>0</v>
      </c>
      <c r="AF401" s="1">
        <f t="shared" si="135"/>
        <v>0</v>
      </c>
      <c r="AG401" s="1">
        <f t="shared" si="136"/>
        <v>0</v>
      </c>
      <c r="AH401" s="1">
        <f t="shared" si="137"/>
        <v>0</v>
      </c>
      <c r="AI401" s="1">
        <f t="shared" si="138"/>
        <v>1</v>
      </c>
    </row>
    <row r="402" spans="1:35" ht="14.25" customHeight="1" x14ac:dyDescent="0.25">
      <c r="A402" s="34">
        <v>0</v>
      </c>
      <c r="B402" s="34">
        <v>2</v>
      </c>
      <c r="C402" s="34">
        <v>7</v>
      </c>
      <c r="D402" s="35" t="s">
        <v>1848</v>
      </c>
      <c r="E402" s="35" t="s">
        <v>1849</v>
      </c>
      <c r="F402" s="35" t="s">
        <v>1850</v>
      </c>
      <c r="G402" s="35" t="s">
        <v>209</v>
      </c>
      <c r="H402" s="35" t="s">
        <v>357</v>
      </c>
      <c r="I402" s="34" t="s">
        <v>30</v>
      </c>
      <c r="J402" s="34"/>
      <c r="K402" s="36" t="s">
        <v>710</v>
      </c>
      <c r="L402" s="36">
        <v>20</v>
      </c>
      <c r="M402" s="37" t="s">
        <v>1851</v>
      </c>
      <c r="N402" s="37" t="s">
        <v>1758</v>
      </c>
      <c r="O402" s="38">
        <v>1</v>
      </c>
      <c r="P402" s="38"/>
      <c r="Q402" s="35"/>
      <c r="S402" s="1">
        <f t="shared" si="139"/>
        <v>0</v>
      </c>
      <c r="T402" s="1">
        <f t="shared" si="140"/>
        <v>0</v>
      </c>
      <c r="U402" s="1">
        <f t="shared" si="141"/>
        <v>0</v>
      </c>
      <c r="V402" s="1">
        <f t="shared" si="142"/>
        <v>0</v>
      </c>
      <c r="W402" s="1">
        <f t="shared" si="143"/>
        <v>0</v>
      </c>
      <c r="X402" s="1">
        <f t="shared" si="144"/>
        <v>0</v>
      </c>
      <c r="Y402" s="1">
        <f t="shared" si="145"/>
        <v>0</v>
      </c>
      <c r="Z402" s="1">
        <f t="shared" si="146"/>
        <v>0</v>
      </c>
      <c r="AA402" s="1">
        <f t="shared" si="147"/>
        <v>0</v>
      </c>
      <c r="AB402" s="1">
        <f t="shared" si="148"/>
        <v>0</v>
      </c>
      <c r="AD402" s="1">
        <f t="shared" si="149"/>
        <v>0</v>
      </c>
      <c r="AE402" s="1">
        <f t="shared" si="150"/>
        <v>1</v>
      </c>
      <c r="AF402" s="1">
        <f t="shared" si="135"/>
        <v>0</v>
      </c>
      <c r="AG402" s="1">
        <f t="shared" si="136"/>
        <v>1</v>
      </c>
      <c r="AH402" s="1">
        <f t="shared" si="137"/>
        <v>0</v>
      </c>
      <c r="AI402" s="1">
        <f t="shared" si="138"/>
        <v>1</v>
      </c>
    </row>
    <row r="403" spans="1:35" ht="14.25" customHeight="1" x14ac:dyDescent="0.25">
      <c r="A403" s="52">
        <v>0</v>
      </c>
      <c r="B403" s="52">
        <v>2</v>
      </c>
      <c r="C403" s="52">
        <v>7</v>
      </c>
      <c r="D403" s="53" t="s">
        <v>1089</v>
      </c>
      <c r="E403" s="53" t="s">
        <v>549</v>
      </c>
      <c r="F403" s="53" t="s">
        <v>1070</v>
      </c>
      <c r="G403" s="53" t="s">
        <v>240</v>
      </c>
      <c r="H403" s="53" t="s">
        <v>357</v>
      </c>
      <c r="I403" s="52" t="s">
        <v>1071</v>
      </c>
      <c r="J403" s="52">
        <v>99</v>
      </c>
      <c r="K403" s="54" t="s">
        <v>962</v>
      </c>
      <c r="L403" s="54" t="s">
        <v>729</v>
      </c>
      <c r="M403" s="55" t="s">
        <v>1452</v>
      </c>
      <c r="N403" s="55" t="s">
        <v>1758</v>
      </c>
      <c r="O403" s="56">
        <v>1</v>
      </c>
      <c r="P403" s="56"/>
      <c r="Q403" s="53"/>
      <c r="S403" s="1">
        <f t="shared" si="139"/>
        <v>0</v>
      </c>
      <c r="T403" s="1">
        <f t="shared" si="140"/>
        <v>0</v>
      </c>
      <c r="U403" s="1">
        <f t="shared" si="141"/>
        <v>0</v>
      </c>
      <c r="V403" s="1">
        <f t="shared" si="142"/>
        <v>0</v>
      </c>
      <c r="W403" s="1">
        <f t="shared" si="143"/>
        <v>0</v>
      </c>
      <c r="X403" s="1">
        <f t="shared" si="144"/>
        <v>0</v>
      </c>
      <c r="Y403" s="1">
        <f t="shared" si="145"/>
        <v>0</v>
      </c>
      <c r="Z403" s="1">
        <f t="shared" si="146"/>
        <v>0</v>
      </c>
      <c r="AA403" s="1">
        <f t="shared" si="147"/>
        <v>0</v>
      </c>
      <c r="AB403" s="1">
        <f t="shared" si="148"/>
        <v>0</v>
      </c>
      <c r="AD403" s="1">
        <f t="shared" si="149"/>
        <v>0</v>
      </c>
      <c r="AE403" s="1">
        <f t="shared" si="150"/>
        <v>1</v>
      </c>
      <c r="AF403" s="1">
        <f t="shared" si="135"/>
        <v>0</v>
      </c>
      <c r="AG403" s="1">
        <f t="shared" si="136"/>
        <v>1</v>
      </c>
      <c r="AH403" s="1">
        <f t="shared" si="137"/>
        <v>0</v>
      </c>
      <c r="AI403" s="1">
        <f t="shared" si="13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1240</v>
      </c>
      <c r="E404" s="35" t="s">
        <v>158</v>
      </c>
      <c r="F404" s="35" t="s">
        <v>1241</v>
      </c>
      <c r="G404" s="35" t="s">
        <v>253</v>
      </c>
      <c r="H404" s="35" t="s">
        <v>357</v>
      </c>
      <c r="I404" s="34" t="s">
        <v>1242</v>
      </c>
      <c r="J404" s="34">
        <v>99</v>
      </c>
      <c r="K404" s="36" t="s">
        <v>720</v>
      </c>
      <c r="L404" s="36">
        <v>10</v>
      </c>
      <c r="M404" s="37" t="s">
        <v>1761</v>
      </c>
      <c r="N404" s="37" t="s">
        <v>1742</v>
      </c>
      <c r="O404" s="38">
        <v>1</v>
      </c>
      <c r="P404" s="38">
        <v>1</v>
      </c>
      <c r="Q404" s="35"/>
      <c r="S404" s="1">
        <f t="shared" si="139"/>
        <v>0</v>
      </c>
      <c r="T404" s="1">
        <f t="shared" si="140"/>
        <v>0</v>
      </c>
      <c r="U404" s="1">
        <f t="shared" si="141"/>
        <v>0</v>
      </c>
      <c r="V404" s="1">
        <f t="shared" si="142"/>
        <v>0</v>
      </c>
      <c r="W404" s="1">
        <f t="shared" si="143"/>
        <v>0</v>
      </c>
      <c r="X404" s="1">
        <f t="shared" si="144"/>
        <v>0</v>
      </c>
      <c r="Y404" s="1">
        <f t="shared" si="145"/>
        <v>0</v>
      </c>
      <c r="Z404" s="1">
        <f t="shared" si="146"/>
        <v>0</v>
      </c>
      <c r="AA404" s="1">
        <f t="shared" si="147"/>
        <v>0</v>
      </c>
      <c r="AB404" s="1">
        <f t="shared" si="148"/>
        <v>0</v>
      </c>
      <c r="AD404" s="1">
        <f t="shared" si="149"/>
        <v>1</v>
      </c>
      <c r="AE404" s="1">
        <f t="shared" si="150"/>
        <v>0</v>
      </c>
      <c r="AF404" s="1">
        <f t="shared" si="135"/>
        <v>1</v>
      </c>
      <c r="AG404" s="1">
        <f t="shared" si="136"/>
        <v>0</v>
      </c>
      <c r="AH404" s="1">
        <f t="shared" si="137"/>
        <v>1</v>
      </c>
      <c r="AI404" s="1">
        <f t="shared" si="13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9" t="s">
        <v>1818</v>
      </c>
      <c r="E405" s="39" t="s">
        <v>28</v>
      </c>
      <c r="F405" s="39" t="s">
        <v>1819</v>
      </c>
      <c r="G405" s="39" t="s">
        <v>182</v>
      </c>
      <c r="H405" s="39" t="s">
        <v>357</v>
      </c>
      <c r="I405" s="40" t="s">
        <v>1820</v>
      </c>
      <c r="J405" s="34">
        <v>10</v>
      </c>
      <c r="K405" s="36" t="s">
        <v>710</v>
      </c>
      <c r="L405" s="36">
        <v>10</v>
      </c>
      <c r="M405" s="37"/>
      <c r="N405" s="37" t="s">
        <v>1742</v>
      </c>
      <c r="O405" s="38">
        <v>1</v>
      </c>
      <c r="P405" s="38">
        <v>1</v>
      </c>
      <c r="Q405" s="39"/>
      <c r="S405" s="1">
        <f t="shared" si="139"/>
        <v>0</v>
      </c>
      <c r="T405" s="1">
        <f t="shared" si="140"/>
        <v>0</v>
      </c>
      <c r="U405" s="1">
        <f t="shared" si="141"/>
        <v>0</v>
      </c>
      <c r="V405" s="1">
        <f t="shared" si="142"/>
        <v>0</v>
      </c>
      <c r="W405" s="1">
        <f t="shared" si="143"/>
        <v>0</v>
      </c>
      <c r="X405" s="1">
        <f t="shared" si="144"/>
        <v>0</v>
      </c>
      <c r="Y405" s="1">
        <f t="shared" si="145"/>
        <v>0</v>
      </c>
      <c r="Z405" s="1">
        <f t="shared" si="146"/>
        <v>0</v>
      </c>
      <c r="AA405" s="1">
        <f t="shared" si="147"/>
        <v>0</v>
      </c>
      <c r="AB405" s="1">
        <f t="shared" si="148"/>
        <v>1</v>
      </c>
      <c r="AD405" s="1">
        <f t="shared" si="149"/>
        <v>1</v>
      </c>
      <c r="AE405" s="1">
        <f t="shared" si="150"/>
        <v>0</v>
      </c>
      <c r="AF405" s="1">
        <f t="shared" si="135"/>
        <v>1</v>
      </c>
      <c r="AG405" s="1">
        <f t="shared" si="136"/>
        <v>0</v>
      </c>
      <c r="AH405" s="1">
        <f t="shared" si="137"/>
        <v>1</v>
      </c>
      <c r="AI405" s="1">
        <f t="shared" si="138"/>
        <v>0</v>
      </c>
    </row>
    <row r="406" spans="1:35" ht="14.25" customHeight="1" x14ac:dyDescent="0.25">
      <c r="A406" s="40">
        <v>0</v>
      </c>
      <c r="B406" s="40">
        <v>2</v>
      </c>
      <c r="C406" s="40">
        <v>7</v>
      </c>
      <c r="D406" s="39" t="s">
        <v>1600</v>
      </c>
      <c r="E406" s="39" t="s">
        <v>1666</v>
      </c>
      <c r="F406" s="39" t="s">
        <v>1601</v>
      </c>
      <c r="G406" s="39" t="s">
        <v>662</v>
      </c>
      <c r="H406" s="39" t="s">
        <v>357</v>
      </c>
      <c r="I406" s="40" t="s">
        <v>1602</v>
      </c>
      <c r="J406" s="40">
        <v>99</v>
      </c>
      <c r="K406" s="36" t="s">
        <v>720</v>
      </c>
      <c r="L406" s="36" t="s">
        <v>39</v>
      </c>
      <c r="M406" s="37" t="s">
        <v>39</v>
      </c>
      <c r="N406" s="37" t="s">
        <v>1742</v>
      </c>
      <c r="O406" s="38">
        <v>1</v>
      </c>
      <c r="P406" s="38">
        <v>1</v>
      </c>
      <c r="Q406" s="39"/>
      <c r="S406" s="1">
        <f t="shared" si="139"/>
        <v>0</v>
      </c>
      <c r="T406" s="1">
        <f t="shared" si="140"/>
        <v>0</v>
      </c>
      <c r="U406" s="1">
        <f t="shared" si="141"/>
        <v>0</v>
      </c>
      <c r="V406" s="1">
        <f t="shared" si="142"/>
        <v>0</v>
      </c>
      <c r="W406" s="1">
        <f t="shared" si="143"/>
        <v>0</v>
      </c>
      <c r="X406" s="1">
        <f t="shared" si="144"/>
        <v>0</v>
      </c>
      <c r="Y406" s="1">
        <f t="shared" si="145"/>
        <v>0</v>
      </c>
      <c r="Z406" s="1">
        <f t="shared" si="146"/>
        <v>0</v>
      </c>
      <c r="AA406" s="1">
        <f t="shared" si="147"/>
        <v>0</v>
      </c>
      <c r="AB406" s="1">
        <f t="shared" si="148"/>
        <v>0</v>
      </c>
      <c r="AD406" s="1">
        <f t="shared" si="149"/>
        <v>1</v>
      </c>
      <c r="AE406" s="1">
        <f t="shared" si="150"/>
        <v>0</v>
      </c>
      <c r="AF406" s="1">
        <f t="shared" si="135"/>
        <v>1</v>
      </c>
      <c r="AG406" s="1">
        <f t="shared" si="136"/>
        <v>0</v>
      </c>
      <c r="AH406" s="1">
        <f t="shared" si="137"/>
        <v>1</v>
      </c>
      <c r="AI406" s="1">
        <f t="shared" si="138"/>
        <v>0</v>
      </c>
    </row>
    <row r="407" spans="1:35" ht="14.25" customHeight="1" x14ac:dyDescent="0.25">
      <c r="A407" s="47">
        <v>0</v>
      </c>
      <c r="B407" s="47">
        <v>2</v>
      </c>
      <c r="C407" s="47">
        <v>7</v>
      </c>
      <c r="D407" s="48" t="s">
        <v>1552</v>
      </c>
      <c r="E407" s="48" t="s">
        <v>28</v>
      </c>
      <c r="F407" s="48" t="s">
        <v>1677</v>
      </c>
      <c r="G407" s="48" t="s">
        <v>290</v>
      </c>
      <c r="H407" s="48" t="s">
        <v>357</v>
      </c>
      <c r="I407" s="47" t="s">
        <v>1703</v>
      </c>
      <c r="J407" s="47">
        <v>99</v>
      </c>
      <c r="K407" s="49" t="s">
        <v>720</v>
      </c>
      <c r="L407" s="49" t="s">
        <v>720</v>
      </c>
      <c r="M407" s="50" t="s">
        <v>738</v>
      </c>
      <c r="N407" s="50" t="s">
        <v>1750</v>
      </c>
      <c r="O407" s="51"/>
      <c r="P407" s="51"/>
      <c r="Q407" s="48"/>
      <c r="S407" s="1">
        <f t="shared" si="139"/>
        <v>0</v>
      </c>
      <c r="T407" s="1">
        <f t="shared" si="140"/>
        <v>0</v>
      </c>
      <c r="U407" s="1">
        <f t="shared" si="141"/>
        <v>0</v>
      </c>
      <c r="V407" s="1">
        <f t="shared" si="142"/>
        <v>0</v>
      </c>
      <c r="W407" s="1">
        <f t="shared" si="143"/>
        <v>0</v>
      </c>
      <c r="X407" s="1">
        <f t="shared" si="144"/>
        <v>0</v>
      </c>
      <c r="Y407" s="1">
        <f t="shared" si="145"/>
        <v>0</v>
      </c>
      <c r="Z407" s="1">
        <f t="shared" si="146"/>
        <v>0</v>
      </c>
      <c r="AA407" s="1">
        <f t="shared" si="147"/>
        <v>0</v>
      </c>
      <c r="AB407" s="1">
        <f t="shared" si="148"/>
        <v>0</v>
      </c>
      <c r="AD407" s="1">
        <f t="shared" si="149"/>
        <v>0</v>
      </c>
      <c r="AE407" s="1">
        <f t="shared" si="150"/>
        <v>0</v>
      </c>
      <c r="AF407" s="1">
        <f t="shared" si="135"/>
        <v>0</v>
      </c>
      <c r="AG407" s="1">
        <f t="shared" si="136"/>
        <v>0</v>
      </c>
      <c r="AH407" s="1">
        <f t="shared" si="137"/>
        <v>0</v>
      </c>
      <c r="AI407" s="1">
        <f t="shared" si="138"/>
        <v>1</v>
      </c>
    </row>
    <row r="408" spans="1:35" ht="14.25" customHeight="1" x14ac:dyDescent="0.25">
      <c r="A408" s="47">
        <v>0</v>
      </c>
      <c r="B408" s="47">
        <v>2</v>
      </c>
      <c r="C408" s="47">
        <v>7</v>
      </c>
      <c r="D408" s="48" t="s">
        <v>1342</v>
      </c>
      <c r="E408" s="48" t="s">
        <v>28</v>
      </c>
      <c r="F408" s="48" t="s">
        <v>577</v>
      </c>
      <c r="G408" s="48" t="s">
        <v>183</v>
      </c>
      <c r="H408" s="48" t="s">
        <v>357</v>
      </c>
      <c r="I408" s="47" t="s">
        <v>434</v>
      </c>
      <c r="J408" s="47">
        <v>7</v>
      </c>
      <c r="K408" s="49" t="s">
        <v>719</v>
      </c>
      <c r="L408" s="49" t="s">
        <v>720</v>
      </c>
      <c r="M408" s="50" t="s">
        <v>738</v>
      </c>
      <c r="N408" s="50" t="s">
        <v>1750</v>
      </c>
      <c r="O408" s="51"/>
      <c r="P408" s="51"/>
      <c r="Q408" s="48"/>
      <c r="S408" s="1">
        <f t="shared" si="139"/>
        <v>0</v>
      </c>
      <c r="T408" s="1">
        <f t="shared" si="140"/>
        <v>0</v>
      </c>
      <c r="U408" s="1">
        <f t="shared" si="141"/>
        <v>0</v>
      </c>
      <c r="V408" s="1">
        <f t="shared" si="142"/>
        <v>0</v>
      </c>
      <c r="W408" s="1">
        <f t="shared" si="143"/>
        <v>0</v>
      </c>
      <c r="X408" s="1">
        <f t="shared" si="144"/>
        <v>0</v>
      </c>
      <c r="Y408" s="1">
        <f t="shared" si="145"/>
        <v>1</v>
      </c>
      <c r="Z408" s="1">
        <f t="shared" si="146"/>
        <v>0</v>
      </c>
      <c r="AA408" s="1">
        <f t="shared" si="147"/>
        <v>0</v>
      </c>
      <c r="AB408" s="1">
        <f t="shared" si="148"/>
        <v>0</v>
      </c>
      <c r="AD408" s="1">
        <f t="shared" si="149"/>
        <v>0</v>
      </c>
      <c r="AE408" s="1">
        <f t="shared" si="150"/>
        <v>0</v>
      </c>
      <c r="AF408" s="1">
        <f t="shared" si="135"/>
        <v>0</v>
      </c>
      <c r="AG408" s="1">
        <f t="shared" si="136"/>
        <v>0</v>
      </c>
      <c r="AH408" s="1">
        <f t="shared" si="137"/>
        <v>0</v>
      </c>
      <c r="AI408" s="1">
        <f t="shared" si="13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73</v>
      </c>
      <c r="E409" s="48" t="s">
        <v>28</v>
      </c>
      <c r="F409" s="68" t="s">
        <v>1890</v>
      </c>
      <c r="G409" s="48" t="s">
        <v>237</v>
      </c>
      <c r="H409" s="48" t="s">
        <v>357</v>
      </c>
      <c r="I409" s="47" t="s">
        <v>686</v>
      </c>
      <c r="J409" s="47">
        <v>99</v>
      </c>
      <c r="K409" s="49" t="s">
        <v>720</v>
      </c>
      <c r="L409" s="49" t="s">
        <v>720</v>
      </c>
      <c r="M409" s="50" t="s">
        <v>738</v>
      </c>
      <c r="N409" s="50" t="s">
        <v>1750</v>
      </c>
      <c r="O409" s="51"/>
      <c r="P409" s="51"/>
      <c r="Q409" s="48"/>
      <c r="S409" s="1">
        <f t="shared" si="139"/>
        <v>0</v>
      </c>
      <c r="T409" s="1">
        <f t="shared" si="140"/>
        <v>0</v>
      </c>
      <c r="U409" s="1">
        <f t="shared" si="141"/>
        <v>0</v>
      </c>
      <c r="V409" s="1">
        <f t="shared" si="142"/>
        <v>0</v>
      </c>
      <c r="W409" s="1">
        <f t="shared" si="143"/>
        <v>0</v>
      </c>
      <c r="X409" s="1">
        <f t="shared" si="144"/>
        <v>0</v>
      </c>
      <c r="Y409" s="1">
        <f t="shared" si="145"/>
        <v>0</v>
      </c>
      <c r="Z409" s="1">
        <f t="shared" si="146"/>
        <v>0</v>
      </c>
      <c r="AA409" s="1">
        <f t="shared" si="147"/>
        <v>0</v>
      </c>
      <c r="AB409" s="1">
        <f t="shared" si="148"/>
        <v>0</v>
      </c>
      <c r="AD409" s="1">
        <f t="shared" si="149"/>
        <v>0</v>
      </c>
      <c r="AE409" s="1">
        <f t="shared" si="150"/>
        <v>0</v>
      </c>
      <c r="AF409" s="1">
        <f t="shared" si="135"/>
        <v>0</v>
      </c>
      <c r="AG409" s="1">
        <f t="shared" si="136"/>
        <v>0</v>
      </c>
      <c r="AH409" s="1">
        <f t="shared" si="137"/>
        <v>0</v>
      </c>
      <c r="AI409" s="1">
        <f t="shared" si="13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73</v>
      </c>
      <c r="E410" s="48" t="s">
        <v>28</v>
      </c>
      <c r="F410" s="48" t="s">
        <v>264</v>
      </c>
      <c r="G410" s="48" t="s">
        <v>222</v>
      </c>
      <c r="H410" s="48" t="s">
        <v>357</v>
      </c>
      <c r="I410" s="47" t="s">
        <v>424</v>
      </c>
      <c r="J410" s="47">
        <v>8</v>
      </c>
      <c r="K410" s="49" t="s">
        <v>720</v>
      </c>
      <c r="L410" s="49" t="s">
        <v>720</v>
      </c>
      <c r="M410" s="50" t="s">
        <v>738</v>
      </c>
      <c r="N410" s="50" t="s">
        <v>1750</v>
      </c>
      <c r="O410" s="51"/>
      <c r="P410" s="51"/>
      <c r="Q410" s="48"/>
      <c r="S410" s="1">
        <f t="shared" si="139"/>
        <v>0</v>
      </c>
      <c r="T410" s="1">
        <f t="shared" si="140"/>
        <v>0</v>
      </c>
      <c r="U410" s="1">
        <f t="shared" si="141"/>
        <v>0</v>
      </c>
      <c r="V410" s="1">
        <f t="shared" si="142"/>
        <v>0</v>
      </c>
      <c r="W410" s="1">
        <f t="shared" si="143"/>
        <v>0</v>
      </c>
      <c r="X410" s="1">
        <f t="shared" si="144"/>
        <v>0</v>
      </c>
      <c r="Y410" s="1">
        <f t="shared" si="145"/>
        <v>0</v>
      </c>
      <c r="Z410" s="1">
        <f t="shared" si="146"/>
        <v>1</v>
      </c>
      <c r="AA410" s="1">
        <f t="shared" si="147"/>
        <v>0</v>
      </c>
      <c r="AB410" s="1">
        <f t="shared" si="148"/>
        <v>0</v>
      </c>
      <c r="AD410" s="1">
        <f t="shared" si="149"/>
        <v>0</v>
      </c>
      <c r="AE410" s="1">
        <f t="shared" si="150"/>
        <v>0</v>
      </c>
      <c r="AF410" s="1">
        <f t="shared" si="135"/>
        <v>0</v>
      </c>
      <c r="AG410" s="1">
        <f t="shared" si="136"/>
        <v>0</v>
      </c>
      <c r="AH410" s="1">
        <f t="shared" si="137"/>
        <v>0</v>
      </c>
      <c r="AI410" s="1">
        <f t="shared" si="13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73</v>
      </c>
      <c r="E411" s="48" t="s">
        <v>28</v>
      </c>
      <c r="F411" s="48" t="s">
        <v>263</v>
      </c>
      <c r="G411" s="48" t="s">
        <v>180</v>
      </c>
      <c r="H411" s="48" t="s">
        <v>357</v>
      </c>
      <c r="I411" s="47" t="s">
        <v>423</v>
      </c>
      <c r="J411" s="47">
        <v>1</v>
      </c>
      <c r="K411" s="49" t="s">
        <v>720</v>
      </c>
      <c r="L411" s="49" t="s">
        <v>720</v>
      </c>
      <c r="M411" s="50" t="s">
        <v>738</v>
      </c>
      <c r="N411" s="50" t="s">
        <v>1750</v>
      </c>
      <c r="O411" s="51"/>
      <c r="P411" s="51"/>
      <c r="Q411" s="48"/>
      <c r="S411" s="1">
        <f t="shared" si="139"/>
        <v>1</v>
      </c>
      <c r="T411" s="1">
        <f t="shared" si="140"/>
        <v>0</v>
      </c>
      <c r="U411" s="1">
        <f t="shared" si="141"/>
        <v>0</v>
      </c>
      <c r="V411" s="1">
        <f t="shared" si="142"/>
        <v>0</v>
      </c>
      <c r="W411" s="1">
        <f t="shared" si="143"/>
        <v>0</v>
      </c>
      <c r="X411" s="1">
        <f t="shared" si="144"/>
        <v>0</v>
      </c>
      <c r="Y411" s="1">
        <f t="shared" si="145"/>
        <v>0</v>
      </c>
      <c r="Z411" s="1">
        <f t="shared" si="146"/>
        <v>0</v>
      </c>
      <c r="AA411" s="1">
        <f t="shared" si="147"/>
        <v>0</v>
      </c>
      <c r="AB411" s="1">
        <f t="shared" si="148"/>
        <v>0</v>
      </c>
      <c r="AD411" s="1">
        <f t="shared" si="149"/>
        <v>0</v>
      </c>
      <c r="AE411" s="1">
        <f t="shared" si="150"/>
        <v>0</v>
      </c>
      <c r="AF411" s="1">
        <f t="shared" si="135"/>
        <v>0</v>
      </c>
      <c r="AG411" s="1">
        <f t="shared" si="136"/>
        <v>0</v>
      </c>
      <c r="AH411" s="1">
        <f t="shared" si="137"/>
        <v>0</v>
      </c>
      <c r="AI411" s="1">
        <f t="shared" si="138"/>
        <v>0</v>
      </c>
    </row>
    <row r="412" spans="1:35" ht="14.25" customHeight="1" x14ac:dyDescent="0.25">
      <c r="A412" s="15">
        <v>0</v>
      </c>
      <c r="B412" s="15">
        <v>2</v>
      </c>
      <c r="C412" s="15">
        <v>7</v>
      </c>
      <c r="D412" s="16" t="s">
        <v>785</v>
      </c>
      <c r="E412" s="16" t="s">
        <v>28</v>
      </c>
      <c r="F412" s="16" t="s">
        <v>786</v>
      </c>
      <c r="G412" s="16" t="s">
        <v>282</v>
      </c>
      <c r="H412" s="16" t="s">
        <v>357</v>
      </c>
      <c r="I412" s="15" t="s">
        <v>787</v>
      </c>
      <c r="J412" s="15">
        <v>99</v>
      </c>
      <c r="K412" s="10" t="s">
        <v>720</v>
      </c>
      <c r="L412" s="10" t="s">
        <v>720</v>
      </c>
      <c r="M412" s="19" t="s">
        <v>738</v>
      </c>
      <c r="N412" s="17"/>
      <c r="Q412" s="16"/>
      <c r="S412" s="1">
        <f t="shared" si="139"/>
        <v>0</v>
      </c>
      <c r="T412" s="1">
        <f t="shared" si="140"/>
        <v>0</v>
      </c>
      <c r="U412" s="1">
        <f t="shared" si="141"/>
        <v>0</v>
      </c>
      <c r="V412" s="1">
        <f t="shared" si="142"/>
        <v>0</v>
      </c>
      <c r="W412" s="1">
        <f t="shared" si="143"/>
        <v>0</v>
      </c>
      <c r="X412" s="1">
        <f t="shared" si="144"/>
        <v>0</v>
      </c>
      <c r="Y412" s="1">
        <f t="shared" si="145"/>
        <v>0</v>
      </c>
      <c r="Z412" s="1">
        <f t="shared" si="146"/>
        <v>0</v>
      </c>
      <c r="AA412" s="1">
        <f t="shared" si="147"/>
        <v>0</v>
      </c>
      <c r="AB412" s="1">
        <f t="shared" si="148"/>
        <v>0</v>
      </c>
      <c r="AD412" s="1">
        <f t="shared" si="149"/>
        <v>0</v>
      </c>
      <c r="AE412" s="1">
        <f t="shared" si="150"/>
        <v>0</v>
      </c>
      <c r="AF412" s="1">
        <f t="shared" si="135"/>
        <v>0</v>
      </c>
      <c r="AG412" s="1">
        <f t="shared" si="136"/>
        <v>0</v>
      </c>
      <c r="AH412" s="1">
        <f t="shared" si="137"/>
        <v>0</v>
      </c>
      <c r="AI412" s="1">
        <f t="shared" si="138"/>
        <v>1</v>
      </c>
    </row>
    <row r="413" spans="1:35" ht="14.25" customHeight="1" x14ac:dyDescent="0.25">
      <c r="A413" s="15">
        <v>0</v>
      </c>
      <c r="B413" s="15">
        <v>2</v>
      </c>
      <c r="C413" s="15">
        <v>7</v>
      </c>
      <c r="D413" s="16" t="s">
        <v>86</v>
      </c>
      <c r="E413" s="16" t="s">
        <v>28</v>
      </c>
      <c r="F413" s="16" t="s">
        <v>281</v>
      </c>
      <c r="G413" s="16" t="s">
        <v>282</v>
      </c>
      <c r="H413" s="16" t="s">
        <v>357</v>
      </c>
      <c r="I413" s="15" t="s">
        <v>438</v>
      </c>
      <c r="J413" s="15">
        <v>99</v>
      </c>
      <c r="K413" s="10" t="s">
        <v>720</v>
      </c>
      <c r="L413" s="10" t="s">
        <v>720</v>
      </c>
      <c r="M413" s="19" t="s">
        <v>738</v>
      </c>
      <c r="N413" s="17"/>
      <c r="Q413" s="16"/>
      <c r="S413" s="1">
        <f t="shared" si="139"/>
        <v>0</v>
      </c>
      <c r="T413" s="1">
        <f t="shared" si="140"/>
        <v>0</v>
      </c>
      <c r="U413" s="1">
        <f t="shared" si="141"/>
        <v>0</v>
      </c>
      <c r="V413" s="1">
        <f t="shared" si="142"/>
        <v>0</v>
      </c>
      <c r="W413" s="1">
        <f t="shared" si="143"/>
        <v>0</v>
      </c>
      <c r="X413" s="1">
        <f t="shared" si="144"/>
        <v>0</v>
      </c>
      <c r="Y413" s="1">
        <f t="shared" si="145"/>
        <v>0</v>
      </c>
      <c r="Z413" s="1">
        <f t="shared" si="146"/>
        <v>0</v>
      </c>
      <c r="AA413" s="1">
        <f t="shared" si="147"/>
        <v>0</v>
      </c>
      <c r="AB413" s="1">
        <f t="shared" si="148"/>
        <v>0</v>
      </c>
      <c r="AD413" s="1">
        <f t="shared" si="149"/>
        <v>0</v>
      </c>
      <c r="AE413" s="1">
        <f t="shared" si="150"/>
        <v>0</v>
      </c>
      <c r="AF413" s="1">
        <f t="shared" si="135"/>
        <v>0</v>
      </c>
      <c r="AG413" s="1">
        <f t="shared" si="136"/>
        <v>0</v>
      </c>
      <c r="AH413" s="1">
        <f t="shared" si="137"/>
        <v>0</v>
      </c>
      <c r="AI413" s="1">
        <f t="shared" si="138"/>
        <v>1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558</v>
      </c>
      <c r="E414" s="48" t="s">
        <v>28</v>
      </c>
      <c r="F414" s="68" t="s">
        <v>1891</v>
      </c>
      <c r="G414" s="48" t="s">
        <v>561</v>
      </c>
      <c r="H414" s="48" t="s">
        <v>357</v>
      </c>
      <c r="I414" s="47" t="s">
        <v>562</v>
      </c>
      <c r="J414" s="47">
        <v>99</v>
      </c>
      <c r="K414" s="49" t="s">
        <v>720</v>
      </c>
      <c r="L414" s="49" t="s">
        <v>720</v>
      </c>
      <c r="M414" s="50" t="s">
        <v>738</v>
      </c>
      <c r="N414" s="50" t="s">
        <v>1817</v>
      </c>
      <c r="O414" s="51"/>
      <c r="P414" s="51"/>
      <c r="Q414" s="48"/>
      <c r="S414" s="1">
        <f t="shared" si="139"/>
        <v>0</v>
      </c>
      <c r="T414" s="1">
        <f t="shared" si="140"/>
        <v>0</v>
      </c>
      <c r="U414" s="1">
        <f t="shared" si="141"/>
        <v>0</v>
      </c>
      <c r="V414" s="1">
        <f t="shared" si="142"/>
        <v>0</v>
      </c>
      <c r="W414" s="1">
        <f t="shared" si="143"/>
        <v>0</v>
      </c>
      <c r="X414" s="1">
        <f t="shared" si="144"/>
        <v>0</v>
      </c>
      <c r="Y414" s="1">
        <f t="shared" si="145"/>
        <v>0</v>
      </c>
      <c r="Z414" s="1">
        <f t="shared" si="146"/>
        <v>0</v>
      </c>
      <c r="AA414" s="1">
        <f t="shared" si="147"/>
        <v>0</v>
      </c>
      <c r="AB414" s="1">
        <f t="shared" si="148"/>
        <v>0</v>
      </c>
      <c r="AD414" s="1">
        <f t="shared" si="149"/>
        <v>0</v>
      </c>
      <c r="AE414" s="1">
        <f t="shared" si="150"/>
        <v>0</v>
      </c>
      <c r="AF414" s="1">
        <f t="shared" si="135"/>
        <v>0</v>
      </c>
      <c r="AG414" s="1">
        <f t="shared" si="136"/>
        <v>0</v>
      </c>
      <c r="AH414" s="1">
        <f t="shared" si="137"/>
        <v>0</v>
      </c>
      <c r="AI414" s="1">
        <f t="shared" si="138"/>
        <v>1</v>
      </c>
    </row>
    <row r="415" spans="1:35" ht="14.25" customHeight="1" x14ac:dyDescent="0.25">
      <c r="A415" s="47">
        <v>1</v>
      </c>
      <c r="B415" s="47">
        <v>2</v>
      </c>
      <c r="C415" s="47">
        <v>7</v>
      </c>
      <c r="D415" s="48" t="s">
        <v>558</v>
      </c>
      <c r="E415" s="48" t="s">
        <v>28</v>
      </c>
      <c r="F415" s="68" t="s">
        <v>1892</v>
      </c>
      <c r="G415" s="48" t="s">
        <v>559</v>
      </c>
      <c r="H415" s="48" t="s">
        <v>357</v>
      </c>
      <c r="I415" s="47" t="s">
        <v>560</v>
      </c>
      <c r="J415" s="47">
        <v>99</v>
      </c>
      <c r="K415" s="49" t="s">
        <v>720</v>
      </c>
      <c r="L415" s="49" t="s">
        <v>720</v>
      </c>
      <c r="M415" s="50" t="s">
        <v>738</v>
      </c>
      <c r="N415" s="50" t="s">
        <v>1817</v>
      </c>
      <c r="O415" s="51"/>
      <c r="P415" s="51"/>
      <c r="Q415" s="48"/>
      <c r="S415" s="1">
        <f t="shared" si="139"/>
        <v>0</v>
      </c>
      <c r="T415" s="1">
        <f t="shared" si="140"/>
        <v>0</v>
      </c>
      <c r="U415" s="1">
        <f t="shared" si="141"/>
        <v>0</v>
      </c>
      <c r="V415" s="1">
        <f t="shared" si="142"/>
        <v>0</v>
      </c>
      <c r="W415" s="1">
        <f t="shared" si="143"/>
        <v>0</v>
      </c>
      <c r="X415" s="1">
        <f t="shared" si="144"/>
        <v>0</v>
      </c>
      <c r="Y415" s="1">
        <f t="shared" si="145"/>
        <v>0</v>
      </c>
      <c r="Z415" s="1">
        <f t="shared" si="146"/>
        <v>0</v>
      </c>
      <c r="AA415" s="1">
        <f t="shared" si="147"/>
        <v>0</v>
      </c>
      <c r="AB415" s="1">
        <f t="shared" si="148"/>
        <v>0</v>
      </c>
      <c r="AD415" s="1">
        <f t="shared" si="149"/>
        <v>0</v>
      </c>
      <c r="AE415" s="1">
        <f t="shared" si="150"/>
        <v>0</v>
      </c>
      <c r="AF415" s="1">
        <f t="shared" si="135"/>
        <v>0</v>
      </c>
      <c r="AG415" s="1">
        <f t="shared" si="136"/>
        <v>0</v>
      </c>
      <c r="AH415" s="1">
        <f t="shared" si="137"/>
        <v>0</v>
      </c>
      <c r="AI415" s="1">
        <f t="shared" si="138"/>
        <v>0</v>
      </c>
    </row>
    <row r="416" spans="1:35" ht="14.25" customHeight="1" x14ac:dyDescent="0.25">
      <c r="A416" s="47">
        <v>0</v>
      </c>
      <c r="B416" s="47">
        <v>2</v>
      </c>
      <c r="C416" s="47">
        <v>7</v>
      </c>
      <c r="D416" s="48" t="s">
        <v>1199</v>
      </c>
      <c r="E416" s="48" t="s">
        <v>28</v>
      </c>
      <c r="F416" s="48" t="s">
        <v>1693</v>
      </c>
      <c r="G416" s="48" t="s">
        <v>237</v>
      </c>
      <c r="H416" s="48" t="s">
        <v>357</v>
      </c>
      <c r="I416" s="47" t="s">
        <v>1380</v>
      </c>
      <c r="J416" s="47">
        <v>99</v>
      </c>
      <c r="K416" s="49" t="s">
        <v>719</v>
      </c>
      <c r="L416" s="49" t="s">
        <v>720</v>
      </c>
      <c r="M416" s="50" t="s">
        <v>738</v>
      </c>
      <c r="N416" s="50" t="s">
        <v>1750</v>
      </c>
      <c r="O416" s="51"/>
      <c r="P416" s="51"/>
      <c r="Q416" s="48"/>
      <c r="S416" s="1">
        <f t="shared" si="139"/>
        <v>0</v>
      </c>
      <c r="T416" s="1">
        <f t="shared" si="140"/>
        <v>0</v>
      </c>
      <c r="U416" s="1">
        <f t="shared" si="141"/>
        <v>0</v>
      </c>
      <c r="V416" s="1">
        <f t="shared" si="142"/>
        <v>0</v>
      </c>
      <c r="W416" s="1">
        <f t="shared" si="143"/>
        <v>0</v>
      </c>
      <c r="X416" s="1">
        <f t="shared" si="144"/>
        <v>0</v>
      </c>
      <c r="Y416" s="1">
        <f t="shared" si="145"/>
        <v>0</v>
      </c>
      <c r="Z416" s="1">
        <f t="shared" si="146"/>
        <v>0</v>
      </c>
      <c r="AA416" s="1">
        <f t="shared" si="147"/>
        <v>0</v>
      </c>
      <c r="AB416" s="1">
        <f t="shared" si="148"/>
        <v>0</v>
      </c>
      <c r="AD416" s="1">
        <f t="shared" si="149"/>
        <v>0</v>
      </c>
      <c r="AE416" s="1">
        <f t="shared" si="150"/>
        <v>0</v>
      </c>
      <c r="AF416" s="1">
        <f t="shared" si="135"/>
        <v>0</v>
      </c>
      <c r="AG416" s="1">
        <f t="shared" si="136"/>
        <v>0</v>
      </c>
      <c r="AH416" s="1">
        <f t="shared" si="137"/>
        <v>0</v>
      </c>
      <c r="AI416" s="1">
        <f t="shared" si="138"/>
        <v>1</v>
      </c>
    </row>
    <row r="417" spans="1:35" ht="14.25" customHeight="1" x14ac:dyDescent="0.25">
      <c r="A417" s="47">
        <v>1</v>
      </c>
      <c r="B417" s="47">
        <v>2</v>
      </c>
      <c r="C417" s="47">
        <v>7</v>
      </c>
      <c r="D417" s="48" t="s">
        <v>1199</v>
      </c>
      <c r="E417" s="48" t="s">
        <v>28</v>
      </c>
      <c r="F417" s="48" t="s">
        <v>1694</v>
      </c>
      <c r="G417" s="48" t="s">
        <v>1366</v>
      </c>
      <c r="H417" s="48" t="s">
        <v>357</v>
      </c>
      <c r="I417" s="47" t="s">
        <v>1381</v>
      </c>
      <c r="J417" s="47">
        <v>99</v>
      </c>
      <c r="K417" s="49" t="s">
        <v>719</v>
      </c>
      <c r="L417" s="49" t="s">
        <v>720</v>
      </c>
      <c r="M417" s="50" t="s">
        <v>738</v>
      </c>
      <c r="N417" s="50" t="s">
        <v>1750</v>
      </c>
      <c r="O417" s="51"/>
      <c r="P417" s="51"/>
      <c r="Q417" s="48"/>
      <c r="S417" s="1">
        <f t="shared" si="139"/>
        <v>0</v>
      </c>
      <c r="T417" s="1">
        <f t="shared" si="140"/>
        <v>0</v>
      </c>
      <c r="U417" s="1">
        <f t="shared" si="141"/>
        <v>0</v>
      </c>
      <c r="V417" s="1">
        <f t="shared" si="142"/>
        <v>0</v>
      </c>
      <c r="W417" s="1">
        <f t="shared" si="143"/>
        <v>0</v>
      </c>
      <c r="X417" s="1">
        <f t="shared" si="144"/>
        <v>0</v>
      </c>
      <c r="Y417" s="1">
        <f t="shared" si="145"/>
        <v>0</v>
      </c>
      <c r="Z417" s="1">
        <f t="shared" si="146"/>
        <v>0</v>
      </c>
      <c r="AA417" s="1">
        <f t="shared" si="147"/>
        <v>0</v>
      </c>
      <c r="AB417" s="1">
        <f t="shared" si="148"/>
        <v>0</v>
      </c>
      <c r="AD417" s="1">
        <f t="shared" si="149"/>
        <v>0</v>
      </c>
      <c r="AE417" s="1">
        <f t="shared" si="150"/>
        <v>0</v>
      </c>
      <c r="AF417" s="1">
        <f t="shared" si="135"/>
        <v>0</v>
      </c>
      <c r="AG417" s="1">
        <f t="shared" si="136"/>
        <v>0</v>
      </c>
      <c r="AH417" s="1">
        <f t="shared" si="137"/>
        <v>0</v>
      </c>
      <c r="AI417" s="1">
        <f t="shared" si="138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5" t="s">
        <v>1267</v>
      </c>
      <c r="E418" s="35" t="s">
        <v>28</v>
      </c>
      <c r="F418" s="35" t="s">
        <v>1266</v>
      </c>
      <c r="G418" s="35" t="s">
        <v>1251</v>
      </c>
      <c r="H418" s="35" t="s">
        <v>357</v>
      </c>
      <c r="I418" s="34" t="s">
        <v>1268</v>
      </c>
      <c r="J418" s="34">
        <v>99</v>
      </c>
      <c r="K418" s="36" t="s">
        <v>710</v>
      </c>
      <c r="L418" s="36" t="s">
        <v>720</v>
      </c>
      <c r="M418" s="37" t="s">
        <v>738</v>
      </c>
      <c r="N418" s="37" t="s">
        <v>1758</v>
      </c>
      <c r="O418" s="38">
        <v>1</v>
      </c>
      <c r="P418" s="38"/>
      <c r="Q418" s="35"/>
      <c r="S418" s="1">
        <f t="shared" si="139"/>
        <v>0</v>
      </c>
      <c r="T418" s="1">
        <f t="shared" si="140"/>
        <v>0</v>
      </c>
      <c r="U418" s="1">
        <f t="shared" si="141"/>
        <v>0</v>
      </c>
      <c r="V418" s="1">
        <f t="shared" si="142"/>
        <v>0</v>
      </c>
      <c r="W418" s="1">
        <f t="shared" si="143"/>
        <v>0</v>
      </c>
      <c r="X418" s="1">
        <f t="shared" si="144"/>
        <v>0</v>
      </c>
      <c r="Y418" s="1">
        <f t="shared" si="145"/>
        <v>0</v>
      </c>
      <c r="Z418" s="1">
        <f t="shared" si="146"/>
        <v>0</v>
      </c>
      <c r="AA418" s="1">
        <f t="shared" si="147"/>
        <v>0</v>
      </c>
      <c r="AB418" s="1">
        <f t="shared" si="148"/>
        <v>0</v>
      </c>
      <c r="AD418" s="1">
        <f t="shared" si="149"/>
        <v>0</v>
      </c>
      <c r="AE418" s="1">
        <f t="shared" si="150"/>
        <v>1</v>
      </c>
      <c r="AF418" s="1">
        <f t="shared" si="135"/>
        <v>0</v>
      </c>
      <c r="AG418" s="1">
        <f t="shared" si="136"/>
        <v>1</v>
      </c>
      <c r="AH418" s="1">
        <f t="shared" si="137"/>
        <v>0</v>
      </c>
      <c r="AI418" s="1">
        <f t="shared" si="138"/>
        <v>1</v>
      </c>
    </row>
    <row r="419" spans="1:35" ht="14.25" customHeight="1" x14ac:dyDescent="0.25">
      <c r="A419" s="34">
        <v>1</v>
      </c>
      <c r="B419" s="34">
        <v>2</v>
      </c>
      <c r="C419" s="34">
        <v>7</v>
      </c>
      <c r="D419" s="35" t="s">
        <v>1267</v>
      </c>
      <c r="E419" s="35" t="s">
        <v>28</v>
      </c>
      <c r="F419" s="35" t="s">
        <v>1265</v>
      </c>
      <c r="G419" s="35" t="s">
        <v>39</v>
      </c>
      <c r="H419" s="35" t="s">
        <v>357</v>
      </c>
      <c r="I419" s="34" t="s">
        <v>1269</v>
      </c>
      <c r="J419" s="34">
        <v>9</v>
      </c>
      <c r="K419" s="36" t="s">
        <v>710</v>
      </c>
      <c r="L419" s="36" t="s">
        <v>720</v>
      </c>
      <c r="M419" s="37" t="s">
        <v>738</v>
      </c>
      <c r="N419" s="37" t="s">
        <v>1758</v>
      </c>
      <c r="O419" s="38">
        <v>1</v>
      </c>
      <c r="P419" s="38"/>
      <c r="Q419" s="35"/>
      <c r="S419" s="1">
        <f t="shared" si="139"/>
        <v>0</v>
      </c>
      <c r="T419" s="1">
        <f t="shared" si="140"/>
        <v>0</v>
      </c>
      <c r="U419" s="1">
        <f t="shared" si="141"/>
        <v>0</v>
      </c>
      <c r="V419" s="1">
        <f t="shared" si="142"/>
        <v>0</v>
      </c>
      <c r="W419" s="1">
        <f t="shared" si="143"/>
        <v>0</v>
      </c>
      <c r="X419" s="1">
        <f t="shared" si="144"/>
        <v>0</v>
      </c>
      <c r="Y419" s="1">
        <f t="shared" si="145"/>
        <v>0</v>
      </c>
      <c r="Z419" s="1">
        <f t="shared" si="146"/>
        <v>0</v>
      </c>
      <c r="AA419" s="1">
        <f t="shared" si="147"/>
        <v>1</v>
      </c>
      <c r="AB419" s="1">
        <f t="shared" si="148"/>
        <v>0</v>
      </c>
      <c r="AD419" s="1">
        <f t="shared" si="149"/>
        <v>0</v>
      </c>
      <c r="AE419" s="1">
        <f t="shared" si="150"/>
        <v>1</v>
      </c>
      <c r="AF419" s="1">
        <f t="shared" si="135"/>
        <v>0</v>
      </c>
      <c r="AG419" s="1">
        <f t="shared" si="136"/>
        <v>0</v>
      </c>
      <c r="AH419" s="1">
        <f t="shared" si="137"/>
        <v>0</v>
      </c>
      <c r="AI419" s="1">
        <f t="shared" si="138"/>
        <v>0</v>
      </c>
    </row>
    <row r="420" spans="1:35" ht="14.25" customHeight="1" x14ac:dyDescent="0.25">
      <c r="A420" s="34">
        <v>1</v>
      </c>
      <c r="B420" s="34">
        <v>2</v>
      </c>
      <c r="C420" s="34">
        <v>7</v>
      </c>
      <c r="D420" s="35" t="s">
        <v>1267</v>
      </c>
      <c r="E420" s="35" t="s">
        <v>28</v>
      </c>
      <c r="F420" s="39" t="s">
        <v>1839</v>
      </c>
      <c r="G420" s="39" t="s">
        <v>260</v>
      </c>
      <c r="H420" s="35" t="s">
        <v>357</v>
      </c>
      <c r="I420" s="40" t="s">
        <v>30</v>
      </c>
      <c r="J420" s="34">
        <v>8</v>
      </c>
      <c r="K420" s="36" t="s">
        <v>710</v>
      </c>
      <c r="L420" s="36" t="s">
        <v>720</v>
      </c>
      <c r="M420" s="37" t="s">
        <v>738</v>
      </c>
      <c r="N420" s="37" t="s">
        <v>1758</v>
      </c>
      <c r="O420" s="38">
        <v>1</v>
      </c>
      <c r="P420" s="38"/>
      <c r="Q420" s="35"/>
      <c r="S420" s="1">
        <f t="shared" si="139"/>
        <v>0</v>
      </c>
      <c r="T420" s="1">
        <f t="shared" si="140"/>
        <v>0</v>
      </c>
      <c r="U420" s="1">
        <f t="shared" si="141"/>
        <v>0</v>
      </c>
      <c r="V420" s="1">
        <f t="shared" si="142"/>
        <v>0</v>
      </c>
      <c r="W420" s="1">
        <f t="shared" si="143"/>
        <v>0</v>
      </c>
      <c r="X420" s="1">
        <f t="shared" si="144"/>
        <v>0</v>
      </c>
      <c r="Y420" s="1">
        <f t="shared" si="145"/>
        <v>0</v>
      </c>
      <c r="Z420" s="1">
        <f t="shared" si="146"/>
        <v>1</v>
      </c>
      <c r="AA420" s="1">
        <f t="shared" si="147"/>
        <v>0</v>
      </c>
      <c r="AB420" s="1">
        <f t="shared" si="148"/>
        <v>0</v>
      </c>
      <c r="AD420" s="1">
        <f t="shared" si="149"/>
        <v>0</v>
      </c>
      <c r="AE420" s="1">
        <f t="shared" si="150"/>
        <v>1</v>
      </c>
      <c r="AF420" s="1">
        <f t="shared" si="135"/>
        <v>0</v>
      </c>
      <c r="AG420" s="1">
        <f t="shared" si="136"/>
        <v>0</v>
      </c>
      <c r="AH420" s="1">
        <f t="shared" si="137"/>
        <v>0</v>
      </c>
      <c r="AI420" s="1">
        <f t="shared" si="138"/>
        <v>0</v>
      </c>
    </row>
    <row r="421" spans="1:35" ht="14.25" customHeight="1" x14ac:dyDescent="0.25">
      <c r="A421" s="34">
        <v>0</v>
      </c>
      <c r="B421" s="34">
        <v>2</v>
      </c>
      <c r="C421" s="34">
        <v>7</v>
      </c>
      <c r="D421" s="35" t="s">
        <v>51</v>
      </c>
      <c r="E421" s="35" t="s">
        <v>28</v>
      </c>
      <c r="F421" s="35" t="s">
        <v>680</v>
      </c>
      <c r="G421" s="35" t="s">
        <v>187</v>
      </c>
      <c r="H421" s="35" t="s">
        <v>357</v>
      </c>
      <c r="I421" s="34" t="s">
        <v>393</v>
      </c>
      <c r="J421" s="34">
        <v>99</v>
      </c>
      <c r="K421" s="36" t="s">
        <v>719</v>
      </c>
      <c r="L421" s="36" t="s">
        <v>720</v>
      </c>
      <c r="M421" s="37" t="s">
        <v>738</v>
      </c>
      <c r="N421" s="37" t="s">
        <v>1764</v>
      </c>
      <c r="O421" s="38">
        <v>1</v>
      </c>
      <c r="P421" s="38"/>
      <c r="Q421" s="35"/>
      <c r="S421" s="1">
        <f t="shared" si="139"/>
        <v>0</v>
      </c>
      <c r="T421" s="1">
        <f t="shared" si="140"/>
        <v>0</v>
      </c>
      <c r="U421" s="1">
        <f t="shared" si="141"/>
        <v>0</v>
      </c>
      <c r="V421" s="1">
        <f t="shared" si="142"/>
        <v>0</v>
      </c>
      <c r="W421" s="1">
        <f t="shared" si="143"/>
        <v>0</v>
      </c>
      <c r="X421" s="1">
        <f t="shared" si="144"/>
        <v>0</v>
      </c>
      <c r="Y421" s="1">
        <f t="shared" si="145"/>
        <v>0</v>
      </c>
      <c r="Z421" s="1">
        <f t="shared" si="146"/>
        <v>0</v>
      </c>
      <c r="AA421" s="1">
        <f t="shared" si="147"/>
        <v>0</v>
      </c>
      <c r="AB421" s="1">
        <f t="shared" si="148"/>
        <v>0</v>
      </c>
      <c r="AD421" s="1">
        <f t="shared" si="149"/>
        <v>0</v>
      </c>
      <c r="AE421" s="1">
        <f t="shared" si="150"/>
        <v>1</v>
      </c>
      <c r="AF421" s="1">
        <f t="shared" si="135"/>
        <v>0</v>
      </c>
      <c r="AG421" s="1">
        <f t="shared" si="136"/>
        <v>1</v>
      </c>
      <c r="AH421" s="1">
        <f t="shared" si="137"/>
        <v>0</v>
      </c>
      <c r="AI421" s="1">
        <f t="shared" si="13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1091</v>
      </c>
      <c r="E422" s="48" t="s">
        <v>28</v>
      </c>
      <c r="F422" s="48" t="s">
        <v>1005</v>
      </c>
      <c r="G422" s="48" t="s">
        <v>242</v>
      </c>
      <c r="H422" s="48" t="s">
        <v>357</v>
      </c>
      <c r="I422" s="47" t="s">
        <v>1116</v>
      </c>
      <c r="J422" s="47">
        <v>1</v>
      </c>
      <c r="K422" s="49" t="s">
        <v>719</v>
      </c>
      <c r="L422" s="49" t="s">
        <v>720</v>
      </c>
      <c r="M422" s="50" t="s">
        <v>738</v>
      </c>
      <c r="N422" s="50" t="s">
        <v>1750</v>
      </c>
      <c r="O422" s="51"/>
      <c r="P422" s="51"/>
      <c r="Q422" s="48"/>
      <c r="S422" s="1">
        <f t="shared" si="139"/>
        <v>1</v>
      </c>
      <c r="T422" s="1">
        <f t="shared" si="140"/>
        <v>0</v>
      </c>
      <c r="U422" s="1">
        <f t="shared" si="141"/>
        <v>0</v>
      </c>
      <c r="V422" s="1">
        <f t="shared" si="142"/>
        <v>0</v>
      </c>
      <c r="W422" s="1">
        <f t="shared" si="143"/>
        <v>0</v>
      </c>
      <c r="X422" s="1">
        <f t="shared" si="144"/>
        <v>0</v>
      </c>
      <c r="Y422" s="1">
        <f t="shared" si="145"/>
        <v>0</v>
      </c>
      <c r="Z422" s="1">
        <f t="shared" si="146"/>
        <v>0</v>
      </c>
      <c r="AA422" s="1">
        <f t="shared" si="147"/>
        <v>0</v>
      </c>
      <c r="AB422" s="1">
        <f t="shared" si="148"/>
        <v>0</v>
      </c>
      <c r="AD422" s="1">
        <f t="shared" si="149"/>
        <v>0</v>
      </c>
      <c r="AE422" s="1">
        <f t="shared" si="150"/>
        <v>0</v>
      </c>
      <c r="AF422" s="1">
        <f t="shared" si="135"/>
        <v>0</v>
      </c>
      <c r="AG422" s="1">
        <f t="shared" si="136"/>
        <v>0</v>
      </c>
      <c r="AH422" s="1">
        <f t="shared" si="137"/>
        <v>0</v>
      </c>
      <c r="AI422" s="1">
        <f t="shared" si="13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1091</v>
      </c>
      <c r="E423" s="48" t="s">
        <v>28</v>
      </c>
      <c r="F423" s="48" t="s">
        <v>1006</v>
      </c>
      <c r="G423" s="48" t="s">
        <v>1109</v>
      </c>
      <c r="H423" s="48" t="s">
        <v>357</v>
      </c>
      <c r="I423" s="47" t="s">
        <v>1117</v>
      </c>
      <c r="J423" s="47">
        <v>1</v>
      </c>
      <c r="K423" s="49" t="s">
        <v>719</v>
      </c>
      <c r="L423" s="49" t="s">
        <v>720</v>
      </c>
      <c r="M423" s="50" t="s">
        <v>738</v>
      </c>
      <c r="N423" s="50" t="s">
        <v>1750</v>
      </c>
      <c r="O423" s="51"/>
      <c r="P423" s="51"/>
      <c r="Q423" s="48"/>
      <c r="S423" s="1">
        <f t="shared" si="139"/>
        <v>1</v>
      </c>
      <c r="T423" s="1">
        <f t="shared" si="140"/>
        <v>0</v>
      </c>
      <c r="U423" s="1">
        <f t="shared" si="141"/>
        <v>0</v>
      </c>
      <c r="V423" s="1">
        <f t="shared" si="142"/>
        <v>0</v>
      </c>
      <c r="W423" s="1">
        <f t="shared" si="143"/>
        <v>0</v>
      </c>
      <c r="X423" s="1">
        <f t="shared" si="144"/>
        <v>0</v>
      </c>
      <c r="Y423" s="1">
        <f t="shared" si="145"/>
        <v>0</v>
      </c>
      <c r="Z423" s="1">
        <f t="shared" si="146"/>
        <v>0</v>
      </c>
      <c r="AA423" s="1">
        <f t="shared" si="147"/>
        <v>0</v>
      </c>
      <c r="AB423" s="1">
        <f t="shared" si="148"/>
        <v>0</v>
      </c>
      <c r="AD423" s="1">
        <f t="shared" si="149"/>
        <v>0</v>
      </c>
      <c r="AE423" s="1">
        <f t="shared" si="150"/>
        <v>0</v>
      </c>
      <c r="AF423" s="1">
        <f t="shared" si="135"/>
        <v>0</v>
      </c>
      <c r="AG423" s="1">
        <f t="shared" si="136"/>
        <v>0</v>
      </c>
      <c r="AH423" s="1">
        <f t="shared" si="137"/>
        <v>0</v>
      </c>
      <c r="AI423" s="1">
        <f t="shared" si="138"/>
        <v>0</v>
      </c>
    </row>
    <row r="424" spans="1:35" ht="14.25" customHeight="1" x14ac:dyDescent="0.25">
      <c r="A424" s="34">
        <v>0</v>
      </c>
      <c r="B424" s="34">
        <v>2</v>
      </c>
      <c r="C424" s="34">
        <v>7</v>
      </c>
      <c r="D424" s="35" t="s">
        <v>1653</v>
      </c>
      <c r="E424" s="35" t="s">
        <v>158</v>
      </c>
      <c r="F424" s="35" t="s">
        <v>1506</v>
      </c>
      <c r="G424" s="35" t="s">
        <v>1507</v>
      </c>
      <c r="H424" s="35" t="s">
        <v>357</v>
      </c>
      <c r="I424" s="34" t="s">
        <v>1508</v>
      </c>
      <c r="J424" s="34">
        <v>99</v>
      </c>
      <c r="K424" s="36" t="s">
        <v>962</v>
      </c>
      <c r="L424" s="36" t="s">
        <v>729</v>
      </c>
      <c r="M424" s="37" t="s">
        <v>739</v>
      </c>
      <c r="N424" s="37" t="s">
        <v>1763</v>
      </c>
      <c r="O424" s="38">
        <v>1</v>
      </c>
      <c r="P424" s="38"/>
      <c r="Q424" s="35"/>
      <c r="S424" s="1">
        <f t="shared" si="139"/>
        <v>0</v>
      </c>
      <c r="T424" s="1">
        <f t="shared" si="140"/>
        <v>0</v>
      </c>
      <c r="U424" s="1">
        <f t="shared" si="141"/>
        <v>0</v>
      </c>
      <c r="V424" s="1">
        <f t="shared" si="142"/>
        <v>0</v>
      </c>
      <c r="W424" s="1">
        <f t="shared" si="143"/>
        <v>0</v>
      </c>
      <c r="X424" s="1">
        <f t="shared" si="144"/>
        <v>0</v>
      </c>
      <c r="Y424" s="1">
        <f t="shared" si="145"/>
        <v>0</v>
      </c>
      <c r="Z424" s="1">
        <f t="shared" si="146"/>
        <v>0</v>
      </c>
      <c r="AA424" s="1">
        <f t="shared" si="147"/>
        <v>0</v>
      </c>
      <c r="AB424" s="1">
        <f t="shared" si="148"/>
        <v>0</v>
      </c>
      <c r="AD424" s="1">
        <f t="shared" si="149"/>
        <v>0</v>
      </c>
      <c r="AE424" s="1">
        <f t="shared" si="150"/>
        <v>1</v>
      </c>
      <c r="AF424" s="1">
        <f t="shared" si="135"/>
        <v>0</v>
      </c>
      <c r="AG424" s="1">
        <f t="shared" si="136"/>
        <v>1</v>
      </c>
      <c r="AH424" s="1">
        <f t="shared" si="137"/>
        <v>0</v>
      </c>
      <c r="AI424" s="1">
        <f t="shared" si="138"/>
        <v>1</v>
      </c>
    </row>
    <row r="425" spans="1:35" ht="14.25" customHeight="1" x14ac:dyDescent="0.25">
      <c r="A425" s="47">
        <v>0</v>
      </c>
      <c r="B425" s="47">
        <v>2</v>
      </c>
      <c r="C425" s="47">
        <v>7</v>
      </c>
      <c r="D425" s="48" t="s">
        <v>83</v>
      </c>
      <c r="E425" s="48" t="s">
        <v>28</v>
      </c>
      <c r="F425" s="48" t="s">
        <v>277</v>
      </c>
      <c r="G425" s="48" t="s">
        <v>278</v>
      </c>
      <c r="H425" s="48" t="s">
        <v>357</v>
      </c>
      <c r="I425" s="47" t="s">
        <v>433</v>
      </c>
      <c r="J425" s="47">
        <v>7</v>
      </c>
      <c r="K425" s="49" t="s">
        <v>962</v>
      </c>
      <c r="L425" s="49" t="s">
        <v>961</v>
      </c>
      <c r="M425" s="50" t="s">
        <v>975</v>
      </c>
      <c r="N425" s="50" t="s">
        <v>1824</v>
      </c>
      <c r="O425" s="51"/>
      <c r="P425" s="51"/>
      <c r="Q425" s="48"/>
      <c r="S425" s="1">
        <f t="shared" si="139"/>
        <v>0</v>
      </c>
      <c r="T425" s="1">
        <f t="shared" si="140"/>
        <v>0</v>
      </c>
      <c r="U425" s="1">
        <f t="shared" si="141"/>
        <v>0</v>
      </c>
      <c r="V425" s="1">
        <f t="shared" si="142"/>
        <v>0</v>
      </c>
      <c r="W425" s="1">
        <f t="shared" si="143"/>
        <v>0</v>
      </c>
      <c r="X425" s="1">
        <f t="shared" si="144"/>
        <v>0</v>
      </c>
      <c r="Y425" s="1">
        <f t="shared" si="145"/>
        <v>1</v>
      </c>
      <c r="Z425" s="1">
        <f t="shared" si="146"/>
        <v>0</v>
      </c>
      <c r="AA425" s="1">
        <f t="shared" si="147"/>
        <v>0</v>
      </c>
      <c r="AB425" s="1">
        <f t="shared" si="148"/>
        <v>0</v>
      </c>
      <c r="AD425" s="1">
        <f t="shared" si="149"/>
        <v>0</v>
      </c>
      <c r="AE425" s="1">
        <f t="shared" si="150"/>
        <v>0</v>
      </c>
      <c r="AF425" s="1">
        <f t="shared" si="135"/>
        <v>0</v>
      </c>
      <c r="AG425" s="1">
        <f t="shared" si="136"/>
        <v>0</v>
      </c>
      <c r="AH425" s="1">
        <f t="shared" si="137"/>
        <v>0</v>
      </c>
      <c r="AI425" s="1">
        <f t="shared" si="138"/>
        <v>1</v>
      </c>
    </row>
    <row r="426" spans="1:35" ht="14.25" customHeight="1" x14ac:dyDescent="0.25">
      <c r="A426" s="47">
        <v>0</v>
      </c>
      <c r="B426" s="47">
        <v>2</v>
      </c>
      <c r="C426" s="47">
        <v>7</v>
      </c>
      <c r="D426" s="48" t="s">
        <v>77</v>
      </c>
      <c r="E426" s="48" t="s">
        <v>28</v>
      </c>
      <c r="F426" s="48" t="s">
        <v>1696</v>
      </c>
      <c r="G426" s="48" t="s">
        <v>192</v>
      </c>
      <c r="H426" s="48" t="s">
        <v>357</v>
      </c>
      <c r="I426" s="47" t="s">
        <v>427</v>
      </c>
      <c r="J426" s="47">
        <v>99</v>
      </c>
      <c r="K426" s="49" t="s">
        <v>961</v>
      </c>
      <c r="L426" s="49" t="s">
        <v>720</v>
      </c>
      <c r="M426" s="50" t="s">
        <v>738</v>
      </c>
      <c r="N426" s="50" t="s">
        <v>1750</v>
      </c>
      <c r="O426" s="51"/>
      <c r="P426" s="51"/>
      <c r="Q426" s="48"/>
      <c r="S426" s="1">
        <f t="shared" si="139"/>
        <v>0</v>
      </c>
      <c r="T426" s="1">
        <f t="shared" si="140"/>
        <v>0</v>
      </c>
      <c r="U426" s="1">
        <f t="shared" si="141"/>
        <v>0</v>
      </c>
      <c r="V426" s="1">
        <f t="shared" si="142"/>
        <v>0</v>
      </c>
      <c r="W426" s="1">
        <f t="shared" si="143"/>
        <v>0</v>
      </c>
      <c r="X426" s="1">
        <f t="shared" si="144"/>
        <v>0</v>
      </c>
      <c r="Y426" s="1">
        <f t="shared" si="145"/>
        <v>0</v>
      </c>
      <c r="Z426" s="1">
        <f t="shared" si="146"/>
        <v>0</v>
      </c>
      <c r="AA426" s="1">
        <f t="shared" si="147"/>
        <v>0</v>
      </c>
      <c r="AB426" s="1">
        <f t="shared" si="148"/>
        <v>0</v>
      </c>
      <c r="AD426" s="1">
        <f t="shared" si="149"/>
        <v>0</v>
      </c>
      <c r="AE426" s="1">
        <f t="shared" si="150"/>
        <v>0</v>
      </c>
      <c r="AF426" s="1">
        <f t="shared" si="135"/>
        <v>0</v>
      </c>
      <c r="AG426" s="1">
        <f t="shared" si="136"/>
        <v>0</v>
      </c>
      <c r="AH426" s="1">
        <f t="shared" si="137"/>
        <v>0</v>
      </c>
      <c r="AI426" s="1">
        <f t="shared" si="138"/>
        <v>1</v>
      </c>
    </row>
    <row r="427" spans="1:35" ht="14.25" customHeight="1" x14ac:dyDescent="0.25">
      <c r="A427" s="34">
        <v>0</v>
      </c>
      <c r="B427" s="34">
        <v>2</v>
      </c>
      <c r="C427" s="34">
        <v>7</v>
      </c>
      <c r="D427" s="35" t="s">
        <v>1655</v>
      </c>
      <c r="E427" s="35" t="s">
        <v>165</v>
      </c>
      <c r="F427" s="35" t="s">
        <v>246</v>
      </c>
      <c r="G427" s="35" t="s">
        <v>220</v>
      </c>
      <c r="H427" s="35" t="s">
        <v>357</v>
      </c>
      <c r="I427" s="34" t="s">
        <v>411</v>
      </c>
      <c r="J427" s="34">
        <v>99</v>
      </c>
      <c r="K427" s="36" t="s">
        <v>720</v>
      </c>
      <c r="L427" s="36" t="s">
        <v>729</v>
      </c>
      <c r="M427" s="37" t="s">
        <v>739</v>
      </c>
      <c r="N427" s="37" t="s">
        <v>1742</v>
      </c>
      <c r="O427" s="38">
        <v>1</v>
      </c>
      <c r="P427" s="38">
        <v>1</v>
      </c>
      <c r="Q427" s="35"/>
      <c r="S427" s="1">
        <f t="shared" si="139"/>
        <v>0</v>
      </c>
      <c r="T427" s="1">
        <f t="shared" si="140"/>
        <v>0</v>
      </c>
      <c r="U427" s="1">
        <f t="shared" si="141"/>
        <v>0</v>
      </c>
      <c r="V427" s="1">
        <f t="shared" si="142"/>
        <v>0</v>
      </c>
      <c r="W427" s="1">
        <f t="shared" si="143"/>
        <v>0</v>
      </c>
      <c r="X427" s="1">
        <f t="shared" si="144"/>
        <v>0</v>
      </c>
      <c r="Y427" s="1">
        <f t="shared" si="145"/>
        <v>0</v>
      </c>
      <c r="Z427" s="1">
        <f t="shared" si="146"/>
        <v>0</v>
      </c>
      <c r="AA427" s="1">
        <f t="shared" si="147"/>
        <v>0</v>
      </c>
      <c r="AB427" s="1">
        <f t="shared" si="148"/>
        <v>0</v>
      </c>
      <c r="AD427" s="1">
        <f t="shared" si="149"/>
        <v>1</v>
      </c>
      <c r="AE427" s="1">
        <f t="shared" si="150"/>
        <v>0</v>
      </c>
      <c r="AF427" s="1">
        <f t="shared" si="135"/>
        <v>1</v>
      </c>
      <c r="AG427" s="1">
        <f t="shared" si="136"/>
        <v>0</v>
      </c>
      <c r="AH427" s="1">
        <f t="shared" si="137"/>
        <v>1</v>
      </c>
      <c r="AI427" s="1">
        <f t="shared" si="138"/>
        <v>0</v>
      </c>
    </row>
    <row r="428" spans="1:35" ht="14.25" customHeight="1" x14ac:dyDescent="0.25">
      <c r="A428" s="34">
        <v>0</v>
      </c>
      <c r="B428" s="34">
        <v>2</v>
      </c>
      <c r="C428" s="34">
        <v>7</v>
      </c>
      <c r="D428" s="35" t="s">
        <v>1553</v>
      </c>
      <c r="E428" s="35" t="s">
        <v>158</v>
      </c>
      <c r="F428" s="35" t="s">
        <v>1554</v>
      </c>
      <c r="G428" s="35" t="s">
        <v>39</v>
      </c>
      <c r="H428" s="35" t="s">
        <v>357</v>
      </c>
      <c r="I428" s="34" t="s">
        <v>1555</v>
      </c>
      <c r="J428" s="34">
        <v>99</v>
      </c>
      <c r="K428" s="36" t="s">
        <v>720</v>
      </c>
      <c r="L428" s="36" t="s">
        <v>729</v>
      </c>
      <c r="M428" s="37" t="s">
        <v>739</v>
      </c>
      <c r="N428" s="37" t="s">
        <v>1763</v>
      </c>
      <c r="O428" s="38">
        <v>1</v>
      </c>
      <c r="P428" s="38"/>
      <c r="Q428" s="35"/>
      <c r="S428" s="1">
        <f t="shared" si="139"/>
        <v>0</v>
      </c>
      <c r="T428" s="1">
        <f t="shared" si="140"/>
        <v>0</v>
      </c>
      <c r="U428" s="1">
        <f t="shared" si="141"/>
        <v>0</v>
      </c>
      <c r="V428" s="1">
        <f t="shared" si="142"/>
        <v>0</v>
      </c>
      <c r="W428" s="1">
        <f t="shared" si="143"/>
        <v>0</v>
      </c>
      <c r="X428" s="1">
        <f t="shared" si="144"/>
        <v>0</v>
      </c>
      <c r="Y428" s="1">
        <f t="shared" si="145"/>
        <v>0</v>
      </c>
      <c r="Z428" s="1">
        <f t="shared" si="146"/>
        <v>0</v>
      </c>
      <c r="AA428" s="1">
        <f t="shared" si="147"/>
        <v>0</v>
      </c>
      <c r="AB428" s="1">
        <f t="shared" si="148"/>
        <v>0</v>
      </c>
      <c r="AD428" s="1">
        <f t="shared" si="149"/>
        <v>0</v>
      </c>
      <c r="AE428" s="1">
        <f t="shared" si="150"/>
        <v>1</v>
      </c>
      <c r="AF428" s="1">
        <f t="shared" si="135"/>
        <v>0</v>
      </c>
      <c r="AG428" s="1">
        <f t="shared" si="136"/>
        <v>1</v>
      </c>
      <c r="AH428" s="1">
        <f t="shared" si="137"/>
        <v>0</v>
      </c>
      <c r="AI428" s="1">
        <f t="shared" si="138"/>
        <v>1</v>
      </c>
    </row>
    <row r="429" spans="1:35" ht="14.25" customHeight="1" x14ac:dyDescent="0.25">
      <c r="A429" s="47">
        <v>0</v>
      </c>
      <c r="B429" s="47">
        <v>2</v>
      </c>
      <c r="C429" s="47">
        <v>7</v>
      </c>
      <c r="D429" s="48" t="s">
        <v>1276</v>
      </c>
      <c r="E429" s="48" t="s">
        <v>1539</v>
      </c>
      <c r="F429" s="48" t="s">
        <v>1369</v>
      </c>
      <c r="G429" s="48" t="s">
        <v>188</v>
      </c>
      <c r="H429" s="48" t="s">
        <v>357</v>
      </c>
      <c r="I429" s="47" t="s">
        <v>1382</v>
      </c>
      <c r="J429" s="47">
        <v>1</v>
      </c>
      <c r="K429" s="49" t="s">
        <v>720</v>
      </c>
      <c r="L429" s="49" t="s">
        <v>723</v>
      </c>
      <c r="M429" s="50" t="s">
        <v>1453</v>
      </c>
      <c r="N429" s="50" t="s">
        <v>1750</v>
      </c>
      <c r="O429" s="51"/>
      <c r="P429" s="51"/>
      <c r="Q429" s="48"/>
      <c r="S429" s="1">
        <f t="shared" si="139"/>
        <v>1</v>
      </c>
      <c r="T429" s="1">
        <f t="shared" si="140"/>
        <v>0</v>
      </c>
      <c r="U429" s="1">
        <f t="shared" si="141"/>
        <v>0</v>
      </c>
      <c r="V429" s="1">
        <f t="shared" si="142"/>
        <v>0</v>
      </c>
      <c r="W429" s="1">
        <f t="shared" si="143"/>
        <v>0</v>
      </c>
      <c r="X429" s="1">
        <f t="shared" si="144"/>
        <v>0</v>
      </c>
      <c r="Y429" s="1">
        <f t="shared" si="145"/>
        <v>0</v>
      </c>
      <c r="Z429" s="1">
        <f t="shared" si="146"/>
        <v>0</v>
      </c>
      <c r="AA429" s="1">
        <f t="shared" si="147"/>
        <v>0</v>
      </c>
      <c r="AB429" s="1">
        <f t="shared" si="148"/>
        <v>0</v>
      </c>
      <c r="AD429" s="1">
        <f t="shared" si="149"/>
        <v>0</v>
      </c>
      <c r="AE429" s="1">
        <f t="shared" si="150"/>
        <v>0</v>
      </c>
      <c r="AF429" s="1">
        <f t="shared" si="135"/>
        <v>0</v>
      </c>
      <c r="AG429" s="1">
        <f t="shared" si="136"/>
        <v>0</v>
      </c>
      <c r="AH429" s="1">
        <f t="shared" si="137"/>
        <v>0</v>
      </c>
      <c r="AI429" s="1">
        <f t="shared" si="138"/>
        <v>1</v>
      </c>
    </row>
    <row r="430" spans="1:35" ht="14.25" customHeight="1" x14ac:dyDescent="0.25">
      <c r="A430" s="34">
        <v>0</v>
      </c>
      <c r="B430" s="34">
        <v>2</v>
      </c>
      <c r="C430" s="34">
        <v>7</v>
      </c>
      <c r="D430" s="35" t="s">
        <v>66</v>
      </c>
      <c r="E430" s="35" t="s">
        <v>28</v>
      </c>
      <c r="F430" s="35" t="s">
        <v>981</v>
      </c>
      <c r="G430" s="35" t="s">
        <v>1111</v>
      </c>
      <c r="H430" s="35" t="s">
        <v>357</v>
      </c>
      <c r="I430" s="34" t="s">
        <v>1118</v>
      </c>
      <c r="J430" s="34">
        <v>99</v>
      </c>
      <c r="K430" s="36" t="s">
        <v>720</v>
      </c>
      <c r="L430" s="36" t="s">
        <v>720</v>
      </c>
      <c r="M430" s="37" t="s">
        <v>738</v>
      </c>
      <c r="N430" s="37" t="s">
        <v>1758</v>
      </c>
      <c r="O430" s="38">
        <v>1</v>
      </c>
      <c r="P430" s="38"/>
      <c r="Q430" s="35"/>
      <c r="S430" s="1">
        <f t="shared" si="139"/>
        <v>0</v>
      </c>
      <c r="T430" s="1">
        <f t="shared" si="140"/>
        <v>0</v>
      </c>
      <c r="U430" s="1">
        <f t="shared" si="141"/>
        <v>0</v>
      </c>
      <c r="V430" s="1">
        <f t="shared" si="142"/>
        <v>0</v>
      </c>
      <c r="W430" s="1">
        <f t="shared" si="143"/>
        <v>0</v>
      </c>
      <c r="X430" s="1">
        <f t="shared" si="144"/>
        <v>0</v>
      </c>
      <c r="Y430" s="1">
        <f t="shared" si="145"/>
        <v>0</v>
      </c>
      <c r="Z430" s="1">
        <f t="shared" si="146"/>
        <v>0</v>
      </c>
      <c r="AA430" s="1">
        <f t="shared" si="147"/>
        <v>0</v>
      </c>
      <c r="AB430" s="1">
        <f t="shared" si="148"/>
        <v>0</v>
      </c>
      <c r="AD430" s="1">
        <f t="shared" si="149"/>
        <v>0</v>
      </c>
      <c r="AE430" s="1">
        <f t="shared" si="150"/>
        <v>1</v>
      </c>
      <c r="AF430" s="1">
        <f t="shared" si="135"/>
        <v>0</v>
      </c>
      <c r="AG430" s="1">
        <f t="shared" si="136"/>
        <v>1</v>
      </c>
      <c r="AH430" s="1">
        <f t="shared" si="137"/>
        <v>0</v>
      </c>
      <c r="AI430" s="1">
        <f t="shared" si="138"/>
        <v>1</v>
      </c>
    </row>
    <row r="431" spans="1:35" ht="14.25" customHeight="1" x14ac:dyDescent="0.25">
      <c r="A431" s="34">
        <v>1</v>
      </c>
      <c r="B431" s="34">
        <v>2</v>
      </c>
      <c r="C431" s="34">
        <v>7</v>
      </c>
      <c r="D431" s="35" t="s">
        <v>66</v>
      </c>
      <c r="E431" s="35" t="s">
        <v>28</v>
      </c>
      <c r="F431" s="35" t="s">
        <v>247</v>
      </c>
      <c r="G431" s="35" t="s">
        <v>226</v>
      </c>
      <c r="H431" s="35" t="s">
        <v>357</v>
      </c>
      <c r="I431" s="34" t="s">
        <v>412</v>
      </c>
      <c r="J431" s="34">
        <v>99</v>
      </c>
      <c r="K431" s="36" t="s">
        <v>720</v>
      </c>
      <c r="L431" s="36" t="s">
        <v>720</v>
      </c>
      <c r="M431" s="37" t="s">
        <v>738</v>
      </c>
      <c r="N431" s="37" t="s">
        <v>1758</v>
      </c>
      <c r="O431" s="38">
        <v>1</v>
      </c>
      <c r="P431" s="38"/>
      <c r="Q431" s="35"/>
      <c r="S431" s="1">
        <f t="shared" si="139"/>
        <v>0</v>
      </c>
      <c r="T431" s="1">
        <f t="shared" si="140"/>
        <v>0</v>
      </c>
      <c r="U431" s="1">
        <f t="shared" si="141"/>
        <v>0</v>
      </c>
      <c r="V431" s="1">
        <f t="shared" si="142"/>
        <v>0</v>
      </c>
      <c r="W431" s="1">
        <f t="shared" si="143"/>
        <v>0</v>
      </c>
      <c r="X431" s="1">
        <f t="shared" si="144"/>
        <v>0</v>
      </c>
      <c r="Y431" s="1">
        <f t="shared" si="145"/>
        <v>0</v>
      </c>
      <c r="Z431" s="1">
        <f t="shared" si="146"/>
        <v>0</v>
      </c>
      <c r="AA431" s="1">
        <f t="shared" si="147"/>
        <v>0</v>
      </c>
      <c r="AB431" s="1">
        <f t="shared" si="148"/>
        <v>0</v>
      </c>
      <c r="AD431" s="1">
        <f t="shared" si="149"/>
        <v>0</v>
      </c>
      <c r="AE431" s="1">
        <f t="shared" si="150"/>
        <v>1</v>
      </c>
      <c r="AF431" s="1">
        <f t="shared" si="135"/>
        <v>0</v>
      </c>
      <c r="AG431" s="1">
        <f t="shared" si="136"/>
        <v>0</v>
      </c>
      <c r="AH431" s="1">
        <f t="shared" si="137"/>
        <v>0</v>
      </c>
      <c r="AI431" s="1">
        <f t="shared" si="138"/>
        <v>0</v>
      </c>
    </row>
    <row r="432" spans="1:35" ht="14.25" customHeight="1" x14ac:dyDescent="0.25">
      <c r="A432" s="34">
        <v>1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248</v>
      </c>
      <c r="G432" s="35" t="s">
        <v>222</v>
      </c>
      <c r="H432" s="35" t="s">
        <v>357</v>
      </c>
      <c r="I432" s="34" t="s">
        <v>413</v>
      </c>
      <c r="J432" s="34">
        <v>8</v>
      </c>
      <c r="K432" s="36" t="s">
        <v>720</v>
      </c>
      <c r="L432" s="36" t="s">
        <v>720</v>
      </c>
      <c r="M432" s="37" t="s">
        <v>738</v>
      </c>
      <c r="N432" s="37" t="s">
        <v>1758</v>
      </c>
      <c r="O432" s="38">
        <v>1</v>
      </c>
      <c r="P432" s="38"/>
      <c r="Q432" s="35"/>
      <c r="S432" s="1">
        <f t="shared" si="139"/>
        <v>0</v>
      </c>
      <c r="T432" s="1">
        <f t="shared" si="140"/>
        <v>0</v>
      </c>
      <c r="U432" s="1">
        <f t="shared" si="141"/>
        <v>0</v>
      </c>
      <c r="V432" s="1">
        <f t="shared" si="142"/>
        <v>0</v>
      </c>
      <c r="W432" s="1">
        <f t="shared" si="143"/>
        <v>0</v>
      </c>
      <c r="X432" s="1">
        <f t="shared" si="144"/>
        <v>0</v>
      </c>
      <c r="Y432" s="1">
        <f t="shared" si="145"/>
        <v>0</v>
      </c>
      <c r="Z432" s="1">
        <f t="shared" si="146"/>
        <v>1</v>
      </c>
      <c r="AA432" s="1">
        <f t="shared" si="147"/>
        <v>0</v>
      </c>
      <c r="AB432" s="1">
        <f t="shared" si="148"/>
        <v>0</v>
      </c>
      <c r="AD432" s="1">
        <f t="shared" si="149"/>
        <v>0</v>
      </c>
      <c r="AE432" s="1">
        <f t="shared" si="150"/>
        <v>1</v>
      </c>
      <c r="AF432" s="1">
        <f t="shared" si="135"/>
        <v>0</v>
      </c>
      <c r="AG432" s="1">
        <f t="shared" si="136"/>
        <v>0</v>
      </c>
      <c r="AH432" s="1">
        <f t="shared" si="137"/>
        <v>0</v>
      </c>
      <c r="AI432" s="1">
        <f t="shared" si="138"/>
        <v>0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1041</v>
      </c>
      <c r="G433" s="35" t="s">
        <v>39</v>
      </c>
      <c r="H433" s="35" t="s">
        <v>357</v>
      </c>
      <c r="I433" s="34" t="s">
        <v>1042</v>
      </c>
      <c r="J433" s="34">
        <v>1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Q433" s="35"/>
      <c r="S433" s="1">
        <f t="shared" si="139"/>
        <v>1</v>
      </c>
      <c r="T433" s="1">
        <f t="shared" si="140"/>
        <v>0</v>
      </c>
      <c r="U433" s="1">
        <f t="shared" si="141"/>
        <v>0</v>
      </c>
      <c r="V433" s="1">
        <f t="shared" si="142"/>
        <v>0</v>
      </c>
      <c r="W433" s="1">
        <f t="shared" si="143"/>
        <v>0</v>
      </c>
      <c r="X433" s="1">
        <f t="shared" si="144"/>
        <v>0</v>
      </c>
      <c r="Y433" s="1">
        <f t="shared" si="145"/>
        <v>0</v>
      </c>
      <c r="Z433" s="1">
        <f t="shared" si="146"/>
        <v>0</v>
      </c>
      <c r="AA433" s="1">
        <f t="shared" si="147"/>
        <v>0</v>
      </c>
      <c r="AB433" s="1">
        <f t="shared" si="148"/>
        <v>0</v>
      </c>
      <c r="AD433" s="1">
        <f t="shared" si="149"/>
        <v>0</v>
      </c>
      <c r="AE433" s="1">
        <f t="shared" si="150"/>
        <v>1</v>
      </c>
      <c r="AF433" s="1">
        <f t="shared" si="135"/>
        <v>0</v>
      </c>
      <c r="AG433" s="1">
        <f t="shared" si="136"/>
        <v>0</v>
      </c>
      <c r="AH433" s="1">
        <f t="shared" si="137"/>
        <v>0</v>
      </c>
      <c r="AI433" s="1">
        <f t="shared" si="13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1043</v>
      </c>
      <c r="G434" s="35" t="s">
        <v>305</v>
      </c>
      <c r="H434" s="35" t="s">
        <v>357</v>
      </c>
      <c r="I434" s="34" t="s">
        <v>1044</v>
      </c>
      <c r="J434" s="34">
        <v>1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Q434" s="35"/>
      <c r="S434" s="1">
        <f t="shared" si="139"/>
        <v>1</v>
      </c>
      <c r="T434" s="1">
        <f t="shared" si="140"/>
        <v>0</v>
      </c>
      <c r="U434" s="1">
        <f t="shared" si="141"/>
        <v>0</v>
      </c>
      <c r="V434" s="1">
        <f t="shared" si="142"/>
        <v>0</v>
      </c>
      <c r="W434" s="1">
        <f t="shared" si="143"/>
        <v>0</v>
      </c>
      <c r="X434" s="1">
        <f t="shared" si="144"/>
        <v>0</v>
      </c>
      <c r="Y434" s="1">
        <f t="shared" si="145"/>
        <v>0</v>
      </c>
      <c r="Z434" s="1">
        <f t="shared" si="146"/>
        <v>0</v>
      </c>
      <c r="AA434" s="1">
        <f t="shared" si="147"/>
        <v>0</v>
      </c>
      <c r="AB434" s="1">
        <f t="shared" si="148"/>
        <v>0</v>
      </c>
      <c r="AD434" s="1">
        <f t="shared" si="149"/>
        <v>0</v>
      </c>
      <c r="AE434" s="1">
        <f t="shared" si="150"/>
        <v>1</v>
      </c>
      <c r="AF434" s="1">
        <f t="shared" si="135"/>
        <v>0</v>
      </c>
      <c r="AG434" s="1">
        <f t="shared" si="136"/>
        <v>0</v>
      </c>
      <c r="AH434" s="1">
        <f t="shared" si="137"/>
        <v>0</v>
      </c>
      <c r="AI434" s="1">
        <f t="shared" si="138"/>
        <v>0</v>
      </c>
    </row>
    <row r="435" spans="1:35" ht="14.25" customHeight="1" x14ac:dyDescent="0.25">
      <c r="A435" s="47">
        <v>0</v>
      </c>
      <c r="B435" s="47">
        <v>2</v>
      </c>
      <c r="C435" s="47">
        <v>7</v>
      </c>
      <c r="D435" s="48" t="s">
        <v>1588</v>
      </c>
      <c r="E435" s="48" t="s">
        <v>158</v>
      </c>
      <c r="F435" s="48" t="s">
        <v>1589</v>
      </c>
      <c r="G435" s="48" t="s">
        <v>209</v>
      </c>
      <c r="H435" s="48" t="s">
        <v>357</v>
      </c>
      <c r="I435" s="47" t="s">
        <v>1590</v>
      </c>
      <c r="J435" s="47">
        <v>99</v>
      </c>
      <c r="K435" s="49" t="s">
        <v>719</v>
      </c>
      <c r="L435" s="49" t="s">
        <v>729</v>
      </c>
      <c r="M435" s="50" t="s">
        <v>739</v>
      </c>
      <c r="N435" s="50" t="s">
        <v>1762</v>
      </c>
      <c r="O435" s="51"/>
      <c r="P435" s="51"/>
      <c r="Q435" s="48"/>
      <c r="S435" s="1">
        <f t="shared" si="139"/>
        <v>0</v>
      </c>
      <c r="T435" s="1">
        <f t="shared" si="140"/>
        <v>0</v>
      </c>
      <c r="U435" s="1">
        <f t="shared" si="141"/>
        <v>0</v>
      </c>
      <c r="V435" s="1">
        <f t="shared" si="142"/>
        <v>0</v>
      </c>
      <c r="W435" s="1">
        <f t="shared" si="143"/>
        <v>0</v>
      </c>
      <c r="X435" s="1">
        <f t="shared" si="144"/>
        <v>0</v>
      </c>
      <c r="Y435" s="1">
        <f t="shared" si="145"/>
        <v>0</v>
      </c>
      <c r="Z435" s="1">
        <f t="shared" si="146"/>
        <v>0</v>
      </c>
      <c r="AA435" s="1">
        <f t="shared" si="147"/>
        <v>0</v>
      </c>
      <c r="AB435" s="1">
        <f t="shared" si="148"/>
        <v>0</v>
      </c>
      <c r="AD435" s="1">
        <f t="shared" si="149"/>
        <v>0</v>
      </c>
      <c r="AE435" s="1">
        <f t="shared" si="150"/>
        <v>0</v>
      </c>
      <c r="AF435" s="1">
        <f t="shared" si="135"/>
        <v>0</v>
      </c>
      <c r="AG435" s="1">
        <f t="shared" si="136"/>
        <v>0</v>
      </c>
      <c r="AH435" s="1">
        <f t="shared" si="137"/>
        <v>0</v>
      </c>
      <c r="AI435" s="1">
        <f t="shared" si="13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1142</v>
      </c>
      <c r="E436" s="48" t="s">
        <v>28</v>
      </c>
      <c r="F436" s="48" t="s">
        <v>1143</v>
      </c>
      <c r="G436" s="48" t="s">
        <v>222</v>
      </c>
      <c r="H436" s="48" t="s">
        <v>357</v>
      </c>
      <c r="I436" s="47" t="s">
        <v>1144</v>
      </c>
      <c r="J436" s="47">
        <v>8</v>
      </c>
      <c r="K436" s="49" t="s">
        <v>962</v>
      </c>
      <c r="L436" s="49" t="s">
        <v>720</v>
      </c>
      <c r="M436" s="50" t="s">
        <v>738</v>
      </c>
      <c r="N436" s="50" t="s">
        <v>1817</v>
      </c>
      <c r="O436" s="51"/>
      <c r="P436" s="51"/>
      <c r="Q436" s="48"/>
      <c r="S436" s="1">
        <f t="shared" si="139"/>
        <v>0</v>
      </c>
      <c r="T436" s="1">
        <f t="shared" si="140"/>
        <v>0</v>
      </c>
      <c r="U436" s="1">
        <f t="shared" si="141"/>
        <v>0</v>
      </c>
      <c r="V436" s="1">
        <f t="shared" si="142"/>
        <v>0</v>
      </c>
      <c r="W436" s="1">
        <f t="shared" si="143"/>
        <v>0</v>
      </c>
      <c r="X436" s="1">
        <f t="shared" si="144"/>
        <v>0</v>
      </c>
      <c r="Y436" s="1">
        <f t="shared" si="145"/>
        <v>0</v>
      </c>
      <c r="Z436" s="1">
        <f t="shared" si="146"/>
        <v>1</v>
      </c>
      <c r="AA436" s="1">
        <f t="shared" si="147"/>
        <v>0</v>
      </c>
      <c r="AB436" s="1">
        <f t="shared" si="148"/>
        <v>0</v>
      </c>
      <c r="AD436" s="1">
        <f t="shared" si="149"/>
        <v>0</v>
      </c>
      <c r="AE436" s="1">
        <f t="shared" si="150"/>
        <v>0</v>
      </c>
      <c r="AF436" s="1">
        <f t="shared" si="135"/>
        <v>0</v>
      </c>
      <c r="AG436" s="1">
        <f t="shared" si="136"/>
        <v>0</v>
      </c>
      <c r="AH436" s="1">
        <f t="shared" si="137"/>
        <v>0</v>
      </c>
      <c r="AI436" s="1">
        <f t="shared" si="138"/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74</v>
      </c>
      <c r="E437" s="48" t="s">
        <v>28</v>
      </c>
      <c r="F437" s="48" t="s">
        <v>267</v>
      </c>
      <c r="G437" s="48" t="s">
        <v>196</v>
      </c>
      <c r="H437" s="48" t="s">
        <v>357</v>
      </c>
      <c r="I437" s="47" t="s">
        <v>425</v>
      </c>
      <c r="J437" s="47">
        <v>9</v>
      </c>
      <c r="K437" s="49" t="s">
        <v>719</v>
      </c>
      <c r="L437" s="49" t="s">
        <v>720</v>
      </c>
      <c r="M437" s="50" t="s">
        <v>738</v>
      </c>
      <c r="N437" s="50" t="s">
        <v>1750</v>
      </c>
      <c r="O437" s="51"/>
      <c r="P437" s="51"/>
      <c r="Q437" s="48"/>
      <c r="S437" s="1">
        <f t="shared" si="139"/>
        <v>0</v>
      </c>
      <c r="T437" s="1">
        <f t="shared" si="140"/>
        <v>0</v>
      </c>
      <c r="U437" s="1">
        <f t="shared" si="141"/>
        <v>0</v>
      </c>
      <c r="V437" s="1">
        <f t="shared" si="142"/>
        <v>0</v>
      </c>
      <c r="W437" s="1">
        <f t="shared" si="143"/>
        <v>0</v>
      </c>
      <c r="X437" s="1">
        <f t="shared" si="144"/>
        <v>0</v>
      </c>
      <c r="Y437" s="1">
        <f t="shared" si="145"/>
        <v>0</v>
      </c>
      <c r="Z437" s="1">
        <f t="shared" si="146"/>
        <v>0</v>
      </c>
      <c r="AA437" s="1">
        <f t="shared" si="147"/>
        <v>1</v>
      </c>
      <c r="AB437" s="1">
        <f t="shared" si="148"/>
        <v>0</v>
      </c>
      <c r="AD437" s="1">
        <f t="shared" si="149"/>
        <v>0</v>
      </c>
      <c r="AE437" s="1">
        <f t="shared" si="150"/>
        <v>0</v>
      </c>
      <c r="AF437" s="1">
        <f t="shared" si="135"/>
        <v>0</v>
      </c>
      <c r="AG437" s="1">
        <f t="shared" si="136"/>
        <v>0</v>
      </c>
      <c r="AH437" s="1">
        <f t="shared" si="137"/>
        <v>0</v>
      </c>
      <c r="AI437" s="1">
        <f t="shared" si="138"/>
        <v>1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59</v>
      </c>
      <c r="E438" s="35" t="s">
        <v>165</v>
      </c>
      <c r="F438" s="35" t="s">
        <v>227</v>
      </c>
      <c r="G438" s="35" t="s">
        <v>228</v>
      </c>
      <c r="H438" s="35" t="s">
        <v>357</v>
      </c>
      <c r="I438" s="34" t="s">
        <v>401</v>
      </c>
      <c r="J438" s="34">
        <v>99</v>
      </c>
      <c r="K438" s="36" t="s">
        <v>720</v>
      </c>
      <c r="L438" s="36" t="s">
        <v>729</v>
      </c>
      <c r="M438" s="37" t="s">
        <v>739</v>
      </c>
      <c r="N438" s="37" t="s">
        <v>1765</v>
      </c>
      <c r="O438" s="38">
        <v>1</v>
      </c>
      <c r="P438" s="38"/>
      <c r="Q438" s="35"/>
      <c r="S438" s="1">
        <f t="shared" si="139"/>
        <v>0</v>
      </c>
      <c r="T438" s="1">
        <f t="shared" si="140"/>
        <v>0</v>
      </c>
      <c r="U438" s="1">
        <f t="shared" si="141"/>
        <v>0</v>
      </c>
      <c r="V438" s="1">
        <f t="shared" si="142"/>
        <v>0</v>
      </c>
      <c r="W438" s="1">
        <f t="shared" si="143"/>
        <v>0</v>
      </c>
      <c r="X438" s="1">
        <f t="shared" si="144"/>
        <v>0</v>
      </c>
      <c r="Y438" s="1">
        <f t="shared" si="145"/>
        <v>0</v>
      </c>
      <c r="Z438" s="1">
        <f t="shared" si="146"/>
        <v>0</v>
      </c>
      <c r="AA438" s="1">
        <f t="shared" si="147"/>
        <v>0</v>
      </c>
      <c r="AB438" s="1">
        <f t="shared" si="148"/>
        <v>0</v>
      </c>
      <c r="AD438" s="1">
        <f t="shared" si="149"/>
        <v>0</v>
      </c>
      <c r="AE438" s="1">
        <f t="shared" si="150"/>
        <v>1</v>
      </c>
      <c r="AF438" s="1">
        <f t="shared" si="135"/>
        <v>0</v>
      </c>
      <c r="AG438" s="1">
        <f t="shared" si="136"/>
        <v>1</v>
      </c>
      <c r="AH438" s="1">
        <f t="shared" si="137"/>
        <v>0</v>
      </c>
      <c r="AI438" s="1">
        <f t="shared" si="138"/>
        <v>1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1085</v>
      </c>
      <c r="E439" s="35" t="s">
        <v>158</v>
      </c>
      <c r="F439" s="35" t="s">
        <v>1086</v>
      </c>
      <c r="G439" s="35" t="s">
        <v>222</v>
      </c>
      <c r="H439" s="35" t="s">
        <v>357</v>
      </c>
      <c r="I439" s="34" t="s">
        <v>1087</v>
      </c>
      <c r="J439" s="34">
        <v>8</v>
      </c>
      <c r="K439" s="36" t="s">
        <v>719</v>
      </c>
      <c r="L439" s="36" t="s">
        <v>729</v>
      </c>
      <c r="M439" s="37" t="s">
        <v>739</v>
      </c>
      <c r="N439" s="37" t="s">
        <v>1763</v>
      </c>
      <c r="O439" s="38">
        <v>1</v>
      </c>
      <c r="P439" s="38"/>
      <c r="Q439" s="35"/>
      <c r="S439" s="1">
        <f t="shared" si="139"/>
        <v>0</v>
      </c>
      <c r="T439" s="1">
        <f t="shared" si="140"/>
        <v>0</v>
      </c>
      <c r="U439" s="1">
        <f t="shared" si="141"/>
        <v>0</v>
      </c>
      <c r="V439" s="1">
        <f t="shared" si="142"/>
        <v>0</v>
      </c>
      <c r="W439" s="1">
        <f t="shared" si="143"/>
        <v>0</v>
      </c>
      <c r="X439" s="1">
        <f t="shared" si="144"/>
        <v>0</v>
      </c>
      <c r="Y439" s="1">
        <f t="shared" si="145"/>
        <v>0</v>
      </c>
      <c r="Z439" s="1">
        <f t="shared" si="146"/>
        <v>1</v>
      </c>
      <c r="AA439" s="1">
        <f t="shared" si="147"/>
        <v>0</v>
      </c>
      <c r="AB439" s="1">
        <f t="shared" si="148"/>
        <v>0</v>
      </c>
      <c r="AD439" s="1">
        <f t="shared" si="149"/>
        <v>0</v>
      </c>
      <c r="AE439" s="1">
        <f t="shared" si="150"/>
        <v>1</v>
      </c>
      <c r="AF439" s="1">
        <f t="shared" si="135"/>
        <v>0</v>
      </c>
      <c r="AG439" s="1">
        <f t="shared" si="136"/>
        <v>1</v>
      </c>
      <c r="AH439" s="1">
        <f t="shared" si="137"/>
        <v>0</v>
      </c>
      <c r="AI439" s="1">
        <f t="shared" si="138"/>
        <v>1</v>
      </c>
    </row>
    <row r="440" spans="1:35" ht="14.25" customHeight="1" x14ac:dyDescent="0.25">
      <c r="A440" s="34">
        <v>0</v>
      </c>
      <c r="B440" s="34">
        <v>2</v>
      </c>
      <c r="C440" s="34">
        <v>7</v>
      </c>
      <c r="D440" s="35" t="s">
        <v>82</v>
      </c>
      <c r="E440" s="35" t="s">
        <v>158</v>
      </c>
      <c r="F440" s="35" t="s">
        <v>276</v>
      </c>
      <c r="G440" s="35" t="s">
        <v>256</v>
      </c>
      <c r="H440" s="35" t="s">
        <v>357</v>
      </c>
      <c r="I440" s="34" t="s">
        <v>432</v>
      </c>
      <c r="J440" s="34">
        <v>99</v>
      </c>
      <c r="K440" s="36" t="s">
        <v>720</v>
      </c>
      <c r="L440" s="36" t="s">
        <v>740</v>
      </c>
      <c r="M440" s="37" t="s">
        <v>741</v>
      </c>
      <c r="N440" s="37" t="s">
        <v>1771</v>
      </c>
      <c r="O440" s="38">
        <v>1</v>
      </c>
      <c r="P440" s="38"/>
      <c r="Q440" s="35"/>
      <c r="S440" s="1">
        <f t="shared" si="139"/>
        <v>0</v>
      </c>
      <c r="T440" s="1">
        <f t="shared" si="140"/>
        <v>0</v>
      </c>
      <c r="U440" s="1">
        <f t="shared" si="141"/>
        <v>0</v>
      </c>
      <c r="V440" s="1">
        <f t="shared" si="142"/>
        <v>0</v>
      </c>
      <c r="W440" s="1">
        <f t="shared" si="143"/>
        <v>0</v>
      </c>
      <c r="X440" s="1">
        <f t="shared" si="144"/>
        <v>0</v>
      </c>
      <c r="Y440" s="1">
        <f t="shared" si="145"/>
        <v>0</v>
      </c>
      <c r="Z440" s="1">
        <f t="shared" si="146"/>
        <v>0</v>
      </c>
      <c r="AA440" s="1">
        <f t="shared" si="147"/>
        <v>0</v>
      </c>
      <c r="AB440" s="1">
        <f t="shared" si="148"/>
        <v>0</v>
      </c>
      <c r="AD440" s="1">
        <f t="shared" si="149"/>
        <v>0</v>
      </c>
      <c r="AE440" s="1">
        <f t="shared" si="150"/>
        <v>1</v>
      </c>
      <c r="AF440" s="1">
        <f t="shared" si="135"/>
        <v>0</v>
      </c>
      <c r="AG440" s="1">
        <f t="shared" si="136"/>
        <v>1</v>
      </c>
      <c r="AH440" s="1">
        <f t="shared" si="137"/>
        <v>0</v>
      </c>
      <c r="AI440" s="1">
        <f t="shared" si="138"/>
        <v>1</v>
      </c>
    </row>
    <row r="441" spans="1:35" ht="14.25" customHeight="1" x14ac:dyDescent="0.25">
      <c r="A441" s="40">
        <v>0</v>
      </c>
      <c r="B441" s="40">
        <v>2</v>
      </c>
      <c r="C441" s="40">
        <v>7</v>
      </c>
      <c r="D441" s="39" t="s">
        <v>1790</v>
      </c>
      <c r="E441" s="39" t="s">
        <v>1791</v>
      </c>
      <c r="F441" s="39" t="s">
        <v>1792</v>
      </c>
      <c r="G441" s="39" t="s">
        <v>192</v>
      </c>
      <c r="H441" s="39" t="s">
        <v>357</v>
      </c>
      <c r="I441" s="40"/>
      <c r="J441" s="40"/>
      <c r="K441" s="36" t="s">
        <v>710</v>
      </c>
      <c r="L441" s="36"/>
      <c r="M441" s="37"/>
      <c r="N441" s="37" t="s">
        <v>1742</v>
      </c>
      <c r="O441" s="38">
        <v>1</v>
      </c>
      <c r="P441" s="38">
        <v>1</v>
      </c>
      <c r="Q441" s="39"/>
      <c r="S441" s="1">
        <f t="shared" si="139"/>
        <v>0</v>
      </c>
      <c r="T441" s="1">
        <f t="shared" si="140"/>
        <v>0</v>
      </c>
      <c r="U441" s="1">
        <f t="shared" si="141"/>
        <v>0</v>
      </c>
      <c r="V441" s="1">
        <f t="shared" si="142"/>
        <v>0</v>
      </c>
      <c r="W441" s="1">
        <f t="shared" si="143"/>
        <v>0</v>
      </c>
      <c r="X441" s="1">
        <f t="shared" si="144"/>
        <v>0</v>
      </c>
      <c r="Y441" s="1">
        <f t="shared" si="145"/>
        <v>0</v>
      </c>
      <c r="Z441" s="1">
        <f t="shared" si="146"/>
        <v>0</v>
      </c>
      <c r="AA441" s="1">
        <f t="shared" si="147"/>
        <v>0</v>
      </c>
      <c r="AB441" s="1">
        <f t="shared" si="148"/>
        <v>0</v>
      </c>
      <c r="AD441" s="1">
        <f t="shared" si="149"/>
        <v>1</v>
      </c>
      <c r="AE441" s="1">
        <f t="shared" si="150"/>
        <v>0</v>
      </c>
      <c r="AF441" s="1">
        <f t="shared" si="135"/>
        <v>1</v>
      </c>
      <c r="AG441" s="1">
        <f t="shared" si="136"/>
        <v>0</v>
      </c>
      <c r="AH441" s="1">
        <f t="shared" si="137"/>
        <v>1</v>
      </c>
      <c r="AI441" s="1">
        <f t="shared" si="138"/>
        <v>0</v>
      </c>
    </row>
    <row r="442" spans="1:35" ht="14.25" customHeight="1" x14ac:dyDescent="0.25">
      <c r="A442" s="47">
        <v>0</v>
      </c>
      <c r="B442" s="47">
        <v>2</v>
      </c>
      <c r="C442" s="47">
        <v>7</v>
      </c>
      <c r="D442" s="48" t="s">
        <v>519</v>
      </c>
      <c r="E442" s="48" t="s">
        <v>158</v>
      </c>
      <c r="F442" s="48" t="s">
        <v>579</v>
      </c>
      <c r="G442" s="48" t="s">
        <v>324</v>
      </c>
      <c r="H442" s="48" t="s">
        <v>357</v>
      </c>
      <c r="I442" s="47" t="s">
        <v>586</v>
      </c>
      <c r="J442" s="47">
        <v>99</v>
      </c>
      <c r="K442" s="49" t="s">
        <v>961</v>
      </c>
      <c r="L442" s="49" t="s">
        <v>729</v>
      </c>
      <c r="M442" s="50" t="s">
        <v>739</v>
      </c>
      <c r="N442" s="50" t="s">
        <v>1753</v>
      </c>
      <c r="O442" s="51"/>
      <c r="P442" s="51"/>
      <c r="Q442" s="48"/>
      <c r="S442" s="1">
        <f t="shared" si="139"/>
        <v>0</v>
      </c>
      <c r="T442" s="1">
        <f t="shared" si="140"/>
        <v>0</v>
      </c>
      <c r="U442" s="1">
        <f t="shared" si="141"/>
        <v>0</v>
      </c>
      <c r="V442" s="1">
        <f t="shared" si="142"/>
        <v>0</v>
      </c>
      <c r="W442" s="1">
        <f t="shared" si="143"/>
        <v>0</v>
      </c>
      <c r="X442" s="1">
        <f t="shared" si="144"/>
        <v>0</v>
      </c>
      <c r="Y442" s="1">
        <f t="shared" si="145"/>
        <v>0</v>
      </c>
      <c r="Z442" s="1">
        <f t="shared" si="146"/>
        <v>0</v>
      </c>
      <c r="AA442" s="1">
        <f t="shared" si="147"/>
        <v>0</v>
      </c>
      <c r="AB442" s="1">
        <f t="shared" si="148"/>
        <v>0</v>
      </c>
      <c r="AD442" s="1">
        <f t="shared" si="149"/>
        <v>0</v>
      </c>
      <c r="AE442" s="1">
        <f t="shared" si="150"/>
        <v>0</v>
      </c>
      <c r="AF442" s="1">
        <f t="shared" si="135"/>
        <v>0</v>
      </c>
      <c r="AG442" s="1">
        <f t="shared" si="136"/>
        <v>0</v>
      </c>
      <c r="AH442" s="1">
        <f t="shared" si="137"/>
        <v>0</v>
      </c>
      <c r="AI442" s="1">
        <f t="shared" si="13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75</v>
      </c>
      <c r="E443" s="48" t="s">
        <v>158</v>
      </c>
      <c r="F443" s="48" t="s">
        <v>681</v>
      </c>
      <c r="G443" s="48" t="s">
        <v>268</v>
      </c>
      <c r="H443" s="48" t="s">
        <v>357</v>
      </c>
      <c r="I443" s="47" t="s">
        <v>426</v>
      </c>
      <c r="J443" s="47">
        <v>99</v>
      </c>
      <c r="K443" s="49" t="s">
        <v>719</v>
      </c>
      <c r="L443" s="49" t="s">
        <v>736</v>
      </c>
      <c r="M443" s="50" t="s">
        <v>739</v>
      </c>
      <c r="N443" s="50" t="s">
        <v>1750</v>
      </c>
      <c r="O443" s="51"/>
      <c r="P443" s="51"/>
      <c r="Q443" s="48"/>
      <c r="S443" s="1">
        <f t="shared" si="139"/>
        <v>0</v>
      </c>
      <c r="T443" s="1">
        <f t="shared" si="140"/>
        <v>0</v>
      </c>
      <c r="U443" s="1">
        <f t="shared" si="141"/>
        <v>0</v>
      </c>
      <c r="V443" s="1">
        <f t="shared" si="142"/>
        <v>0</v>
      </c>
      <c r="W443" s="1">
        <f t="shared" si="143"/>
        <v>0</v>
      </c>
      <c r="X443" s="1">
        <f t="shared" si="144"/>
        <v>0</v>
      </c>
      <c r="Y443" s="1">
        <f t="shared" si="145"/>
        <v>0</v>
      </c>
      <c r="Z443" s="1">
        <f t="shared" si="146"/>
        <v>0</v>
      </c>
      <c r="AA443" s="1">
        <f t="shared" si="147"/>
        <v>0</v>
      </c>
      <c r="AB443" s="1">
        <f t="shared" si="148"/>
        <v>0</v>
      </c>
      <c r="AD443" s="1">
        <f t="shared" si="149"/>
        <v>0</v>
      </c>
      <c r="AE443" s="1">
        <f t="shared" si="150"/>
        <v>0</v>
      </c>
      <c r="AF443" s="1">
        <f t="shared" si="135"/>
        <v>0</v>
      </c>
      <c r="AG443" s="1">
        <f t="shared" si="136"/>
        <v>0</v>
      </c>
      <c r="AH443" s="1">
        <f t="shared" si="137"/>
        <v>0</v>
      </c>
      <c r="AI443" s="1">
        <f t="shared" si="138"/>
        <v>1</v>
      </c>
    </row>
    <row r="444" spans="1:35" ht="14.25" customHeight="1" x14ac:dyDescent="0.25">
      <c r="A444" s="15">
        <v>0</v>
      </c>
      <c r="B444" s="15">
        <v>2</v>
      </c>
      <c r="C444" s="15">
        <v>7</v>
      </c>
      <c r="D444" s="20" t="s">
        <v>1873</v>
      </c>
      <c r="E444" s="16" t="s">
        <v>158</v>
      </c>
      <c r="F444" s="20" t="s">
        <v>1874</v>
      </c>
      <c r="G444" s="20" t="s">
        <v>286</v>
      </c>
      <c r="H444" s="20" t="s">
        <v>357</v>
      </c>
      <c r="I444" s="21" t="s">
        <v>1875</v>
      </c>
      <c r="J444" s="15">
        <v>99</v>
      </c>
      <c r="K444" s="10" t="s">
        <v>710</v>
      </c>
      <c r="L444" s="10" t="s">
        <v>729</v>
      </c>
      <c r="M444" s="19" t="s">
        <v>739</v>
      </c>
      <c r="N444" s="19"/>
      <c r="Q444" s="20"/>
      <c r="S444" s="1">
        <f t="shared" si="139"/>
        <v>0</v>
      </c>
      <c r="T444" s="1">
        <f t="shared" si="140"/>
        <v>0</v>
      </c>
      <c r="U444" s="1">
        <f t="shared" si="141"/>
        <v>0</v>
      </c>
      <c r="V444" s="1">
        <f t="shared" si="142"/>
        <v>0</v>
      </c>
      <c r="W444" s="1">
        <f t="shared" si="143"/>
        <v>0</v>
      </c>
      <c r="X444" s="1">
        <f t="shared" si="144"/>
        <v>0</v>
      </c>
      <c r="Y444" s="1">
        <f t="shared" si="145"/>
        <v>0</v>
      </c>
      <c r="Z444" s="1">
        <f t="shared" si="146"/>
        <v>0</v>
      </c>
      <c r="AA444" s="1">
        <f t="shared" si="147"/>
        <v>0</v>
      </c>
      <c r="AB444" s="1">
        <f t="shared" si="148"/>
        <v>0</v>
      </c>
      <c r="AD444" s="1">
        <f t="shared" ref="AD444:AD445" si="151">+O444*P444</f>
        <v>0</v>
      </c>
      <c r="AE444" s="1">
        <f t="shared" ref="AE444:AE445" si="152">O444*(1-P444)</f>
        <v>0</v>
      </c>
      <c r="AF444" s="1">
        <f t="shared" si="135"/>
        <v>0</v>
      </c>
      <c r="AG444" s="1">
        <f t="shared" si="136"/>
        <v>0</v>
      </c>
      <c r="AH444" s="1">
        <f t="shared" si="137"/>
        <v>0</v>
      </c>
      <c r="AI444" s="1">
        <f t="shared" si="138"/>
        <v>1</v>
      </c>
    </row>
    <row r="445" spans="1:35" ht="14.25" customHeight="1" x14ac:dyDescent="0.25">
      <c r="A445" s="34">
        <v>0</v>
      </c>
      <c r="B445" s="34">
        <v>2</v>
      </c>
      <c r="C445" s="34">
        <v>7</v>
      </c>
      <c r="D445" s="35" t="s">
        <v>60</v>
      </c>
      <c r="E445" s="35" t="s">
        <v>165</v>
      </c>
      <c r="F445" s="35" t="s">
        <v>229</v>
      </c>
      <c r="G445" s="35" t="s">
        <v>192</v>
      </c>
      <c r="H445" s="35" t="s">
        <v>357</v>
      </c>
      <c r="I445" s="34" t="s">
        <v>402</v>
      </c>
      <c r="J445" s="34">
        <v>99</v>
      </c>
      <c r="K445" s="36" t="s">
        <v>720</v>
      </c>
      <c r="L445" s="36" t="s">
        <v>729</v>
      </c>
      <c r="M445" s="37" t="s">
        <v>739</v>
      </c>
      <c r="N445" s="37" t="s">
        <v>1763</v>
      </c>
      <c r="O445" s="38">
        <v>1</v>
      </c>
      <c r="P445" s="38"/>
      <c r="Q445" s="35"/>
      <c r="S445" s="1">
        <f t="shared" si="139"/>
        <v>0</v>
      </c>
      <c r="T445" s="1">
        <f t="shared" si="140"/>
        <v>0</v>
      </c>
      <c r="U445" s="1">
        <f t="shared" si="141"/>
        <v>0</v>
      </c>
      <c r="V445" s="1">
        <f t="shared" si="142"/>
        <v>0</v>
      </c>
      <c r="W445" s="1">
        <f t="shared" si="143"/>
        <v>0</v>
      </c>
      <c r="X445" s="1">
        <f t="shared" si="144"/>
        <v>0</v>
      </c>
      <c r="Y445" s="1">
        <f t="shared" si="145"/>
        <v>0</v>
      </c>
      <c r="Z445" s="1">
        <f t="shared" si="146"/>
        <v>0</v>
      </c>
      <c r="AA445" s="1">
        <f t="shared" si="147"/>
        <v>0</v>
      </c>
      <c r="AB445" s="1">
        <f t="shared" si="148"/>
        <v>0</v>
      </c>
      <c r="AD445" s="1">
        <f t="shared" si="151"/>
        <v>0</v>
      </c>
      <c r="AE445" s="1">
        <f t="shared" si="152"/>
        <v>1</v>
      </c>
      <c r="AF445" s="1">
        <f t="shared" si="135"/>
        <v>0</v>
      </c>
      <c r="AG445" s="1">
        <f t="shared" si="136"/>
        <v>1</v>
      </c>
      <c r="AH445" s="1">
        <f t="shared" si="137"/>
        <v>0</v>
      </c>
      <c r="AI445" s="1">
        <f t="shared" si="138"/>
        <v>1</v>
      </c>
    </row>
    <row r="446" spans="1:35" ht="14.25" customHeight="1" x14ac:dyDescent="0.25">
      <c r="A446" s="47">
        <v>0</v>
      </c>
      <c r="B446" s="47">
        <v>2</v>
      </c>
      <c r="C446" s="47">
        <v>7</v>
      </c>
      <c r="D446" s="48" t="s">
        <v>72</v>
      </c>
      <c r="E446" s="48" t="s">
        <v>28</v>
      </c>
      <c r="F446" s="48" t="s">
        <v>261</v>
      </c>
      <c r="G446" s="48" t="s">
        <v>262</v>
      </c>
      <c r="H446" s="48" t="s">
        <v>357</v>
      </c>
      <c r="I446" s="47" t="s">
        <v>422</v>
      </c>
      <c r="J446" s="47">
        <v>99</v>
      </c>
      <c r="K446" s="49" t="s">
        <v>710</v>
      </c>
      <c r="L446" s="49" t="s">
        <v>720</v>
      </c>
      <c r="M446" s="50" t="s">
        <v>738</v>
      </c>
      <c r="N446" s="50" t="s">
        <v>1817</v>
      </c>
      <c r="O446" s="51"/>
      <c r="P446" s="51"/>
      <c r="Q446" s="48"/>
      <c r="S446" s="1">
        <f t="shared" si="139"/>
        <v>0</v>
      </c>
      <c r="T446" s="1">
        <f t="shared" si="140"/>
        <v>0</v>
      </c>
      <c r="U446" s="1">
        <f t="shared" si="141"/>
        <v>0</v>
      </c>
      <c r="V446" s="1">
        <f t="shared" si="142"/>
        <v>0</v>
      </c>
      <c r="W446" s="1">
        <f t="shared" si="143"/>
        <v>0</v>
      </c>
      <c r="X446" s="1">
        <f t="shared" si="144"/>
        <v>0</v>
      </c>
      <c r="Y446" s="1">
        <f t="shared" si="145"/>
        <v>0</v>
      </c>
      <c r="Z446" s="1">
        <f t="shared" si="146"/>
        <v>0</v>
      </c>
      <c r="AA446" s="1">
        <f t="shared" si="147"/>
        <v>0</v>
      </c>
      <c r="AB446" s="1">
        <f t="shared" si="148"/>
        <v>0</v>
      </c>
      <c r="AD446" s="1">
        <f t="shared" si="149"/>
        <v>0</v>
      </c>
      <c r="AE446" s="1">
        <f t="shared" si="150"/>
        <v>0</v>
      </c>
      <c r="AF446" s="1">
        <f t="shared" si="135"/>
        <v>0</v>
      </c>
      <c r="AG446" s="1">
        <f t="shared" si="136"/>
        <v>0</v>
      </c>
      <c r="AH446" s="1">
        <f t="shared" si="137"/>
        <v>0</v>
      </c>
      <c r="AI446" s="1">
        <f t="shared" si="138"/>
        <v>1</v>
      </c>
    </row>
    <row r="447" spans="1:35" ht="14.25" customHeight="1" x14ac:dyDescent="0.25">
      <c r="A447" s="34">
        <v>0</v>
      </c>
      <c r="B447" s="34">
        <v>2</v>
      </c>
      <c r="C447" s="34">
        <v>7</v>
      </c>
      <c r="D447" s="35" t="s">
        <v>1343</v>
      </c>
      <c r="E447" s="35" t="s">
        <v>158</v>
      </c>
      <c r="F447" s="35" t="s">
        <v>1155</v>
      </c>
      <c r="G447" s="35" t="s">
        <v>194</v>
      </c>
      <c r="H447" s="35" t="s">
        <v>357</v>
      </c>
      <c r="I447" s="34" t="s">
        <v>1383</v>
      </c>
      <c r="J447" s="34">
        <v>99</v>
      </c>
      <c r="K447" s="36" t="s">
        <v>719</v>
      </c>
      <c r="L447" s="36" t="s">
        <v>39</v>
      </c>
      <c r="M447" s="37" t="s">
        <v>39</v>
      </c>
      <c r="N447" s="37" t="s">
        <v>1742</v>
      </c>
      <c r="O447" s="38">
        <v>1</v>
      </c>
      <c r="P447" s="38">
        <v>1</v>
      </c>
      <c r="Q447" s="35"/>
      <c r="S447" s="1">
        <f t="shared" si="139"/>
        <v>0</v>
      </c>
      <c r="T447" s="1">
        <f t="shared" si="140"/>
        <v>0</v>
      </c>
      <c r="U447" s="1">
        <f t="shared" si="141"/>
        <v>0</v>
      </c>
      <c r="V447" s="1">
        <f t="shared" si="142"/>
        <v>0</v>
      </c>
      <c r="W447" s="1">
        <f t="shared" si="143"/>
        <v>0</v>
      </c>
      <c r="X447" s="1">
        <f t="shared" si="144"/>
        <v>0</v>
      </c>
      <c r="Y447" s="1">
        <f t="shared" si="145"/>
        <v>0</v>
      </c>
      <c r="Z447" s="1">
        <f t="shared" si="146"/>
        <v>0</v>
      </c>
      <c r="AA447" s="1">
        <f t="shared" si="147"/>
        <v>0</v>
      </c>
      <c r="AB447" s="1">
        <f t="shared" si="148"/>
        <v>0</v>
      </c>
      <c r="AD447" s="1">
        <f t="shared" si="149"/>
        <v>1</v>
      </c>
      <c r="AE447" s="1">
        <f t="shared" si="150"/>
        <v>0</v>
      </c>
      <c r="AF447" s="1">
        <f t="shared" si="135"/>
        <v>1</v>
      </c>
      <c r="AG447" s="1">
        <f t="shared" si="136"/>
        <v>0</v>
      </c>
      <c r="AH447" s="1">
        <f t="shared" si="137"/>
        <v>1</v>
      </c>
      <c r="AI447" s="1">
        <f t="shared" si="138"/>
        <v>0</v>
      </c>
    </row>
    <row r="448" spans="1:35" ht="14.25" customHeight="1" x14ac:dyDescent="0.25">
      <c r="A448" s="34">
        <v>0</v>
      </c>
      <c r="B448" s="34">
        <v>2</v>
      </c>
      <c r="C448" s="34">
        <v>7</v>
      </c>
      <c r="D448" s="35" t="s">
        <v>594</v>
      </c>
      <c r="E448" s="35" t="s">
        <v>1351</v>
      </c>
      <c r="F448" s="35" t="s">
        <v>682</v>
      </c>
      <c r="G448" s="35" t="s">
        <v>242</v>
      </c>
      <c r="H448" s="35" t="s">
        <v>357</v>
      </c>
      <c r="I448" s="34" t="s">
        <v>408</v>
      </c>
      <c r="J448" s="34">
        <v>1</v>
      </c>
      <c r="K448" s="36" t="s">
        <v>720</v>
      </c>
      <c r="L448" s="36" t="s">
        <v>1726</v>
      </c>
      <c r="M448" s="37" t="s">
        <v>1454</v>
      </c>
      <c r="N448" s="37" t="s">
        <v>1763</v>
      </c>
      <c r="O448" s="38">
        <v>1</v>
      </c>
      <c r="P448" s="38"/>
      <c r="Q448" s="35"/>
      <c r="S448" s="1">
        <f t="shared" si="139"/>
        <v>1</v>
      </c>
      <c r="T448" s="1">
        <f t="shared" si="140"/>
        <v>0</v>
      </c>
      <c r="U448" s="1">
        <f t="shared" si="141"/>
        <v>0</v>
      </c>
      <c r="V448" s="1">
        <f t="shared" si="142"/>
        <v>0</v>
      </c>
      <c r="W448" s="1">
        <f t="shared" si="143"/>
        <v>0</v>
      </c>
      <c r="X448" s="1">
        <f t="shared" si="144"/>
        <v>0</v>
      </c>
      <c r="Y448" s="1">
        <f t="shared" si="145"/>
        <v>0</v>
      </c>
      <c r="Z448" s="1">
        <f t="shared" si="146"/>
        <v>0</v>
      </c>
      <c r="AA448" s="1">
        <f t="shared" si="147"/>
        <v>0</v>
      </c>
      <c r="AB448" s="1">
        <f t="shared" si="148"/>
        <v>0</v>
      </c>
      <c r="AD448" s="1">
        <f t="shared" si="149"/>
        <v>0</v>
      </c>
      <c r="AE448" s="1">
        <f t="shared" si="150"/>
        <v>1</v>
      </c>
      <c r="AF448" s="1">
        <f t="shared" si="135"/>
        <v>0</v>
      </c>
      <c r="AG448" s="1">
        <f t="shared" si="136"/>
        <v>1</v>
      </c>
      <c r="AH448" s="1">
        <f t="shared" si="137"/>
        <v>0</v>
      </c>
      <c r="AI448" s="1">
        <f t="shared" si="138"/>
        <v>1</v>
      </c>
    </row>
    <row r="449" spans="1:35" ht="14.25" customHeight="1" x14ac:dyDescent="0.25">
      <c r="A449" s="34">
        <v>1</v>
      </c>
      <c r="B449" s="34">
        <v>2</v>
      </c>
      <c r="C449" s="34">
        <v>7</v>
      </c>
      <c r="D449" s="35" t="s">
        <v>594</v>
      </c>
      <c r="E449" s="35" t="s">
        <v>1351</v>
      </c>
      <c r="F449" s="35" t="s">
        <v>241</v>
      </c>
      <c r="G449" s="35" t="s">
        <v>180</v>
      </c>
      <c r="H449" s="35" t="s">
        <v>357</v>
      </c>
      <c r="I449" s="34" t="s">
        <v>407</v>
      </c>
      <c r="J449" s="34">
        <v>1</v>
      </c>
      <c r="K449" s="36" t="s">
        <v>720</v>
      </c>
      <c r="L449" s="36" t="s">
        <v>1726</v>
      </c>
      <c r="M449" s="37" t="s">
        <v>1454</v>
      </c>
      <c r="N449" s="37" t="s">
        <v>1763</v>
      </c>
      <c r="O449" s="38">
        <v>1</v>
      </c>
      <c r="P449" s="38"/>
      <c r="Q449" s="39" t="s">
        <v>1926</v>
      </c>
      <c r="S449" s="1">
        <f t="shared" si="139"/>
        <v>1</v>
      </c>
      <c r="T449" s="1">
        <f t="shared" si="140"/>
        <v>0</v>
      </c>
      <c r="U449" s="1">
        <f t="shared" si="141"/>
        <v>0</v>
      </c>
      <c r="V449" s="1">
        <f t="shared" si="142"/>
        <v>0</v>
      </c>
      <c r="W449" s="1">
        <f t="shared" si="143"/>
        <v>0</v>
      </c>
      <c r="X449" s="1">
        <f t="shared" si="144"/>
        <v>0</v>
      </c>
      <c r="Y449" s="1">
        <f t="shared" si="145"/>
        <v>0</v>
      </c>
      <c r="Z449" s="1">
        <f t="shared" si="146"/>
        <v>0</v>
      </c>
      <c r="AA449" s="1">
        <f t="shared" si="147"/>
        <v>0</v>
      </c>
      <c r="AB449" s="1">
        <f t="shared" si="148"/>
        <v>0</v>
      </c>
      <c r="AD449" s="1">
        <f t="shared" si="149"/>
        <v>0</v>
      </c>
      <c r="AE449" s="1">
        <f t="shared" si="150"/>
        <v>1</v>
      </c>
      <c r="AF449" s="1">
        <f t="shared" si="135"/>
        <v>0</v>
      </c>
      <c r="AG449" s="1">
        <f t="shared" si="136"/>
        <v>0</v>
      </c>
      <c r="AH449" s="1">
        <f t="shared" si="137"/>
        <v>0</v>
      </c>
      <c r="AI449" s="1">
        <f t="shared" si="138"/>
        <v>0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1344</v>
      </c>
      <c r="E450" s="35" t="s">
        <v>158</v>
      </c>
      <c r="F450" s="35" t="s">
        <v>1370</v>
      </c>
      <c r="G450" s="35" t="s">
        <v>260</v>
      </c>
      <c r="H450" s="35" t="s">
        <v>357</v>
      </c>
      <c r="I450" s="34" t="s">
        <v>1253</v>
      </c>
      <c r="J450" s="34">
        <v>8</v>
      </c>
      <c r="K450" s="36" t="s">
        <v>962</v>
      </c>
      <c r="L450" s="36" t="s">
        <v>729</v>
      </c>
      <c r="M450" s="37" t="s">
        <v>739</v>
      </c>
      <c r="N450" s="37" t="s">
        <v>1763</v>
      </c>
      <c r="O450" s="38">
        <v>1</v>
      </c>
      <c r="P450" s="38"/>
      <c r="Q450" s="35"/>
      <c r="S450" s="1">
        <f t="shared" si="139"/>
        <v>0</v>
      </c>
      <c r="T450" s="1">
        <f t="shared" si="140"/>
        <v>0</v>
      </c>
      <c r="U450" s="1">
        <f t="shared" si="141"/>
        <v>0</v>
      </c>
      <c r="V450" s="1">
        <f t="shared" si="142"/>
        <v>0</v>
      </c>
      <c r="W450" s="1">
        <f t="shared" si="143"/>
        <v>0</v>
      </c>
      <c r="X450" s="1">
        <f t="shared" si="144"/>
        <v>0</v>
      </c>
      <c r="Y450" s="1">
        <f t="shared" si="145"/>
        <v>0</v>
      </c>
      <c r="Z450" s="1">
        <f t="shared" si="146"/>
        <v>1</v>
      </c>
      <c r="AA450" s="1">
        <f t="shared" si="147"/>
        <v>0</v>
      </c>
      <c r="AB450" s="1">
        <f t="shared" si="148"/>
        <v>0</v>
      </c>
      <c r="AD450" s="1">
        <f t="shared" si="149"/>
        <v>0</v>
      </c>
      <c r="AE450" s="1">
        <f t="shared" si="150"/>
        <v>1</v>
      </c>
      <c r="AF450" s="1">
        <f t="shared" si="135"/>
        <v>0</v>
      </c>
      <c r="AG450" s="1">
        <f t="shared" si="136"/>
        <v>1</v>
      </c>
      <c r="AH450" s="1">
        <f t="shared" si="137"/>
        <v>0</v>
      </c>
      <c r="AI450" s="1">
        <f t="shared" si="138"/>
        <v>1</v>
      </c>
    </row>
    <row r="451" spans="1:35" ht="14.25" customHeight="1" x14ac:dyDescent="0.25">
      <c r="A451" s="34">
        <v>1</v>
      </c>
      <c r="B451" s="34">
        <v>2</v>
      </c>
      <c r="C451" s="34">
        <v>7</v>
      </c>
      <c r="D451" s="35" t="s">
        <v>1344</v>
      </c>
      <c r="E451" s="35" t="s">
        <v>158</v>
      </c>
      <c r="F451" s="35" t="s">
        <v>1232</v>
      </c>
      <c r="G451" s="35" t="s">
        <v>220</v>
      </c>
      <c r="H451" s="35" t="s">
        <v>357</v>
      </c>
      <c r="I451" s="34" t="s">
        <v>1253</v>
      </c>
      <c r="J451" s="34">
        <v>99</v>
      </c>
      <c r="K451" s="36" t="s">
        <v>962</v>
      </c>
      <c r="L451" s="36" t="s">
        <v>729</v>
      </c>
      <c r="M451" s="37" t="s">
        <v>739</v>
      </c>
      <c r="N451" s="37" t="s">
        <v>1763</v>
      </c>
      <c r="O451" s="38">
        <v>1</v>
      </c>
      <c r="P451" s="38"/>
      <c r="Q451" s="35"/>
      <c r="S451" s="1">
        <f t="shared" si="139"/>
        <v>0</v>
      </c>
      <c r="T451" s="1">
        <f t="shared" si="140"/>
        <v>0</v>
      </c>
      <c r="U451" s="1">
        <f t="shared" si="141"/>
        <v>0</v>
      </c>
      <c r="V451" s="1">
        <f t="shared" si="142"/>
        <v>0</v>
      </c>
      <c r="W451" s="1">
        <f t="shared" si="143"/>
        <v>0</v>
      </c>
      <c r="X451" s="1">
        <f t="shared" si="144"/>
        <v>0</v>
      </c>
      <c r="Y451" s="1">
        <f t="shared" si="145"/>
        <v>0</v>
      </c>
      <c r="Z451" s="1">
        <f t="shared" si="146"/>
        <v>0</v>
      </c>
      <c r="AA451" s="1">
        <f t="shared" si="147"/>
        <v>0</v>
      </c>
      <c r="AB451" s="1">
        <f t="shared" si="148"/>
        <v>0</v>
      </c>
      <c r="AD451" s="1">
        <f t="shared" si="149"/>
        <v>0</v>
      </c>
      <c r="AE451" s="1">
        <f t="shared" si="150"/>
        <v>1</v>
      </c>
      <c r="AF451" s="1">
        <f t="shared" si="135"/>
        <v>0</v>
      </c>
      <c r="AG451" s="1">
        <f t="shared" si="136"/>
        <v>0</v>
      </c>
      <c r="AH451" s="1">
        <f t="shared" si="137"/>
        <v>0</v>
      </c>
      <c r="AI451" s="1">
        <f t="shared" si="138"/>
        <v>0</v>
      </c>
    </row>
    <row r="452" spans="1:35" ht="14.25" customHeight="1" x14ac:dyDescent="0.25">
      <c r="A452" s="47">
        <v>0</v>
      </c>
      <c r="B452" s="47">
        <v>2</v>
      </c>
      <c r="C452" s="47">
        <v>7</v>
      </c>
      <c r="D452" s="48" t="s">
        <v>1262</v>
      </c>
      <c r="E452" s="48" t="s">
        <v>158</v>
      </c>
      <c r="F452" s="48" t="s">
        <v>1264</v>
      </c>
      <c r="G452" s="48" t="s">
        <v>222</v>
      </c>
      <c r="H452" s="48" t="s">
        <v>357</v>
      </c>
      <c r="I452" s="47" t="s">
        <v>1384</v>
      </c>
      <c r="J452" s="47">
        <v>8</v>
      </c>
      <c r="K452" s="49" t="s">
        <v>961</v>
      </c>
      <c r="L452" s="49" t="s">
        <v>729</v>
      </c>
      <c r="M452" s="50" t="s">
        <v>739</v>
      </c>
      <c r="N452" s="50" t="s">
        <v>1750</v>
      </c>
      <c r="O452" s="51"/>
      <c r="P452" s="51"/>
      <c r="Q452" s="48"/>
      <c r="S452" s="1">
        <f t="shared" si="139"/>
        <v>0</v>
      </c>
      <c r="T452" s="1">
        <f t="shared" si="140"/>
        <v>0</v>
      </c>
      <c r="U452" s="1">
        <f t="shared" si="141"/>
        <v>0</v>
      </c>
      <c r="V452" s="1">
        <f t="shared" si="142"/>
        <v>0</v>
      </c>
      <c r="W452" s="1">
        <f t="shared" si="143"/>
        <v>0</v>
      </c>
      <c r="X452" s="1">
        <f t="shared" si="144"/>
        <v>0</v>
      </c>
      <c r="Y452" s="1">
        <f t="shared" si="145"/>
        <v>0</v>
      </c>
      <c r="Z452" s="1">
        <f t="shared" si="146"/>
        <v>1</v>
      </c>
      <c r="AA452" s="1">
        <f t="shared" si="147"/>
        <v>0</v>
      </c>
      <c r="AB452" s="1">
        <f t="shared" si="148"/>
        <v>0</v>
      </c>
      <c r="AD452" s="1">
        <f t="shared" si="149"/>
        <v>0</v>
      </c>
      <c r="AE452" s="1">
        <f t="shared" si="150"/>
        <v>0</v>
      </c>
      <c r="AF452" s="1">
        <f t="shared" si="135"/>
        <v>0</v>
      </c>
      <c r="AG452" s="1">
        <f t="shared" si="136"/>
        <v>0</v>
      </c>
      <c r="AH452" s="1">
        <f t="shared" si="137"/>
        <v>0</v>
      </c>
      <c r="AI452" s="1">
        <f t="shared" si="138"/>
        <v>1</v>
      </c>
    </row>
    <row r="453" spans="1:35" ht="14.25" customHeight="1" x14ac:dyDescent="0.25">
      <c r="A453" s="47">
        <v>1</v>
      </c>
      <c r="B453" s="47">
        <v>2</v>
      </c>
      <c r="C453" s="47">
        <v>7</v>
      </c>
      <c r="D453" s="48" t="s">
        <v>1262</v>
      </c>
      <c r="E453" s="48" t="s">
        <v>158</v>
      </c>
      <c r="F453" s="48" t="s">
        <v>1371</v>
      </c>
      <c r="G453" s="48" t="s">
        <v>39</v>
      </c>
      <c r="H453" s="48" t="s">
        <v>358</v>
      </c>
      <c r="I453" s="47" t="s">
        <v>1263</v>
      </c>
      <c r="J453" s="47">
        <v>99</v>
      </c>
      <c r="K453" s="49" t="s">
        <v>961</v>
      </c>
      <c r="L453" s="49" t="s">
        <v>729</v>
      </c>
      <c r="M453" s="50" t="s">
        <v>739</v>
      </c>
      <c r="N453" s="50" t="s">
        <v>1750</v>
      </c>
      <c r="O453" s="51"/>
      <c r="P453" s="51"/>
      <c r="Q453" s="68" t="s">
        <v>1919</v>
      </c>
      <c r="S453" s="1">
        <f t="shared" si="139"/>
        <v>0</v>
      </c>
      <c r="T453" s="1">
        <f t="shared" si="140"/>
        <v>0</v>
      </c>
      <c r="U453" s="1">
        <f t="shared" si="141"/>
        <v>0</v>
      </c>
      <c r="V453" s="1">
        <f t="shared" si="142"/>
        <v>0</v>
      </c>
      <c r="W453" s="1">
        <f t="shared" si="143"/>
        <v>0</v>
      </c>
      <c r="X453" s="1">
        <f t="shared" si="144"/>
        <v>0</v>
      </c>
      <c r="Y453" s="1">
        <f t="shared" si="145"/>
        <v>0</v>
      </c>
      <c r="Z453" s="1">
        <f t="shared" si="146"/>
        <v>0</v>
      </c>
      <c r="AA453" s="1">
        <f t="shared" si="147"/>
        <v>0</v>
      </c>
      <c r="AB453" s="1">
        <f t="shared" si="148"/>
        <v>0</v>
      </c>
      <c r="AD453" s="1">
        <f t="shared" si="149"/>
        <v>0</v>
      </c>
      <c r="AE453" s="1">
        <f t="shared" si="150"/>
        <v>0</v>
      </c>
      <c r="AF453" s="1">
        <f t="shared" si="135"/>
        <v>0</v>
      </c>
      <c r="AG453" s="1">
        <f t="shared" si="136"/>
        <v>0</v>
      </c>
      <c r="AH453" s="1">
        <f t="shared" si="137"/>
        <v>0</v>
      </c>
      <c r="AI453" s="1">
        <f t="shared" si="138"/>
        <v>0</v>
      </c>
    </row>
    <row r="454" spans="1:35" ht="14.25" customHeight="1" x14ac:dyDescent="0.25">
      <c r="A454" s="47">
        <v>1</v>
      </c>
      <c r="B454" s="47">
        <v>2</v>
      </c>
      <c r="C454" s="47">
        <v>7</v>
      </c>
      <c r="D454" s="48" t="s">
        <v>1262</v>
      </c>
      <c r="E454" s="48" t="s">
        <v>158</v>
      </c>
      <c r="F454" s="48" t="s">
        <v>1538</v>
      </c>
      <c r="G454" s="48" t="s">
        <v>237</v>
      </c>
      <c r="H454" s="48" t="s">
        <v>357</v>
      </c>
      <c r="I454" s="47" t="s">
        <v>1706</v>
      </c>
      <c r="J454" s="47">
        <v>99</v>
      </c>
      <c r="K454" s="49" t="s">
        <v>961</v>
      </c>
      <c r="L454" s="49" t="s">
        <v>729</v>
      </c>
      <c r="M454" s="50" t="s">
        <v>739</v>
      </c>
      <c r="N454" s="50" t="s">
        <v>1750</v>
      </c>
      <c r="O454" s="51"/>
      <c r="P454" s="51"/>
      <c r="Q454" s="48"/>
      <c r="S454" s="1">
        <f t="shared" si="139"/>
        <v>0</v>
      </c>
      <c r="T454" s="1">
        <f t="shared" si="140"/>
        <v>0</v>
      </c>
      <c r="U454" s="1">
        <f t="shared" si="141"/>
        <v>0</v>
      </c>
      <c r="V454" s="1">
        <f t="shared" si="142"/>
        <v>0</v>
      </c>
      <c r="W454" s="1">
        <f t="shared" si="143"/>
        <v>0</v>
      </c>
      <c r="X454" s="1">
        <f t="shared" si="144"/>
        <v>0</v>
      </c>
      <c r="Y454" s="1">
        <f t="shared" si="145"/>
        <v>0</v>
      </c>
      <c r="Z454" s="1">
        <f t="shared" si="146"/>
        <v>0</v>
      </c>
      <c r="AA454" s="1">
        <f t="shared" si="147"/>
        <v>0</v>
      </c>
      <c r="AB454" s="1">
        <f t="shared" si="148"/>
        <v>0</v>
      </c>
      <c r="AD454" s="1">
        <f t="shared" ref="AD454:AD457" si="153">+O454*P454</f>
        <v>0</v>
      </c>
      <c r="AE454" s="1">
        <f t="shared" ref="AE454:AE457" si="154">O454*(1-P454)</f>
        <v>0</v>
      </c>
      <c r="AF454" s="1">
        <f t="shared" si="135"/>
        <v>0</v>
      </c>
      <c r="AG454" s="1">
        <f t="shared" si="136"/>
        <v>0</v>
      </c>
      <c r="AH454" s="1">
        <f t="shared" si="137"/>
        <v>0</v>
      </c>
      <c r="AI454" s="1">
        <f t="shared" si="138"/>
        <v>0</v>
      </c>
    </row>
    <row r="455" spans="1:35" ht="14.25" customHeight="1" x14ac:dyDescent="0.25">
      <c r="A455" s="34">
        <v>0</v>
      </c>
      <c r="B455" s="34">
        <v>2</v>
      </c>
      <c r="C455" s="34">
        <v>7</v>
      </c>
      <c r="D455" s="35" t="s">
        <v>1865</v>
      </c>
      <c r="E455" s="35" t="s">
        <v>1866</v>
      </c>
      <c r="F455" s="35" t="s">
        <v>1867</v>
      </c>
      <c r="G455" s="35" t="s">
        <v>268</v>
      </c>
      <c r="H455" s="35" t="s">
        <v>357</v>
      </c>
      <c r="I455" s="34" t="s">
        <v>1868</v>
      </c>
      <c r="J455" s="34">
        <v>99</v>
      </c>
      <c r="K455" s="36" t="s">
        <v>710</v>
      </c>
      <c r="L455" s="36"/>
      <c r="M455" s="37"/>
      <c r="N455" s="37" t="s">
        <v>1742</v>
      </c>
      <c r="O455" s="38">
        <v>1</v>
      </c>
      <c r="P455" s="38">
        <v>1</v>
      </c>
      <c r="Q455" s="35"/>
      <c r="S455" s="1">
        <f t="shared" si="139"/>
        <v>0</v>
      </c>
      <c r="T455" s="1">
        <f t="shared" si="140"/>
        <v>0</v>
      </c>
      <c r="U455" s="1">
        <f t="shared" si="141"/>
        <v>0</v>
      </c>
      <c r="V455" s="1">
        <f t="shared" si="142"/>
        <v>0</v>
      </c>
      <c r="W455" s="1">
        <f t="shared" si="143"/>
        <v>0</v>
      </c>
      <c r="X455" s="1">
        <f t="shared" si="144"/>
        <v>0</v>
      </c>
      <c r="Y455" s="1">
        <f t="shared" si="145"/>
        <v>0</v>
      </c>
      <c r="Z455" s="1">
        <f t="shared" si="146"/>
        <v>0</v>
      </c>
      <c r="AA455" s="1">
        <f t="shared" si="147"/>
        <v>0</v>
      </c>
      <c r="AB455" s="1">
        <f t="shared" si="148"/>
        <v>0</v>
      </c>
      <c r="AD455" s="1">
        <f t="shared" si="153"/>
        <v>1</v>
      </c>
      <c r="AE455" s="1">
        <f t="shared" si="154"/>
        <v>0</v>
      </c>
      <c r="AF455" s="1">
        <f t="shared" si="135"/>
        <v>1</v>
      </c>
      <c r="AG455" s="1">
        <f t="shared" si="136"/>
        <v>0</v>
      </c>
      <c r="AH455" s="1">
        <f t="shared" si="137"/>
        <v>1</v>
      </c>
      <c r="AI455" s="1">
        <f t="shared" si="13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1257</v>
      </c>
      <c r="E456" s="48" t="s">
        <v>28</v>
      </c>
      <c r="F456" s="48" t="s">
        <v>1250</v>
      </c>
      <c r="G456" s="48" t="s">
        <v>1251</v>
      </c>
      <c r="H456" s="48" t="s">
        <v>357</v>
      </c>
      <c r="I456" s="47" t="s">
        <v>1252</v>
      </c>
      <c r="J456" s="47">
        <v>99</v>
      </c>
      <c r="K456" s="49" t="s">
        <v>719</v>
      </c>
      <c r="L456" s="49" t="s">
        <v>720</v>
      </c>
      <c r="M456" s="50" t="s">
        <v>738</v>
      </c>
      <c r="N456" s="50" t="s">
        <v>1750</v>
      </c>
      <c r="O456" s="51"/>
      <c r="P456" s="51"/>
      <c r="Q456" s="48"/>
      <c r="S456" s="1">
        <f t="shared" si="139"/>
        <v>0</v>
      </c>
      <c r="T456" s="1">
        <f t="shared" si="140"/>
        <v>0</v>
      </c>
      <c r="U456" s="1">
        <f t="shared" si="141"/>
        <v>0</v>
      </c>
      <c r="V456" s="1">
        <f t="shared" si="142"/>
        <v>0</v>
      </c>
      <c r="W456" s="1">
        <f t="shared" si="143"/>
        <v>0</v>
      </c>
      <c r="X456" s="1">
        <f t="shared" si="144"/>
        <v>0</v>
      </c>
      <c r="Y456" s="1">
        <f t="shared" si="145"/>
        <v>0</v>
      </c>
      <c r="Z456" s="1">
        <f t="shared" si="146"/>
        <v>0</v>
      </c>
      <c r="AA456" s="1">
        <f t="shared" si="147"/>
        <v>0</v>
      </c>
      <c r="AB456" s="1">
        <f t="shared" si="148"/>
        <v>0</v>
      </c>
      <c r="AD456" s="1">
        <f t="shared" si="153"/>
        <v>0</v>
      </c>
      <c r="AE456" s="1">
        <f t="shared" si="154"/>
        <v>0</v>
      </c>
      <c r="AF456" s="1">
        <f t="shared" ref="AF456:AF465" si="155">+O456*P456*(1-A456)</f>
        <v>0</v>
      </c>
      <c r="AG456" s="1">
        <f t="shared" ref="AG456:AG465" si="156">O456*(1-P456)*(1-A456)</f>
        <v>0</v>
      </c>
      <c r="AH456" s="1">
        <f t="shared" ref="AH456:AH465" si="157">+P456*(1-A456)</f>
        <v>0</v>
      </c>
      <c r="AI456" s="1">
        <f t="shared" ref="AI456:AI465" si="158">+(1-A456)*(1-P456)</f>
        <v>1</v>
      </c>
    </row>
    <row r="457" spans="1:35" ht="14.25" customHeight="1" x14ac:dyDescent="0.25">
      <c r="A457" s="47">
        <v>1</v>
      </c>
      <c r="B457" s="47">
        <v>2</v>
      </c>
      <c r="C457" s="47">
        <v>7</v>
      </c>
      <c r="D457" s="48" t="s">
        <v>1254</v>
      </c>
      <c r="E457" s="48" t="s">
        <v>28</v>
      </c>
      <c r="F457" s="48" t="s">
        <v>1255</v>
      </c>
      <c r="G457" s="48" t="s">
        <v>528</v>
      </c>
      <c r="H457" s="48" t="s">
        <v>357</v>
      </c>
      <c r="I457" s="47" t="s">
        <v>1256</v>
      </c>
      <c r="J457" s="47">
        <v>99</v>
      </c>
      <c r="K457" s="49" t="s">
        <v>719</v>
      </c>
      <c r="L457" s="49" t="s">
        <v>720</v>
      </c>
      <c r="M457" s="50" t="s">
        <v>738</v>
      </c>
      <c r="N457" s="50" t="s">
        <v>1750</v>
      </c>
      <c r="O457" s="51"/>
      <c r="P457" s="51"/>
      <c r="Q457" s="48"/>
      <c r="S457" s="1">
        <f t="shared" si="139"/>
        <v>0</v>
      </c>
      <c r="T457" s="1">
        <f t="shared" si="140"/>
        <v>0</v>
      </c>
      <c r="U457" s="1">
        <f t="shared" si="141"/>
        <v>0</v>
      </c>
      <c r="V457" s="1">
        <f t="shared" si="142"/>
        <v>0</v>
      </c>
      <c r="W457" s="1">
        <f t="shared" si="143"/>
        <v>0</v>
      </c>
      <c r="X457" s="1">
        <f t="shared" si="144"/>
        <v>0</v>
      </c>
      <c r="Y457" s="1">
        <f t="shared" si="145"/>
        <v>0</v>
      </c>
      <c r="Z457" s="1">
        <f t="shared" si="146"/>
        <v>0</v>
      </c>
      <c r="AA457" s="1">
        <f t="shared" si="147"/>
        <v>0</v>
      </c>
      <c r="AB457" s="1">
        <f t="shared" si="148"/>
        <v>0</v>
      </c>
      <c r="AD457" s="1">
        <f t="shared" si="153"/>
        <v>0</v>
      </c>
      <c r="AE457" s="1">
        <f t="shared" si="154"/>
        <v>0</v>
      </c>
      <c r="AF457" s="1">
        <f t="shared" si="155"/>
        <v>0</v>
      </c>
      <c r="AG457" s="1">
        <f t="shared" si="156"/>
        <v>0</v>
      </c>
      <c r="AH457" s="1">
        <f t="shared" si="157"/>
        <v>0</v>
      </c>
      <c r="AI457" s="1">
        <f t="shared" si="158"/>
        <v>0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1861</v>
      </c>
      <c r="E458" s="35" t="s">
        <v>1182</v>
      </c>
      <c r="F458" s="35" t="s">
        <v>1862</v>
      </c>
      <c r="G458" s="35"/>
      <c r="H458" s="35" t="s">
        <v>357</v>
      </c>
      <c r="I458" s="34" t="s">
        <v>1863</v>
      </c>
      <c r="J458" s="34">
        <v>6</v>
      </c>
      <c r="K458" s="36" t="s">
        <v>710</v>
      </c>
      <c r="L458" s="36"/>
      <c r="M458" s="37"/>
      <c r="N458" s="37" t="s">
        <v>1763</v>
      </c>
      <c r="O458" s="38">
        <v>1</v>
      </c>
      <c r="P458" s="38"/>
      <c r="Q458" s="35"/>
      <c r="S458" s="1">
        <f t="shared" si="139"/>
        <v>0</v>
      </c>
      <c r="T458" s="1">
        <f t="shared" si="140"/>
        <v>0</v>
      </c>
      <c r="U458" s="1">
        <f t="shared" si="141"/>
        <v>0</v>
      </c>
      <c r="V458" s="1">
        <f t="shared" si="142"/>
        <v>0</v>
      </c>
      <c r="W458" s="1">
        <f t="shared" si="143"/>
        <v>0</v>
      </c>
      <c r="X458" s="1">
        <f t="shared" si="144"/>
        <v>1</v>
      </c>
      <c r="Y458" s="1">
        <f t="shared" si="145"/>
        <v>0</v>
      </c>
      <c r="Z458" s="1">
        <f t="shared" si="146"/>
        <v>0</v>
      </c>
      <c r="AA458" s="1">
        <f t="shared" si="147"/>
        <v>0</v>
      </c>
      <c r="AB458" s="1">
        <f t="shared" si="148"/>
        <v>0</v>
      </c>
      <c r="AD458" s="1">
        <f t="shared" ref="AD458" si="159">+O458*P458</f>
        <v>0</v>
      </c>
      <c r="AE458" s="1">
        <f t="shared" ref="AE458" si="160">O458*(1-P458)</f>
        <v>1</v>
      </c>
      <c r="AF458" s="1">
        <f t="shared" si="155"/>
        <v>0</v>
      </c>
      <c r="AG458" s="1">
        <f t="shared" si="156"/>
        <v>1</v>
      </c>
      <c r="AH458" s="1">
        <f t="shared" si="157"/>
        <v>0</v>
      </c>
      <c r="AI458" s="1">
        <f t="shared" si="158"/>
        <v>1</v>
      </c>
    </row>
    <row r="459" spans="1:35" ht="14.25" customHeight="1" x14ac:dyDescent="0.25">
      <c r="A459" s="47">
        <v>0</v>
      </c>
      <c r="B459" s="47">
        <v>2</v>
      </c>
      <c r="C459" s="47">
        <v>7</v>
      </c>
      <c r="D459" s="48" t="s">
        <v>1473</v>
      </c>
      <c r="E459" s="48" t="s">
        <v>28</v>
      </c>
      <c r="F459" s="48" t="s">
        <v>1474</v>
      </c>
      <c r="G459" s="48" t="s">
        <v>1475</v>
      </c>
      <c r="H459" s="48" t="s">
        <v>357</v>
      </c>
      <c r="I459" s="47" t="s">
        <v>1476</v>
      </c>
      <c r="J459" s="47">
        <v>99</v>
      </c>
      <c r="K459" s="49" t="s">
        <v>719</v>
      </c>
      <c r="L459" s="49" t="s">
        <v>720</v>
      </c>
      <c r="M459" s="50" t="s">
        <v>738</v>
      </c>
      <c r="N459" s="50" t="s">
        <v>1750</v>
      </c>
      <c r="O459" s="51"/>
      <c r="P459" s="51"/>
      <c r="Q459" s="48"/>
      <c r="S459" s="1">
        <f t="shared" si="139"/>
        <v>0</v>
      </c>
      <c r="T459" s="1">
        <f t="shared" si="140"/>
        <v>0</v>
      </c>
      <c r="U459" s="1">
        <f t="shared" si="141"/>
        <v>0</v>
      </c>
      <c r="V459" s="1">
        <f t="shared" si="142"/>
        <v>0</v>
      </c>
      <c r="W459" s="1">
        <f t="shared" si="143"/>
        <v>0</v>
      </c>
      <c r="X459" s="1">
        <f t="shared" si="144"/>
        <v>0</v>
      </c>
      <c r="Y459" s="1">
        <f t="shared" si="145"/>
        <v>0</v>
      </c>
      <c r="Z459" s="1">
        <f t="shared" si="146"/>
        <v>0</v>
      </c>
      <c r="AA459" s="1">
        <f t="shared" si="147"/>
        <v>0</v>
      </c>
      <c r="AB459" s="1">
        <f t="shared" si="148"/>
        <v>0</v>
      </c>
      <c r="AD459" s="1">
        <f t="shared" si="149"/>
        <v>0</v>
      </c>
      <c r="AE459" s="1">
        <f t="shared" si="150"/>
        <v>0</v>
      </c>
      <c r="AF459" s="1">
        <f t="shared" si="155"/>
        <v>0</v>
      </c>
      <c r="AG459" s="1">
        <f t="shared" si="156"/>
        <v>0</v>
      </c>
      <c r="AH459" s="1">
        <f t="shared" si="157"/>
        <v>0</v>
      </c>
      <c r="AI459" s="1">
        <f t="shared" si="158"/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43</v>
      </c>
      <c r="E460" s="35" t="s">
        <v>546</v>
      </c>
      <c r="F460" s="35" t="s">
        <v>580</v>
      </c>
      <c r="G460" s="35" t="s">
        <v>237</v>
      </c>
      <c r="H460" s="35" t="s">
        <v>357</v>
      </c>
      <c r="I460" s="34" t="s">
        <v>587</v>
      </c>
      <c r="J460" s="34">
        <v>99</v>
      </c>
      <c r="K460" s="36" t="s">
        <v>719</v>
      </c>
      <c r="L460" s="36" t="s">
        <v>736</v>
      </c>
      <c r="M460" s="37" t="s">
        <v>1455</v>
      </c>
      <c r="N460" s="37" t="s">
        <v>1763</v>
      </c>
      <c r="O460" s="38">
        <v>1</v>
      </c>
      <c r="P460" s="38"/>
      <c r="Q460" s="35"/>
      <c r="S460" s="1">
        <f t="shared" si="139"/>
        <v>0</v>
      </c>
      <c r="T460" s="1">
        <f t="shared" si="140"/>
        <v>0</v>
      </c>
      <c r="U460" s="1">
        <f t="shared" si="141"/>
        <v>0</v>
      </c>
      <c r="V460" s="1">
        <f t="shared" si="142"/>
        <v>0</v>
      </c>
      <c r="W460" s="1">
        <f t="shared" si="143"/>
        <v>0</v>
      </c>
      <c r="X460" s="1">
        <f t="shared" si="144"/>
        <v>0</v>
      </c>
      <c r="Y460" s="1">
        <f t="shared" si="145"/>
        <v>0</v>
      </c>
      <c r="Z460" s="1">
        <f t="shared" si="146"/>
        <v>0</v>
      </c>
      <c r="AA460" s="1">
        <f t="shared" si="147"/>
        <v>0</v>
      </c>
      <c r="AB460" s="1">
        <f t="shared" si="148"/>
        <v>0</v>
      </c>
      <c r="AD460" s="1">
        <f t="shared" si="149"/>
        <v>0</v>
      </c>
      <c r="AE460" s="1">
        <f t="shared" si="150"/>
        <v>1</v>
      </c>
      <c r="AF460" s="1">
        <f t="shared" si="155"/>
        <v>0</v>
      </c>
      <c r="AG460" s="1">
        <f t="shared" si="156"/>
        <v>1</v>
      </c>
      <c r="AH460" s="1">
        <f t="shared" si="157"/>
        <v>0</v>
      </c>
      <c r="AI460" s="1">
        <f t="shared" si="158"/>
        <v>1</v>
      </c>
    </row>
    <row r="461" spans="1:35" ht="14.25" customHeight="1" x14ac:dyDescent="0.25">
      <c r="A461" s="34">
        <v>1</v>
      </c>
      <c r="B461" s="34">
        <v>2</v>
      </c>
      <c r="C461" s="34">
        <v>7</v>
      </c>
      <c r="D461" s="35" t="s">
        <v>43</v>
      </c>
      <c r="E461" s="35" t="s">
        <v>546</v>
      </c>
      <c r="F461" s="35" t="s">
        <v>274</v>
      </c>
      <c r="G461" s="35" t="s">
        <v>182</v>
      </c>
      <c r="H461" s="35" t="s">
        <v>357</v>
      </c>
      <c r="I461" s="34" t="s">
        <v>430</v>
      </c>
      <c r="J461" s="34">
        <v>10</v>
      </c>
      <c r="K461" s="36" t="s">
        <v>719</v>
      </c>
      <c r="L461" s="36" t="s">
        <v>736</v>
      </c>
      <c r="M461" s="37" t="s">
        <v>1455</v>
      </c>
      <c r="N461" s="37" t="s">
        <v>1763</v>
      </c>
      <c r="O461" s="38">
        <v>1</v>
      </c>
      <c r="P461" s="38"/>
      <c r="Q461" s="35"/>
      <c r="S461" s="1">
        <f t="shared" si="139"/>
        <v>0</v>
      </c>
      <c r="T461" s="1">
        <f t="shared" si="140"/>
        <v>0</v>
      </c>
      <c r="U461" s="1">
        <f t="shared" si="141"/>
        <v>0</v>
      </c>
      <c r="V461" s="1">
        <f t="shared" si="142"/>
        <v>0</v>
      </c>
      <c r="W461" s="1">
        <f t="shared" si="143"/>
        <v>0</v>
      </c>
      <c r="X461" s="1">
        <f t="shared" si="144"/>
        <v>0</v>
      </c>
      <c r="Y461" s="1">
        <f t="shared" si="145"/>
        <v>0</v>
      </c>
      <c r="Z461" s="1">
        <f t="shared" si="146"/>
        <v>0</v>
      </c>
      <c r="AA461" s="1">
        <f t="shared" si="147"/>
        <v>0</v>
      </c>
      <c r="AB461" s="1">
        <f t="shared" si="148"/>
        <v>1</v>
      </c>
      <c r="AD461" s="1">
        <f t="shared" si="149"/>
        <v>0</v>
      </c>
      <c r="AE461" s="1">
        <f t="shared" si="150"/>
        <v>1</v>
      </c>
      <c r="AF461" s="1">
        <f t="shared" si="155"/>
        <v>0</v>
      </c>
      <c r="AG461" s="1">
        <f t="shared" si="156"/>
        <v>0</v>
      </c>
      <c r="AH461" s="1">
        <f t="shared" si="157"/>
        <v>0</v>
      </c>
      <c r="AI461" s="1">
        <f t="shared" si="158"/>
        <v>0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43</v>
      </c>
      <c r="E462" s="35" t="s">
        <v>546</v>
      </c>
      <c r="F462" s="35" t="s">
        <v>275</v>
      </c>
      <c r="G462" s="35" t="s">
        <v>39</v>
      </c>
      <c r="H462" s="35" t="s">
        <v>357</v>
      </c>
      <c r="I462" s="34" t="s">
        <v>431</v>
      </c>
      <c r="J462" s="34">
        <v>5</v>
      </c>
      <c r="K462" s="36" t="s">
        <v>719</v>
      </c>
      <c r="L462" s="36" t="s">
        <v>736</v>
      </c>
      <c r="M462" s="37" t="s">
        <v>1455</v>
      </c>
      <c r="N462" s="37" t="s">
        <v>1763</v>
      </c>
      <c r="O462" s="38">
        <v>1</v>
      </c>
      <c r="P462" s="38"/>
      <c r="Q462" s="35"/>
      <c r="S462" s="1">
        <f t="shared" si="139"/>
        <v>0</v>
      </c>
      <c r="T462" s="1">
        <f t="shared" si="140"/>
        <v>0</v>
      </c>
      <c r="U462" s="1">
        <f t="shared" si="141"/>
        <v>0</v>
      </c>
      <c r="V462" s="1">
        <f t="shared" si="142"/>
        <v>0</v>
      </c>
      <c r="W462" s="1">
        <f t="shared" si="143"/>
        <v>1</v>
      </c>
      <c r="X462" s="1">
        <f t="shared" si="144"/>
        <v>0</v>
      </c>
      <c r="Y462" s="1">
        <f t="shared" si="145"/>
        <v>0</v>
      </c>
      <c r="Z462" s="1">
        <f t="shared" si="146"/>
        <v>0</v>
      </c>
      <c r="AA462" s="1">
        <f t="shared" si="147"/>
        <v>0</v>
      </c>
      <c r="AB462" s="1">
        <f t="shared" si="148"/>
        <v>0</v>
      </c>
      <c r="AD462" s="1">
        <f t="shared" si="149"/>
        <v>0</v>
      </c>
      <c r="AE462" s="1">
        <f t="shared" si="150"/>
        <v>1</v>
      </c>
      <c r="AF462" s="1">
        <f t="shared" si="155"/>
        <v>0</v>
      </c>
      <c r="AG462" s="1">
        <f t="shared" si="156"/>
        <v>0</v>
      </c>
      <c r="AH462" s="1">
        <f t="shared" si="157"/>
        <v>0</v>
      </c>
      <c r="AI462" s="1">
        <f t="shared" si="158"/>
        <v>0</v>
      </c>
    </row>
    <row r="463" spans="1:35" ht="14.25" customHeight="1" x14ac:dyDescent="0.25">
      <c r="A463" s="34">
        <v>1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279</v>
      </c>
      <c r="G463" s="35" t="s">
        <v>196</v>
      </c>
      <c r="H463" s="35" t="s">
        <v>357</v>
      </c>
      <c r="I463" s="34" t="s">
        <v>435</v>
      </c>
      <c r="J463" s="34">
        <v>9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Q463" s="35"/>
      <c r="S463" s="1">
        <f>IF(J463=$S$7,1,0)</f>
        <v>0</v>
      </c>
      <c r="T463" s="1">
        <f>IF(J463=$T$7,1,0)</f>
        <v>0</v>
      </c>
      <c r="U463" s="1">
        <f>IF(J463=$U$7,1,0)</f>
        <v>0</v>
      </c>
      <c r="V463" s="1">
        <f>IF(J463=$V$7,1,0)</f>
        <v>0</v>
      </c>
      <c r="W463" s="1">
        <f>IF(J463=$W$7,1,0)</f>
        <v>0</v>
      </c>
      <c r="X463" s="1">
        <f>IF(J463=$X$7,1,0)</f>
        <v>0</v>
      </c>
      <c r="Y463" s="1">
        <f>IF(J463=$Y$7,1,0)</f>
        <v>0</v>
      </c>
      <c r="Z463" s="1">
        <f>IF(J463=$Z$7,1,0)</f>
        <v>0</v>
      </c>
      <c r="AA463" s="1">
        <f>IF(J463=$AA$7,1,0)</f>
        <v>1</v>
      </c>
      <c r="AB463" s="1">
        <f>IF(J463=$AB$7,1,0)</f>
        <v>0</v>
      </c>
      <c r="AD463" s="1">
        <f>+O463*P463</f>
        <v>0</v>
      </c>
      <c r="AE463" s="1">
        <f>O463*(1-P463)</f>
        <v>1</v>
      </c>
      <c r="AF463" s="1">
        <f t="shared" si="155"/>
        <v>0</v>
      </c>
      <c r="AG463" s="1">
        <f t="shared" si="156"/>
        <v>0</v>
      </c>
      <c r="AH463" s="1">
        <f t="shared" si="157"/>
        <v>0</v>
      </c>
      <c r="AI463" s="1">
        <f t="shared" si="158"/>
        <v>0</v>
      </c>
    </row>
    <row r="464" spans="1:35" ht="14.25" customHeight="1" x14ac:dyDescent="0.25">
      <c r="A464" s="47">
        <v>0</v>
      </c>
      <c r="B464" s="47">
        <v>2</v>
      </c>
      <c r="C464" s="47">
        <v>7</v>
      </c>
      <c r="D464" s="48" t="s">
        <v>1576</v>
      </c>
      <c r="E464" s="48" t="s">
        <v>28</v>
      </c>
      <c r="F464" s="48" t="s">
        <v>1577</v>
      </c>
      <c r="G464" s="48" t="s">
        <v>240</v>
      </c>
      <c r="H464" s="48" t="s">
        <v>357</v>
      </c>
      <c r="I464" s="47" t="s">
        <v>1710</v>
      </c>
      <c r="J464" s="47">
        <v>4</v>
      </c>
      <c r="K464" s="49" t="s">
        <v>720</v>
      </c>
      <c r="L464" s="49" t="s">
        <v>720</v>
      </c>
      <c r="M464" s="50" t="s">
        <v>738</v>
      </c>
      <c r="N464" s="50" t="s">
        <v>1750</v>
      </c>
      <c r="O464" s="51"/>
      <c r="P464" s="51"/>
      <c r="Q464" s="48"/>
      <c r="S464" s="1">
        <f>IF(J464=$S$7,1,0)</f>
        <v>0</v>
      </c>
      <c r="T464" s="1">
        <f>IF(J464=$T$7,1,0)</f>
        <v>0</v>
      </c>
      <c r="U464" s="1">
        <f>IF(J464=$U$7,1,0)</f>
        <v>0</v>
      </c>
      <c r="V464" s="1">
        <f>IF(J464=$V$7,1,0)</f>
        <v>1</v>
      </c>
      <c r="W464" s="1">
        <f>IF(J464=$W$7,1,0)</f>
        <v>0</v>
      </c>
      <c r="X464" s="1">
        <f>IF(J464=$X$7,1,0)</f>
        <v>0</v>
      </c>
      <c r="Y464" s="1">
        <f>IF(J464=$Y$7,1,0)</f>
        <v>0</v>
      </c>
      <c r="Z464" s="1">
        <f>IF(J464=$Z$7,1,0)</f>
        <v>0</v>
      </c>
      <c r="AA464" s="1">
        <f>IF(J464=$AA$7,1,0)</f>
        <v>0</v>
      </c>
      <c r="AB464" s="1">
        <f>IF(J464=$AB$7,1,0)</f>
        <v>0</v>
      </c>
      <c r="AD464" s="1">
        <f>+O464*P464</f>
        <v>0</v>
      </c>
      <c r="AE464" s="1">
        <f>O464*(1-P464)</f>
        <v>0</v>
      </c>
      <c r="AF464" s="1">
        <f t="shared" si="155"/>
        <v>0</v>
      </c>
      <c r="AG464" s="1">
        <f t="shared" si="156"/>
        <v>0</v>
      </c>
      <c r="AH464" s="1">
        <f t="shared" si="157"/>
        <v>0</v>
      </c>
      <c r="AI464" s="1">
        <f t="shared" si="158"/>
        <v>1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63</v>
      </c>
      <c r="E465" s="48" t="s">
        <v>44</v>
      </c>
      <c r="F465" s="48" t="s">
        <v>238</v>
      </c>
      <c r="G465" s="48" t="s">
        <v>202</v>
      </c>
      <c r="H465" s="48" t="s">
        <v>357</v>
      </c>
      <c r="I465" s="47" t="s">
        <v>405</v>
      </c>
      <c r="J465" s="47">
        <v>2</v>
      </c>
      <c r="K465" s="49" t="s">
        <v>720</v>
      </c>
      <c r="L465" s="49" t="s">
        <v>729</v>
      </c>
      <c r="M465" s="50" t="s">
        <v>742</v>
      </c>
      <c r="N465" s="50" t="s">
        <v>1750</v>
      </c>
      <c r="O465" s="51"/>
      <c r="P465" s="51"/>
      <c r="Q465" s="48"/>
      <c r="S465" s="1">
        <f>IF(J465=$S$7,1,0)</f>
        <v>0</v>
      </c>
      <c r="T465" s="1">
        <f>IF(J465=$T$7,1,0)</f>
        <v>1</v>
      </c>
      <c r="U465" s="1">
        <f>IF(J465=$U$7,1,0)</f>
        <v>0</v>
      </c>
      <c r="V465" s="1">
        <f>IF(J465=$V$7,1,0)</f>
        <v>0</v>
      </c>
      <c r="W465" s="1">
        <f>IF(J465=$W$7,1,0)</f>
        <v>0</v>
      </c>
      <c r="X465" s="1">
        <f>IF(J465=$X$7,1,0)</f>
        <v>0</v>
      </c>
      <c r="Y465" s="1">
        <f>IF(J465=$Y$7,1,0)</f>
        <v>0</v>
      </c>
      <c r="Z465" s="1">
        <f>IF(J465=$Z$7,1,0)</f>
        <v>0</v>
      </c>
      <c r="AA465" s="1">
        <f>IF(J465=$AA$7,1,0)</f>
        <v>0</v>
      </c>
      <c r="AB465" s="1">
        <f>IF(J465=$AB$7,1,0)</f>
        <v>0</v>
      </c>
      <c r="AD465" s="1">
        <f>+O465*P465</f>
        <v>0</v>
      </c>
      <c r="AE465" s="1">
        <f>O465*(1-P465)</f>
        <v>0</v>
      </c>
      <c r="AF465" s="1">
        <f t="shared" si="155"/>
        <v>0</v>
      </c>
      <c r="AG465" s="1">
        <f t="shared" si="156"/>
        <v>0</v>
      </c>
      <c r="AH465" s="1">
        <f t="shared" si="157"/>
        <v>0</v>
      </c>
      <c r="AI465" s="1">
        <f t="shared" si="158"/>
        <v>1</v>
      </c>
    </row>
    <row r="466" spans="1:35" ht="14.25" customHeight="1" x14ac:dyDescent="0.25">
      <c r="A466" s="15"/>
      <c r="B466" s="15"/>
      <c r="C466" s="15"/>
      <c r="D466" s="20"/>
      <c r="E466" s="20"/>
      <c r="F466" s="20"/>
      <c r="G466" s="20"/>
      <c r="H466" s="20"/>
      <c r="I466" s="21"/>
      <c r="J466" s="15"/>
      <c r="K466" s="21"/>
      <c r="M466" s="19"/>
      <c r="N466" s="17"/>
      <c r="Q466" s="20"/>
    </row>
    <row r="467" spans="1:35" ht="14.25" customHeight="1" x14ac:dyDescent="0.25">
      <c r="A467" s="15"/>
      <c r="B467" s="15"/>
      <c r="C467" s="15"/>
      <c r="D467" s="20"/>
      <c r="E467" s="20"/>
      <c r="F467" s="20"/>
      <c r="G467" s="20"/>
      <c r="H467" s="20"/>
      <c r="I467" s="21"/>
      <c r="J467" s="15"/>
      <c r="K467" s="21"/>
      <c r="M467" s="19"/>
      <c r="N467" s="17"/>
      <c r="Q467" s="20"/>
    </row>
    <row r="468" spans="1:35" ht="14.25" customHeight="1" x14ac:dyDescent="0.25">
      <c r="A468" s="15"/>
      <c r="B468" s="15"/>
      <c r="C468" s="15"/>
      <c r="D468" s="20"/>
      <c r="E468" s="20"/>
      <c r="F468" s="20"/>
      <c r="G468" s="20"/>
      <c r="H468" s="20"/>
      <c r="I468" s="21"/>
      <c r="J468" s="15"/>
      <c r="K468" s="21"/>
      <c r="M468" s="19"/>
      <c r="N468" s="17"/>
      <c r="Q468" s="20"/>
    </row>
    <row r="469" spans="1:35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M469" s="19"/>
      <c r="N469" s="17"/>
      <c r="Q469" s="20"/>
    </row>
    <row r="470" spans="1:35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  <c r="Q470" s="20"/>
    </row>
    <row r="471" spans="1:35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  <c r="Q471" s="20"/>
    </row>
    <row r="472" spans="1:35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  <c r="Q472" s="20"/>
    </row>
    <row r="473" spans="1:35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  <c r="Q473" s="20"/>
    </row>
    <row r="474" spans="1:35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  <c r="Q474" s="20"/>
    </row>
    <row r="475" spans="1:35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  <c r="Q475" s="20"/>
    </row>
    <row r="476" spans="1:35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  <c r="Q476" s="20"/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16"/>
      <c r="E768" s="16"/>
      <c r="F768" s="16"/>
      <c r="G768" s="16"/>
      <c r="H768" s="16"/>
      <c r="I768" s="15"/>
      <c r="J768" s="15"/>
      <c r="K768" s="10"/>
      <c r="M768" s="19"/>
      <c r="N768" s="17"/>
      <c r="Q768" s="16"/>
    </row>
    <row r="769" spans="1:17" ht="14.25" customHeight="1" x14ac:dyDescent="0.25">
      <c r="A769" s="15"/>
      <c r="B769" s="15"/>
      <c r="C769" s="15"/>
      <c r="D769" s="16"/>
      <c r="E769" s="16"/>
      <c r="F769" s="16"/>
      <c r="G769" s="16"/>
      <c r="H769" s="16"/>
      <c r="I769" s="15"/>
      <c r="J769" s="15"/>
      <c r="K769" s="10"/>
      <c r="M769" s="19"/>
      <c r="N769" s="17"/>
      <c r="Q769" s="16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7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7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</sheetData>
  <autoFilter ref="A7:Q465" xr:uid="{AEE30112-88BB-441D-AEFC-A7A733AB1798}">
    <sortState xmlns:xlrd2="http://schemas.microsoft.com/office/spreadsheetml/2017/richdata2" ref="A8:Q451">
      <sortCondition ref="B8:B451"/>
      <sortCondition ref="C8:C451"/>
      <sortCondition ref="D8:D451"/>
      <sortCondition ref="A8:A451"/>
    </sortState>
  </autoFilter>
  <sortState xmlns:xlrd2="http://schemas.microsoft.com/office/spreadsheetml/2017/richdata2" ref="A7:P465">
    <sortCondition ref="B8:B465"/>
    <sortCondition ref="C8:C465"/>
    <sortCondition ref="D8:D465"/>
    <sortCondition ref="A8:A46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2026-05-20T08:23:25Z</dcterms:modified>
</cp:coreProperties>
</file>