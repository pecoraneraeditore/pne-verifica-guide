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6ECAEF5-64B0-489F-B8CA-20A8F4A14B7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golose'!$A$7:$AH$228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6" l="1"/>
  <c r="S13" i="6"/>
  <c r="T13" i="6"/>
  <c r="U13" i="6"/>
  <c r="V13" i="6"/>
  <c r="W13" i="6"/>
  <c r="X13" i="6"/>
  <c r="Y13" i="6"/>
  <c r="Z13" i="6"/>
  <c r="AA13" i="6"/>
  <c r="AC13" i="6"/>
  <c r="AD13" i="6"/>
  <c r="AE13" i="6"/>
  <c r="AF13" i="6"/>
  <c r="AG13" i="6"/>
  <c r="AH13" i="6"/>
  <c r="R14" i="6"/>
  <c r="S14" i="6"/>
  <c r="T14" i="6"/>
  <c r="U14" i="6"/>
  <c r="V14" i="6"/>
  <c r="W14" i="6"/>
  <c r="X14" i="6"/>
  <c r="Y14" i="6"/>
  <c r="Z14" i="6"/>
  <c r="AA14" i="6"/>
  <c r="AC14" i="6"/>
  <c r="AD14" i="6"/>
  <c r="AE14" i="6"/>
  <c r="AF14" i="6"/>
  <c r="AG14" i="6"/>
  <c r="AH14" i="6"/>
  <c r="R15" i="6"/>
  <c r="S15" i="6"/>
  <c r="T15" i="6"/>
  <c r="U15" i="6"/>
  <c r="V15" i="6"/>
  <c r="W15" i="6"/>
  <c r="X15" i="6"/>
  <c r="Y15" i="6"/>
  <c r="Z15" i="6"/>
  <c r="AA15" i="6"/>
  <c r="AC15" i="6"/>
  <c r="AD15" i="6"/>
  <c r="AE15" i="6"/>
  <c r="AF15" i="6"/>
  <c r="AG15" i="6"/>
  <c r="AH15" i="6"/>
  <c r="R16" i="6"/>
  <c r="S16" i="6"/>
  <c r="T16" i="6"/>
  <c r="U16" i="6"/>
  <c r="V16" i="6"/>
  <c r="W16" i="6"/>
  <c r="X16" i="6"/>
  <c r="Y16" i="6"/>
  <c r="Z16" i="6"/>
  <c r="AA16" i="6"/>
  <c r="AC16" i="6"/>
  <c r="AD16" i="6"/>
  <c r="AE16" i="6"/>
  <c r="AF16" i="6"/>
  <c r="AG16" i="6"/>
  <c r="AH16" i="6"/>
  <c r="R17" i="6"/>
  <c r="S17" i="6"/>
  <c r="T17" i="6"/>
  <c r="U17" i="6"/>
  <c r="V17" i="6"/>
  <c r="W17" i="6"/>
  <c r="X17" i="6"/>
  <c r="Y17" i="6"/>
  <c r="Z17" i="6"/>
  <c r="AA17" i="6"/>
  <c r="AC17" i="6"/>
  <c r="AD17" i="6"/>
  <c r="AE17" i="6"/>
  <c r="AF17" i="6"/>
  <c r="AG17" i="6"/>
  <c r="AH17" i="6"/>
  <c r="R18" i="6"/>
  <c r="S18" i="6"/>
  <c r="T18" i="6"/>
  <c r="U18" i="6"/>
  <c r="V18" i="6"/>
  <c r="W18" i="6"/>
  <c r="X18" i="6"/>
  <c r="Y18" i="6"/>
  <c r="Z18" i="6"/>
  <c r="AA18" i="6"/>
  <c r="AC18" i="6"/>
  <c r="AD18" i="6"/>
  <c r="AE18" i="6"/>
  <c r="AF18" i="6"/>
  <c r="AG18" i="6"/>
  <c r="AH18" i="6"/>
  <c r="R19" i="6"/>
  <c r="S19" i="6"/>
  <c r="T19" i="6"/>
  <c r="U19" i="6"/>
  <c r="V19" i="6"/>
  <c r="W19" i="6"/>
  <c r="X19" i="6"/>
  <c r="Y19" i="6"/>
  <c r="Z19" i="6"/>
  <c r="AA19" i="6"/>
  <c r="AC19" i="6"/>
  <c r="AD19" i="6"/>
  <c r="AE19" i="6"/>
  <c r="AF19" i="6"/>
  <c r="AG19" i="6"/>
  <c r="AH19" i="6"/>
  <c r="R20" i="6"/>
  <c r="S20" i="6"/>
  <c r="T20" i="6"/>
  <c r="U20" i="6"/>
  <c r="V20" i="6"/>
  <c r="W20" i="6"/>
  <c r="X20" i="6"/>
  <c r="Y20" i="6"/>
  <c r="Z20" i="6"/>
  <c r="AA20" i="6"/>
  <c r="AC20" i="6"/>
  <c r="AD20" i="6"/>
  <c r="AE20" i="6"/>
  <c r="AF20" i="6"/>
  <c r="AG20" i="6"/>
  <c r="AH20" i="6"/>
  <c r="R21" i="6"/>
  <c r="S21" i="6"/>
  <c r="T21" i="6"/>
  <c r="U21" i="6"/>
  <c r="V21" i="6"/>
  <c r="W21" i="6"/>
  <c r="X21" i="6"/>
  <c r="Y21" i="6"/>
  <c r="Z21" i="6"/>
  <c r="AA21" i="6"/>
  <c r="AC21" i="6"/>
  <c r="AD21" i="6"/>
  <c r="AE21" i="6"/>
  <c r="AF21" i="6"/>
  <c r="AG21" i="6"/>
  <c r="AH21" i="6"/>
  <c r="R22" i="6"/>
  <c r="S22" i="6"/>
  <c r="T22" i="6"/>
  <c r="U22" i="6"/>
  <c r="V22" i="6"/>
  <c r="W22" i="6"/>
  <c r="X22" i="6"/>
  <c r="Y22" i="6"/>
  <c r="Z22" i="6"/>
  <c r="AA22" i="6"/>
  <c r="AC22" i="6"/>
  <c r="AD22" i="6"/>
  <c r="AE22" i="6"/>
  <c r="AF22" i="6"/>
  <c r="AG22" i="6"/>
  <c r="AH22" i="6"/>
  <c r="R23" i="6"/>
  <c r="S23" i="6"/>
  <c r="T23" i="6"/>
  <c r="U23" i="6"/>
  <c r="V23" i="6"/>
  <c r="W23" i="6"/>
  <c r="X23" i="6"/>
  <c r="Y23" i="6"/>
  <c r="Z23" i="6"/>
  <c r="AA23" i="6"/>
  <c r="AC23" i="6"/>
  <c r="AD23" i="6"/>
  <c r="AE23" i="6"/>
  <c r="AF23" i="6"/>
  <c r="AG23" i="6"/>
  <c r="AH23" i="6"/>
  <c r="R24" i="6"/>
  <c r="S24" i="6"/>
  <c r="T24" i="6"/>
  <c r="U24" i="6"/>
  <c r="V24" i="6"/>
  <c r="W24" i="6"/>
  <c r="X24" i="6"/>
  <c r="Y24" i="6"/>
  <c r="Z24" i="6"/>
  <c r="AA24" i="6"/>
  <c r="AC24" i="6"/>
  <c r="AD24" i="6"/>
  <c r="AE24" i="6"/>
  <c r="AF24" i="6"/>
  <c r="AG24" i="6"/>
  <c r="AH24" i="6"/>
  <c r="R25" i="6"/>
  <c r="S25" i="6"/>
  <c r="T25" i="6"/>
  <c r="U25" i="6"/>
  <c r="V25" i="6"/>
  <c r="W25" i="6"/>
  <c r="X25" i="6"/>
  <c r="Y25" i="6"/>
  <c r="Z25" i="6"/>
  <c r="AA25" i="6"/>
  <c r="AC25" i="6"/>
  <c r="AD25" i="6"/>
  <c r="AE25" i="6"/>
  <c r="AF25" i="6"/>
  <c r="AG25" i="6"/>
  <c r="AH25" i="6"/>
  <c r="R26" i="6"/>
  <c r="S26" i="6"/>
  <c r="T26" i="6"/>
  <c r="U26" i="6"/>
  <c r="V26" i="6"/>
  <c r="W26" i="6"/>
  <c r="X26" i="6"/>
  <c r="Y26" i="6"/>
  <c r="Z26" i="6"/>
  <c r="AA26" i="6"/>
  <c r="AC26" i="6"/>
  <c r="AD26" i="6"/>
  <c r="AE26" i="6"/>
  <c r="AF26" i="6"/>
  <c r="AG26" i="6"/>
  <c r="AH26" i="6"/>
  <c r="R27" i="6"/>
  <c r="S27" i="6"/>
  <c r="T27" i="6"/>
  <c r="U27" i="6"/>
  <c r="V27" i="6"/>
  <c r="W27" i="6"/>
  <c r="X27" i="6"/>
  <c r="Y27" i="6"/>
  <c r="Z27" i="6"/>
  <c r="AA27" i="6"/>
  <c r="AC27" i="6"/>
  <c r="AD27" i="6"/>
  <c r="AE27" i="6"/>
  <c r="AF27" i="6"/>
  <c r="AG27" i="6"/>
  <c r="AH27" i="6"/>
  <c r="R28" i="6"/>
  <c r="S28" i="6"/>
  <c r="T28" i="6"/>
  <c r="U28" i="6"/>
  <c r="V28" i="6"/>
  <c r="W28" i="6"/>
  <c r="X28" i="6"/>
  <c r="Y28" i="6"/>
  <c r="Z28" i="6"/>
  <c r="AA28" i="6"/>
  <c r="AC28" i="6"/>
  <c r="AD28" i="6"/>
  <c r="AE28" i="6"/>
  <c r="AF28" i="6"/>
  <c r="AG28" i="6"/>
  <c r="AH28" i="6"/>
  <c r="R29" i="6"/>
  <c r="S29" i="6"/>
  <c r="T29" i="6"/>
  <c r="U29" i="6"/>
  <c r="V29" i="6"/>
  <c r="W29" i="6"/>
  <c r="X29" i="6"/>
  <c r="Y29" i="6"/>
  <c r="Z29" i="6"/>
  <c r="AA29" i="6"/>
  <c r="AC29" i="6"/>
  <c r="AD29" i="6"/>
  <c r="AE29" i="6"/>
  <c r="AF29" i="6"/>
  <c r="AG29" i="6"/>
  <c r="AH29" i="6"/>
  <c r="R30" i="6"/>
  <c r="S30" i="6"/>
  <c r="T30" i="6"/>
  <c r="U30" i="6"/>
  <c r="V30" i="6"/>
  <c r="W30" i="6"/>
  <c r="X30" i="6"/>
  <c r="Y30" i="6"/>
  <c r="Z30" i="6"/>
  <c r="AA30" i="6"/>
  <c r="AC30" i="6"/>
  <c r="AD30" i="6"/>
  <c r="AE30" i="6"/>
  <c r="AF30" i="6"/>
  <c r="AG30" i="6"/>
  <c r="AH30" i="6"/>
  <c r="R31" i="6"/>
  <c r="S31" i="6"/>
  <c r="T31" i="6"/>
  <c r="U31" i="6"/>
  <c r="V31" i="6"/>
  <c r="W31" i="6"/>
  <c r="X31" i="6"/>
  <c r="Y31" i="6"/>
  <c r="Z31" i="6"/>
  <c r="AA31" i="6"/>
  <c r="AC31" i="6"/>
  <c r="AD31" i="6"/>
  <c r="AE31" i="6"/>
  <c r="AF31" i="6"/>
  <c r="AG31" i="6"/>
  <c r="AH31" i="6"/>
  <c r="R32" i="6"/>
  <c r="S32" i="6"/>
  <c r="T32" i="6"/>
  <c r="U32" i="6"/>
  <c r="V32" i="6"/>
  <c r="W32" i="6"/>
  <c r="X32" i="6"/>
  <c r="Y32" i="6"/>
  <c r="Z32" i="6"/>
  <c r="AA32" i="6"/>
  <c r="AC32" i="6"/>
  <c r="AD32" i="6"/>
  <c r="AE32" i="6"/>
  <c r="AF32" i="6"/>
  <c r="AG32" i="6"/>
  <c r="AH32" i="6"/>
  <c r="R33" i="6"/>
  <c r="S33" i="6"/>
  <c r="T33" i="6"/>
  <c r="U33" i="6"/>
  <c r="V33" i="6"/>
  <c r="W33" i="6"/>
  <c r="X33" i="6"/>
  <c r="Y33" i="6"/>
  <c r="Z33" i="6"/>
  <c r="AA33" i="6"/>
  <c r="AC33" i="6"/>
  <c r="AD33" i="6"/>
  <c r="AE33" i="6"/>
  <c r="AF33" i="6"/>
  <c r="AG33" i="6"/>
  <c r="AH33" i="6"/>
  <c r="R34" i="6"/>
  <c r="S34" i="6"/>
  <c r="T34" i="6"/>
  <c r="U34" i="6"/>
  <c r="V34" i="6"/>
  <c r="W34" i="6"/>
  <c r="X34" i="6"/>
  <c r="Y34" i="6"/>
  <c r="Z34" i="6"/>
  <c r="AA34" i="6"/>
  <c r="AC34" i="6"/>
  <c r="AD34" i="6"/>
  <c r="AE34" i="6"/>
  <c r="AF34" i="6"/>
  <c r="AG34" i="6"/>
  <c r="AH34" i="6"/>
  <c r="R35" i="6"/>
  <c r="S35" i="6"/>
  <c r="T35" i="6"/>
  <c r="U35" i="6"/>
  <c r="V35" i="6"/>
  <c r="W35" i="6"/>
  <c r="X35" i="6"/>
  <c r="Y35" i="6"/>
  <c r="Z35" i="6"/>
  <c r="AA35" i="6"/>
  <c r="AC35" i="6"/>
  <c r="AD35" i="6"/>
  <c r="AE35" i="6"/>
  <c r="AF35" i="6"/>
  <c r="AG35" i="6"/>
  <c r="AH35" i="6"/>
  <c r="R36" i="6"/>
  <c r="S36" i="6"/>
  <c r="T36" i="6"/>
  <c r="U36" i="6"/>
  <c r="V36" i="6"/>
  <c r="W36" i="6"/>
  <c r="X36" i="6"/>
  <c r="Y36" i="6"/>
  <c r="Z36" i="6"/>
  <c r="AA36" i="6"/>
  <c r="AC36" i="6"/>
  <c r="AD36" i="6"/>
  <c r="AE36" i="6"/>
  <c r="AF36" i="6"/>
  <c r="AG36" i="6"/>
  <c r="AH36" i="6"/>
  <c r="R37" i="6"/>
  <c r="S37" i="6"/>
  <c r="T37" i="6"/>
  <c r="U37" i="6"/>
  <c r="V37" i="6"/>
  <c r="W37" i="6"/>
  <c r="X37" i="6"/>
  <c r="Y37" i="6"/>
  <c r="Z37" i="6"/>
  <c r="AA37" i="6"/>
  <c r="AC37" i="6"/>
  <c r="AD37" i="6"/>
  <c r="AE37" i="6"/>
  <c r="AF37" i="6"/>
  <c r="AG37" i="6"/>
  <c r="AH37" i="6"/>
  <c r="R38" i="6"/>
  <c r="S38" i="6"/>
  <c r="T38" i="6"/>
  <c r="U38" i="6"/>
  <c r="V38" i="6"/>
  <c r="W38" i="6"/>
  <c r="X38" i="6"/>
  <c r="Y38" i="6"/>
  <c r="Z38" i="6"/>
  <c r="AA38" i="6"/>
  <c r="AC38" i="6"/>
  <c r="AD38" i="6"/>
  <c r="AE38" i="6"/>
  <c r="AF38" i="6"/>
  <c r="AG38" i="6"/>
  <c r="AH38" i="6"/>
  <c r="R39" i="6"/>
  <c r="S39" i="6"/>
  <c r="T39" i="6"/>
  <c r="U39" i="6"/>
  <c r="V39" i="6"/>
  <c r="W39" i="6"/>
  <c r="X39" i="6"/>
  <c r="Y39" i="6"/>
  <c r="Z39" i="6"/>
  <c r="AA39" i="6"/>
  <c r="AC39" i="6"/>
  <c r="AD39" i="6"/>
  <c r="AE39" i="6"/>
  <c r="AF39" i="6"/>
  <c r="AG39" i="6"/>
  <c r="AH39" i="6"/>
  <c r="R40" i="6"/>
  <c r="S40" i="6"/>
  <c r="T40" i="6"/>
  <c r="U40" i="6"/>
  <c r="V40" i="6"/>
  <c r="W40" i="6"/>
  <c r="X40" i="6"/>
  <c r="Y40" i="6"/>
  <c r="Z40" i="6"/>
  <c r="AA40" i="6"/>
  <c r="AC40" i="6"/>
  <c r="AD40" i="6"/>
  <c r="AE40" i="6"/>
  <c r="AF40" i="6"/>
  <c r="AG40" i="6"/>
  <c r="AH40" i="6"/>
  <c r="R41" i="6"/>
  <c r="S41" i="6"/>
  <c r="T41" i="6"/>
  <c r="U41" i="6"/>
  <c r="V41" i="6"/>
  <c r="W41" i="6"/>
  <c r="X41" i="6"/>
  <c r="Y41" i="6"/>
  <c r="Z41" i="6"/>
  <c r="AA41" i="6"/>
  <c r="AC41" i="6"/>
  <c r="AD41" i="6"/>
  <c r="AE41" i="6"/>
  <c r="AF41" i="6"/>
  <c r="AG41" i="6"/>
  <c r="AH41" i="6"/>
  <c r="R42" i="6"/>
  <c r="S42" i="6"/>
  <c r="T42" i="6"/>
  <c r="U42" i="6"/>
  <c r="V42" i="6"/>
  <c r="W42" i="6"/>
  <c r="X42" i="6"/>
  <c r="Y42" i="6"/>
  <c r="Z42" i="6"/>
  <c r="AA42" i="6"/>
  <c r="AC42" i="6"/>
  <c r="AD42" i="6"/>
  <c r="AE42" i="6"/>
  <c r="AF42" i="6"/>
  <c r="AG42" i="6"/>
  <c r="AH42" i="6"/>
  <c r="R43" i="6"/>
  <c r="S43" i="6"/>
  <c r="T43" i="6"/>
  <c r="U43" i="6"/>
  <c r="V43" i="6"/>
  <c r="W43" i="6"/>
  <c r="X43" i="6"/>
  <c r="Y43" i="6"/>
  <c r="Z43" i="6"/>
  <c r="AA43" i="6"/>
  <c r="AC43" i="6"/>
  <c r="AD43" i="6"/>
  <c r="AE43" i="6"/>
  <c r="AF43" i="6"/>
  <c r="AG43" i="6"/>
  <c r="AH43" i="6"/>
  <c r="R44" i="6"/>
  <c r="S44" i="6"/>
  <c r="T44" i="6"/>
  <c r="U44" i="6"/>
  <c r="V44" i="6"/>
  <c r="W44" i="6"/>
  <c r="X44" i="6"/>
  <c r="Y44" i="6"/>
  <c r="Z44" i="6"/>
  <c r="AA44" i="6"/>
  <c r="AC44" i="6"/>
  <c r="AD44" i="6"/>
  <c r="AE44" i="6"/>
  <c r="AF44" i="6"/>
  <c r="AG44" i="6"/>
  <c r="AH44" i="6"/>
  <c r="R45" i="6"/>
  <c r="S45" i="6"/>
  <c r="T45" i="6"/>
  <c r="U45" i="6"/>
  <c r="V45" i="6"/>
  <c r="W45" i="6"/>
  <c r="X45" i="6"/>
  <c r="Y45" i="6"/>
  <c r="Z45" i="6"/>
  <c r="AA45" i="6"/>
  <c r="AC45" i="6"/>
  <c r="AD45" i="6"/>
  <c r="AE45" i="6"/>
  <c r="AF45" i="6"/>
  <c r="AG45" i="6"/>
  <c r="AH45" i="6"/>
  <c r="R46" i="6"/>
  <c r="S46" i="6"/>
  <c r="T46" i="6"/>
  <c r="U46" i="6"/>
  <c r="V46" i="6"/>
  <c r="W46" i="6"/>
  <c r="X46" i="6"/>
  <c r="Y46" i="6"/>
  <c r="Z46" i="6"/>
  <c r="AA46" i="6"/>
  <c r="AC46" i="6"/>
  <c r="AD46" i="6"/>
  <c r="AE46" i="6"/>
  <c r="AF46" i="6"/>
  <c r="AG46" i="6"/>
  <c r="AH46" i="6"/>
  <c r="R47" i="6"/>
  <c r="S47" i="6"/>
  <c r="T47" i="6"/>
  <c r="U47" i="6"/>
  <c r="V47" i="6"/>
  <c r="W47" i="6"/>
  <c r="X47" i="6"/>
  <c r="Y47" i="6"/>
  <c r="Z47" i="6"/>
  <c r="AA47" i="6"/>
  <c r="AC47" i="6"/>
  <c r="AD47" i="6"/>
  <c r="AE47" i="6"/>
  <c r="AF47" i="6"/>
  <c r="AG47" i="6"/>
  <c r="AH47" i="6"/>
  <c r="R48" i="6"/>
  <c r="S48" i="6"/>
  <c r="T48" i="6"/>
  <c r="U48" i="6"/>
  <c r="V48" i="6"/>
  <c r="W48" i="6"/>
  <c r="X48" i="6"/>
  <c r="Y48" i="6"/>
  <c r="Z48" i="6"/>
  <c r="AA48" i="6"/>
  <c r="AC48" i="6"/>
  <c r="AD48" i="6"/>
  <c r="AE48" i="6"/>
  <c r="AF48" i="6"/>
  <c r="AG48" i="6"/>
  <c r="AH48" i="6"/>
  <c r="R49" i="6"/>
  <c r="S49" i="6"/>
  <c r="T49" i="6"/>
  <c r="U49" i="6"/>
  <c r="V49" i="6"/>
  <c r="W49" i="6"/>
  <c r="X49" i="6"/>
  <c r="Y49" i="6"/>
  <c r="Z49" i="6"/>
  <c r="AA49" i="6"/>
  <c r="AC49" i="6"/>
  <c r="AD49" i="6"/>
  <c r="AE49" i="6"/>
  <c r="AF49" i="6"/>
  <c r="AG49" i="6"/>
  <c r="AH49" i="6"/>
  <c r="R50" i="6"/>
  <c r="S50" i="6"/>
  <c r="T50" i="6"/>
  <c r="U50" i="6"/>
  <c r="V50" i="6"/>
  <c r="W50" i="6"/>
  <c r="X50" i="6"/>
  <c r="Y50" i="6"/>
  <c r="Z50" i="6"/>
  <c r="AA50" i="6"/>
  <c r="AC50" i="6"/>
  <c r="AD50" i="6"/>
  <c r="AE50" i="6"/>
  <c r="AF50" i="6"/>
  <c r="AG50" i="6"/>
  <c r="AH50" i="6"/>
  <c r="R51" i="6"/>
  <c r="S51" i="6"/>
  <c r="T51" i="6"/>
  <c r="U51" i="6"/>
  <c r="V51" i="6"/>
  <c r="W51" i="6"/>
  <c r="X51" i="6"/>
  <c r="Y51" i="6"/>
  <c r="Z51" i="6"/>
  <c r="AA51" i="6"/>
  <c r="AC51" i="6"/>
  <c r="AD51" i="6"/>
  <c r="AE51" i="6"/>
  <c r="AF51" i="6"/>
  <c r="AG51" i="6"/>
  <c r="AH51" i="6"/>
  <c r="R52" i="6"/>
  <c r="S52" i="6"/>
  <c r="T52" i="6"/>
  <c r="U52" i="6"/>
  <c r="V52" i="6"/>
  <c r="W52" i="6"/>
  <c r="X52" i="6"/>
  <c r="Y52" i="6"/>
  <c r="Z52" i="6"/>
  <c r="AA52" i="6"/>
  <c r="AC52" i="6"/>
  <c r="AD52" i="6"/>
  <c r="AE52" i="6"/>
  <c r="AF52" i="6"/>
  <c r="AG52" i="6"/>
  <c r="AH52" i="6"/>
  <c r="R53" i="6"/>
  <c r="S53" i="6"/>
  <c r="T53" i="6"/>
  <c r="U53" i="6"/>
  <c r="V53" i="6"/>
  <c r="W53" i="6"/>
  <c r="X53" i="6"/>
  <c r="Y53" i="6"/>
  <c r="Z53" i="6"/>
  <c r="AA53" i="6"/>
  <c r="AC53" i="6"/>
  <c r="AD53" i="6"/>
  <c r="AE53" i="6"/>
  <c r="AF53" i="6"/>
  <c r="AG53" i="6"/>
  <c r="AH53" i="6"/>
  <c r="R54" i="6"/>
  <c r="S54" i="6"/>
  <c r="T54" i="6"/>
  <c r="U54" i="6"/>
  <c r="V54" i="6"/>
  <c r="W54" i="6"/>
  <c r="X54" i="6"/>
  <c r="Y54" i="6"/>
  <c r="Z54" i="6"/>
  <c r="AA54" i="6"/>
  <c r="AC54" i="6"/>
  <c r="AD54" i="6"/>
  <c r="AE54" i="6"/>
  <c r="AF54" i="6"/>
  <c r="AG54" i="6"/>
  <c r="AH54" i="6"/>
  <c r="R55" i="6"/>
  <c r="S55" i="6"/>
  <c r="T55" i="6"/>
  <c r="U55" i="6"/>
  <c r="V55" i="6"/>
  <c r="W55" i="6"/>
  <c r="X55" i="6"/>
  <c r="Y55" i="6"/>
  <c r="Z55" i="6"/>
  <c r="AA55" i="6"/>
  <c r="AC55" i="6"/>
  <c r="AD55" i="6"/>
  <c r="AE55" i="6"/>
  <c r="AF55" i="6"/>
  <c r="AG55" i="6"/>
  <c r="AH55" i="6"/>
  <c r="R56" i="6"/>
  <c r="S56" i="6"/>
  <c r="T56" i="6"/>
  <c r="U56" i="6"/>
  <c r="V56" i="6"/>
  <c r="W56" i="6"/>
  <c r="X56" i="6"/>
  <c r="Y56" i="6"/>
  <c r="Z56" i="6"/>
  <c r="AA56" i="6"/>
  <c r="AC56" i="6"/>
  <c r="AD56" i="6"/>
  <c r="AE56" i="6"/>
  <c r="AF56" i="6"/>
  <c r="AG56" i="6"/>
  <c r="AH56" i="6"/>
  <c r="R57" i="6"/>
  <c r="S57" i="6"/>
  <c r="T57" i="6"/>
  <c r="U57" i="6"/>
  <c r="V57" i="6"/>
  <c r="W57" i="6"/>
  <c r="X57" i="6"/>
  <c r="Y57" i="6"/>
  <c r="Z57" i="6"/>
  <c r="AA57" i="6"/>
  <c r="AC57" i="6"/>
  <c r="AD57" i="6"/>
  <c r="AE57" i="6"/>
  <c r="AF57" i="6"/>
  <c r="AG57" i="6"/>
  <c r="AH57" i="6"/>
  <c r="R58" i="6"/>
  <c r="S58" i="6"/>
  <c r="T58" i="6"/>
  <c r="U58" i="6"/>
  <c r="V58" i="6"/>
  <c r="W58" i="6"/>
  <c r="X58" i="6"/>
  <c r="Y58" i="6"/>
  <c r="Z58" i="6"/>
  <c r="AA58" i="6"/>
  <c r="AC58" i="6"/>
  <c r="AD58" i="6"/>
  <c r="AE58" i="6"/>
  <c r="AF58" i="6"/>
  <c r="AG58" i="6"/>
  <c r="AH58" i="6"/>
  <c r="R59" i="6"/>
  <c r="S59" i="6"/>
  <c r="T59" i="6"/>
  <c r="U59" i="6"/>
  <c r="V59" i="6"/>
  <c r="W59" i="6"/>
  <c r="X59" i="6"/>
  <c r="Y59" i="6"/>
  <c r="Z59" i="6"/>
  <c r="AA59" i="6"/>
  <c r="AC59" i="6"/>
  <c r="AD59" i="6"/>
  <c r="AE59" i="6"/>
  <c r="AF59" i="6"/>
  <c r="AG59" i="6"/>
  <c r="AH59" i="6"/>
  <c r="R60" i="6"/>
  <c r="S60" i="6"/>
  <c r="T60" i="6"/>
  <c r="U60" i="6"/>
  <c r="V60" i="6"/>
  <c r="W60" i="6"/>
  <c r="X60" i="6"/>
  <c r="Y60" i="6"/>
  <c r="Z60" i="6"/>
  <c r="AA60" i="6"/>
  <c r="AC60" i="6"/>
  <c r="AD60" i="6"/>
  <c r="AE60" i="6"/>
  <c r="AF60" i="6"/>
  <c r="AG60" i="6"/>
  <c r="AH60" i="6"/>
  <c r="R61" i="6"/>
  <c r="S61" i="6"/>
  <c r="T61" i="6"/>
  <c r="U61" i="6"/>
  <c r="V61" i="6"/>
  <c r="W61" i="6"/>
  <c r="X61" i="6"/>
  <c r="Y61" i="6"/>
  <c r="Z61" i="6"/>
  <c r="AA61" i="6"/>
  <c r="AC61" i="6"/>
  <c r="AD61" i="6"/>
  <c r="AE61" i="6"/>
  <c r="AF61" i="6"/>
  <c r="AG61" i="6"/>
  <c r="AH61" i="6"/>
  <c r="R62" i="6"/>
  <c r="S62" i="6"/>
  <c r="T62" i="6"/>
  <c r="U62" i="6"/>
  <c r="V62" i="6"/>
  <c r="W62" i="6"/>
  <c r="X62" i="6"/>
  <c r="Y62" i="6"/>
  <c r="Z62" i="6"/>
  <c r="AA62" i="6"/>
  <c r="AC62" i="6"/>
  <c r="AD62" i="6"/>
  <c r="AE62" i="6"/>
  <c r="AF62" i="6"/>
  <c r="AG62" i="6"/>
  <c r="AH62" i="6"/>
  <c r="R63" i="6"/>
  <c r="S63" i="6"/>
  <c r="T63" i="6"/>
  <c r="U63" i="6"/>
  <c r="V63" i="6"/>
  <c r="W63" i="6"/>
  <c r="X63" i="6"/>
  <c r="Y63" i="6"/>
  <c r="Z63" i="6"/>
  <c r="AA63" i="6"/>
  <c r="AC63" i="6"/>
  <c r="AD63" i="6"/>
  <c r="AE63" i="6"/>
  <c r="AF63" i="6"/>
  <c r="AG63" i="6"/>
  <c r="AH63" i="6"/>
  <c r="R64" i="6"/>
  <c r="S64" i="6"/>
  <c r="T64" i="6"/>
  <c r="U64" i="6"/>
  <c r="V64" i="6"/>
  <c r="W64" i="6"/>
  <c r="X64" i="6"/>
  <c r="Y64" i="6"/>
  <c r="Z64" i="6"/>
  <c r="AA64" i="6"/>
  <c r="AC64" i="6"/>
  <c r="AD64" i="6"/>
  <c r="AE64" i="6"/>
  <c r="AF64" i="6"/>
  <c r="AG64" i="6"/>
  <c r="AH64" i="6"/>
  <c r="R65" i="6"/>
  <c r="S65" i="6"/>
  <c r="T65" i="6"/>
  <c r="U65" i="6"/>
  <c r="V65" i="6"/>
  <c r="W65" i="6"/>
  <c r="X65" i="6"/>
  <c r="Y65" i="6"/>
  <c r="Z65" i="6"/>
  <c r="AA65" i="6"/>
  <c r="AC65" i="6"/>
  <c r="AD65" i="6"/>
  <c r="AE65" i="6"/>
  <c r="AF65" i="6"/>
  <c r="AG65" i="6"/>
  <c r="AH65" i="6"/>
  <c r="R66" i="6"/>
  <c r="S66" i="6"/>
  <c r="T66" i="6"/>
  <c r="U66" i="6"/>
  <c r="V66" i="6"/>
  <c r="W66" i="6"/>
  <c r="X66" i="6"/>
  <c r="Y66" i="6"/>
  <c r="Z66" i="6"/>
  <c r="AA66" i="6"/>
  <c r="AC66" i="6"/>
  <c r="AD66" i="6"/>
  <c r="AE66" i="6"/>
  <c r="AF66" i="6"/>
  <c r="AG66" i="6"/>
  <c r="AH66" i="6"/>
  <c r="R67" i="6"/>
  <c r="S67" i="6"/>
  <c r="T67" i="6"/>
  <c r="U67" i="6"/>
  <c r="V67" i="6"/>
  <c r="W67" i="6"/>
  <c r="X67" i="6"/>
  <c r="Y67" i="6"/>
  <c r="Z67" i="6"/>
  <c r="AA67" i="6"/>
  <c r="AC67" i="6"/>
  <c r="AD67" i="6"/>
  <c r="AE67" i="6"/>
  <c r="AF67" i="6"/>
  <c r="AG67" i="6"/>
  <c r="AH67" i="6"/>
  <c r="R68" i="6"/>
  <c r="S68" i="6"/>
  <c r="T68" i="6"/>
  <c r="U68" i="6"/>
  <c r="V68" i="6"/>
  <c r="W68" i="6"/>
  <c r="X68" i="6"/>
  <c r="Y68" i="6"/>
  <c r="Z68" i="6"/>
  <c r="AA68" i="6"/>
  <c r="AC68" i="6"/>
  <c r="AD68" i="6"/>
  <c r="AE68" i="6"/>
  <c r="AF68" i="6"/>
  <c r="AG68" i="6"/>
  <c r="AH68" i="6"/>
  <c r="R69" i="6"/>
  <c r="S69" i="6"/>
  <c r="T69" i="6"/>
  <c r="U69" i="6"/>
  <c r="V69" i="6"/>
  <c r="W69" i="6"/>
  <c r="X69" i="6"/>
  <c r="Y69" i="6"/>
  <c r="Z69" i="6"/>
  <c r="AA69" i="6"/>
  <c r="AC69" i="6"/>
  <c r="AD69" i="6"/>
  <c r="AE69" i="6"/>
  <c r="AF69" i="6"/>
  <c r="AG69" i="6"/>
  <c r="AH69" i="6"/>
  <c r="R70" i="6"/>
  <c r="S70" i="6"/>
  <c r="T70" i="6"/>
  <c r="U70" i="6"/>
  <c r="V70" i="6"/>
  <c r="W70" i="6"/>
  <c r="X70" i="6"/>
  <c r="Y70" i="6"/>
  <c r="Z70" i="6"/>
  <c r="AA70" i="6"/>
  <c r="AC70" i="6"/>
  <c r="AD70" i="6"/>
  <c r="AE70" i="6"/>
  <c r="AF70" i="6"/>
  <c r="AG70" i="6"/>
  <c r="AH70" i="6"/>
  <c r="R71" i="6"/>
  <c r="S71" i="6"/>
  <c r="T71" i="6"/>
  <c r="U71" i="6"/>
  <c r="V71" i="6"/>
  <c r="W71" i="6"/>
  <c r="X71" i="6"/>
  <c r="Y71" i="6"/>
  <c r="Z71" i="6"/>
  <c r="AA71" i="6"/>
  <c r="AC71" i="6"/>
  <c r="AD71" i="6"/>
  <c r="AE71" i="6"/>
  <c r="AF71" i="6"/>
  <c r="AG71" i="6"/>
  <c r="AH71" i="6"/>
  <c r="R72" i="6"/>
  <c r="S72" i="6"/>
  <c r="T72" i="6"/>
  <c r="U72" i="6"/>
  <c r="V72" i="6"/>
  <c r="W72" i="6"/>
  <c r="X72" i="6"/>
  <c r="Y72" i="6"/>
  <c r="Z72" i="6"/>
  <c r="AA72" i="6"/>
  <c r="AC72" i="6"/>
  <c r="AD72" i="6"/>
  <c r="AE72" i="6"/>
  <c r="AF72" i="6"/>
  <c r="AG72" i="6"/>
  <c r="AH72" i="6"/>
  <c r="R73" i="6"/>
  <c r="S73" i="6"/>
  <c r="T73" i="6"/>
  <c r="U73" i="6"/>
  <c r="V73" i="6"/>
  <c r="W73" i="6"/>
  <c r="X73" i="6"/>
  <c r="Y73" i="6"/>
  <c r="Z73" i="6"/>
  <c r="AA73" i="6"/>
  <c r="AC73" i="6"/>
  <c r="AD73" i="6"/>
  <c r="AE73" i="6"/>
  <c r="AF73" i="6"/>
  <c r="AG73" i="6"/>
  <c r="AH73" i="6"/>
  <c r="R74" i="6"/>
  <c r="S74" i="6"/>
  <c r="T74" i="6"/>
  <c r="U74" i="6"/>
  <c r="V74" i="6"/>
  <c r="W74" i="6"/>
  <c r="X74" i="6"/>
  <c r="Y74" i="6"/>
  <c r="Z74" i="6"/>
  <c r="AA74" i="6"/>
  <c r="AC74" i="6"/>
  <c r="AD74" i="6"/>
  <c r="AE74" i="6"/>
  <c r="AF74" i="6"/>
  <c r="AG74" i="6"/>
  <c r="AH74" i="6"/>
  <c r="R75" i="6"/>
  <c r="S75" i="6"/>
  <c r="T75" i="6"/>
  <c r="U75" i="6"/>
  <c r="V75" i="6"/>
  <c r="W75" i="6"/>
  <c r="X75" i="6"/>
  <c r="Y75" i="6"/>
  <c r="Z75" i="6"/>
  <c r="AA75" i="6"/>
  <c r="AC75" i="6"/>
  <c r="AD75" i="6"/>
  <c r="AE75" i="6"/>
  <c r="AF75" i="6"/>
  <c r="AG75" i="6"/>
  <c r="AH75" i="6"/>
  <c r="R76" i="6"/>
  <c r="S76" i="6"/>
  <c r="T76" i="6"/>
  <c r="U76" i="6"/>
  <c r="V76" i="6"/>
  <c r="W76" i="6"/>
  <c r="X76" i="6"/>
  <c r="Y76" i="6"/>
  <c r="Z76" i="6"/>
  <c r="AA76" i="6"/>
  <c r="AC76" i="6"/>
  <c r="AD76" i="6"/>
  <c r="AE76" i="6"/>
  <c r="AF76" i="6"/>
  <c r="AG76" i="6"/>
  <c r="AH76" i="6"/>
  <c r="R77" i="6"/>
  <c r="S77" i="6"/>
  <c r="T77" i="6"/>
  <c r="U77" i="6"/>
  <c r="V77" i="6"/>
  <c r="W77" i="6"/>
  <c r="X77" i="6"/>
  <c r="Y77" i="6"/>
  <c r="Z77" i="6"/>
  <c r="AA77" i="6"/>
  <c r="AC77" i="6"/>
  <c r="AD77" i="6"/>
  <c r="AE77" i="6"/>
  <c r="AF77" i="6"/>
  <c r="AG77" i="6"/>
  <c r="AH77" i="6"/>
  <c r="R78" i="6"/>
  <c r="S78" i="6"/>
  <c r="T78" i="6"/>
  <c r="U78" i="6"/>
  <c r="V78" i="6"/>
  <c r="W78" i="6"/>
  <c r="X78" i="6"/>
  <c r="Y78" i="6"/>
  <c r="Z78" i="6"/>
  <c r="AA78" i="6"/>
  <c r="AC78" i="6"/>
  <c r="AD78" i="6"/>
  <c r="AE78" i="6"/>
  <c r="AF78" i="6"/>
  <c r="AG78" i="6"/>
  <c r="AH78" i="6"/>
  <c r="R79" i="6"/>
  <c r="S79" i="6"/>
  <c r="T79" i="6"/>
  <c r="U79" i="6"/>
  <c r="V79" i="6"/>
  <c r="W79" i="6"/>
  <c r="X79" i="6"/>
  <c r="Y79" i="6"/>
  <c r="Z79" i="6"/>
  <c r="AA79" i="6"/>
  <c r="AC79" i="6"/>
  <c r="AD79" i="6"/>
  <c r="AE79" i="6"/>
  <c r="AF79" i="6"/>
  <c r="AG79" i="6"/>
  <c r="AH79" i="6"/>
  <c r="R80" i="6"/>
  <c r="S80" i="6"/>
  <c r="T80" i="6"/>
  <c r="U80" i="6"/>
  <c r="V80" i="6"/>
  <c r="W80" i="6"/>
  <c r="X80" i="6"/>
  <c r="Y80" i="6"/>
  <c r="Z80" i="6"/>
  <c r="AA80" i="6"/>
  <c r="AC80" i="6"/>
  <c r="AD80" i="6"/>
  <c r="AE80" i="6"/>
  <c r="AF80" i="6"/>
  <c r="AG80" i="6"/>
  <c r="AH80" i="6"/>
  <c r="R81" i="6"/>
  <c r="S81" i="6"/>
  <c r="T81" i="6"/>
  <c r="U81" i="6"/>
  <c r="V81" i="6"/>
  <c r="W81" i="6"/>
  <c r="X81" i="6"/>
  <c r="Y81" i="6"/>
  <c r="Z81" i="6"/>
  <c r="AA81" i="6"/>
  <c r="AC81" i="6"/>
  <c r="AD81" i="6"/>
  <c r="AE81" i="6"/>
  <c r="AF81" i="6"/>
  <c r="AG81" i="6"/>
  <c r="AH81" i="6"/>
  <c r="R82" i="6"/>
  <c r="S82" i="6"/>
  <c r="T82" i="6"/>
  <c r="U82" i="6"/>
  <c r="V82" i="6"/>
  <c r="W82" i="6"/>
  <c r="X82" i="6"/>
  <c r="Y82" i="6"/>
  <c r="Z82" i="6"/>
  <c r="AA82" i="6"/>
  <c r="AC82" i="6"/>
  <c r="AD82" i="6"/>
  <c r="AE82" i="6"/>
  <c r="AF82" i="6"/>
  <c r="AG82" i="6"/>
  <c r="AH82" i="6"/>
  <c r="R83" i="6"/>
  <c r="S83" i="6"/>
  <c r="T83" i="6"/>
  <c r="U83" i="6"/>
  <c r="V83" i="6"/>
  <c r="W83" i="6"/>
  <c r="X83" i="6"/>
  <c r="Y83" i="6"/>
  <c r="Z83" i="6"/>
  <c r="AA83" i="6"/>
  <c r="AC83" i="6"/>
  <c r="AD83" i="6"/>
  <c r="AE83" i="6"/>
  <c r="AF83" i="6"/>
  <c r="AG83" i="6"/>
  <c r="AH83" i="6"/>
  <c r="R84" i="6"/>
  <c r="S84" i="6"/>
  <c r="T84" i="6"/>
  <c r="U84" i="6"/>
  <c r="V84" i="6"/>
  <c r="W84" i="6"/>
  <c r="X84" i="6"/>
  <c r="Y84" i="6"/>
  <c r="Z84" i="6"/>
  <c r="AA84" i="6"/>
  <c r="AC84" i="6"/>
  <c r="AD84" i="6"/>
  <c r="AE84" i="6"/>
  <c r="AF84" i="6"/>
  <c r="AG84" i="6"/>
  <c r="AH84" i="6"/>
  <c r="R85" i="6"/>
  <c r="S85" i="6"/>
  <c r="T85" i="6"/>
  <c r="U85" i="6"/>
  <c r="V85" i="6"/>
  <c r="W85" i="6"/>
  <c r="X85" i="6"/>
  <c r="Y85" i="6"/>
  <c r="Z85" i="6"/>
  <c r="AA85" i="6"/>
  <c r="AC85" i="6"/>
  <c r="AD85" i="6"/>
  <c r="AE85" i="6"/>
  <c r="AF85" i="6"/>
  <c r="AG85" i="6"/>
  <c r="AH85" i="6"/>
  <c r="R86" i="6"/>
  <c r="S86" i="6"/>
  <c r="T86" i="6"/>
  <c r="U86" i="6"/>
  <c r="V86" i="6"/>
  <c r="W86" i="6"/>
  <c r="X86" i="6"/>
  <c r="Y86" i="6"/>
  <c r="Z86" i="6"/>
  <c r="AA86" i="6"/>
  <c r="AC86" i="6"/>
  <c r="AD86" i="6"/>
  <c r="AE86" i="6"/>
  <c r="AF86" i="6"/>
  <c r="AG86" i="6"/>
  <c r="AH86" i="6"/>
  <c r="R87" i="6"/>
  <c r="S87" i="6"/>
  <c r="T87" i="6"/>
  <c r="U87" i="6"/>
  <c r="V87" i="6"/>
  <c r="W87" i="6"/>
  <c r="X87" i="6"/>
  <c r="Y87" i="6"/>
  <c r="Z87" i="6"/>
  <c r="AA87" i="6"/>
  <c r="AC87" i="6"/>
  <c r="AD87" i="6"/>
  <c r="AE87" i="6"/>
  <c r="AF87" i="6"/>
  <c r="AG87" i="6"/>
  <c r="AH87" i="6"/>
  <c r="R88" i="6"/>
  <c r="S88" i="6"/>
  <c r="T88" i="6"/>
  <c r="U88" i="6"/>
  <c r="V88" i="6"/>
  <c r="W88" i="6"/>
  <c r="X88" i="6"/>
  <c r="Y88" i="6"/>
  <c r="Z88" i="6"/>
  <c r="AA88" i="6"/>
  <c r="AC88" i="6"/>
  <c r="AD88" i="6"/>
  <c r="AE88" i="6"/>
  <c r="AF88" i="6"/>
  <c r="AG88" i="6"/>
  <c r="AH88" i="6"/>
  <c r="R89" i="6"/>
  <c r="S89" i="6"/>
  <c r="T89" i="6"/>
  <c r="U89" i="6"/>
  <c r="V89" i="6"/>
  <c r="W89" i="6"/>
  <c r="X89" i="6"/>
  <c r="Y89" i="6"/>
  <c r="Z89" i="6"/>
  <c r="AA89" i="6"/>
  <c r="AC89" i="6"/>
  <c r="AD89" i="6"/>
  <c r="AE89" i="6"/>
  <c r="AF89" i="6"/>
  <c r="AG89" i="6"/>
  <c r="AH89" i="6"/>
  <c r="R90" i="6"/>
  <c r="S90" i="6"/>
  <c r="T90" i="6"/>
  <c r="U90" i="6"/>
  <c r="V90" i="6"/>
  <c r="W90" i="6"/>
  <c r="X90" i="6"/>
  <c r="Y90" i="6"/>
  <c r="Z90" i="6"/>
  <c r="AA90" i="6"/>
  <c r="AC90" i="6"/>
  <c r="AD90" i="6"/>
  <c r="AE90" i="6"/>
  <c r="AF90" i="6"/>
  <c r="AG90" i="6"/>
  <c r="AH90" i="6"/>
  <c r="R91" i="6"/>
  <c r="S91" i="6"/>
  <c r="T91" i="6"/>
  <c r="U91" i="6"/>
  <c r="V91" i="6"/>
  <c r="W91" i="6"/>
  <c r="X91" i="6"/>
  <c r="Y91" i="6"/>
  <c r="Z91" i="6"/>
  <c r="AA91" i="6"/>
  <c r="AC91" i="6"/>
  <c r="AD91" i="6"/>
  <c r="AE91" i="6"/>
  <c r="AF91" i="6"/>
  <c r="AG91" i="6"/>
  <c r="AH91" i="6"/>
  <c r="R92" i="6"/>
  <c r="S92" i="6"/>
  <c r="T92" i="6"/>
  <c r="U92" i="6"/>
  <c r="V92" i="6"/>
  <c r="W92" i="6"/>
  <c r="X92" i="6"/>
  <c r="Y92" i="6"/>
  <c r="Z92" i="6"/>
  <c r="AA92" i="6"/>
  <c r="AC92" i="6"/>
  <c r="AD92" i="6"/>
  <c r="AE92" i="6"/>
  <c r="AF92" i="6"/>
  <c r="AG92" i="6"/>
  <c r="AH92" i="6"/>
  <c r="R93" i="6"/>
  <c r="S93" i="6"/>
  <c r="T93" i="6"/>
  <c r="U93" i="6"/>
  <c r="V93" i="6"/>
  <c r="W93" i="6"/>
  <c r="X93" i="6"/>
  <c r="Y93" i="6"/>
  <c r="Z93" i="6"/>
  <c r="AA93" i="6"/>
  <c r="AC93" i="6"/>
  <c r="AD93" i="6"/>
  <c r="AE93" i="6"/>
  <c r="AF93" i="6"/>
  <c r="AG93" i="6"/>
  <c r="AH93" i="6"/>
  <c r="R94" i="6"/>
  <c r="S94" i="6"/>
  <c r="T94" i="6"/>
  <c r="U94" i="6"/>
  <c r="V94" i="6"/>
  <c r="W94" i="6"/>
  <c r="X94" i="6"/>
  <c r="Y94" i="6"/>
  <c r="Z94" i="6"/>
  <c r="AA94" i="6"/>
  <c r="AC94" i="6"/>
  <c r="AD94" i="6"/>
  <c r="AE94" i="6"/>
  <c r="AF94" i="6"/>
  <c r="AG94" i="6"/>
  <c r="AH94" i="6"/>
  <c r="R95" i="6"/>
  <c r="S95" i="6"/>
  <c r="T95" i="6"/>
  <c r="U95" i="6"/>
  <c r="V95" i="6"/>
  <c r="W95" i="6"/>
  <c r="X95" i="6"/>
  <c r="Y95" i="6"/>
  <c r="Z95" i="6"/>
  <c r="AA95" i="6"/>
  <c r="AC95" i="6"/>
  <c r="AD95" i="6"/>
  <c r="AE95" i="6"/>
  <c r="AF95" i="6"/>
  <c r="AG95" i="6"/>
  <c r="AH95" i="6"/>
  <c r="R96" i="6"/>
  <c r="S96" i="6"/>
  <c r="T96" i="6"/>
  <c r="U96" i="6"/>
  <c r="V96" i="6"/>
  <c r="W96" i="6"/>
  <c r="X96" i="6"/>
  <c r="Y96" i="6"/>
  <c r="Z96" i="6"/>
  <c r="AA96" i="6"/>
  <c r="AC96" i="6"/>
  <c r="AD96" i="6"/>
  <c r="AE96" i="6"/>
  <c r="AF96" i="6"/>
  <c r="AG96" i="6"/>
  <c r="AH96" i="6"/>
  <c r="R97" i="6"/>
  <c r="S97" i="6"/>
  <c r="T97" i="6"/>
  <c r="U97" i="6"/>
  <c r="V97" i="6"/>
  <c r="W97" i="6"/>
  <c r="X97" i="6"/>
  <c r="Y97" i="6"/>
  <c r="Z97" i="6"/>
  <c r="AA97" i="6"/>
  <c r="AC97" i="6"/>
  <c r="AD97" i="6"/>
  <c r="AE97" i="6"/>
  <c r="AF97" i="6"/>
  <c r="AG97" i="6"/>
  <c r="AH97" i="6"/>
  <c r="R98" i="6"/>
  <c r="S98" i="6"/>
  <c r="T98" i="6"/>
  <c r="U98" i="6"/>
  <c r="V98" i="6"/>
  <c r="W98" i="6"/>
  <c r="X98" i="6"/>
  <c r="Y98" i="6"/>
  <c r="Z98" i="6"/>
  <c r="AA98" i="6"/>
  <c r="AC98" i="6"/>
  <c r="AD98" i="6"/>
  <c r="AE98" i="6"/>
  <c r="AF98" i="6"/>
  <c r="AG98" i="6"/>
  <c r="AH98" i="6"/>
  <c r="R99" i="6"/>
  <c r="S99" i="6"/>
  <c r="T99" i="6"/>
  <c r="U99" i="6"/>
  <c r="V99" i="6"/>
  <c r="W99" i="6"/>
  <c r="X99" i="6"/>
  <c r="Y99" i="6"/>
  <c r="Z99" i="6"/>
  <c r="AA99" i="6"/>
  <c r="AC99" i="6"/>
  <c r="AD99" i="6"/>
  <c r="AE99" i="6"/>
  <c r="AF99" i="6"/>
  <c r="AG99" i="6"/>
  <c r="AH99" i="6"/>
  <c r="R100" i="6"/>
  <c r="S100" i="6"/>
  <c r="T100" i="6"/>
  <c r="U100" i="6"/>
  <c r="V100" i="6"/>
  <c r="W100" i="6"/>
  <c r="X100" i="6"/>
  <c r="Y100" i="6"/>
  <c r="Z100" i="6"/>
  <c r="AA100" i="6"/>
  <c r="AC100" i="6"/>
  <c r="AD100" i="6"/>
  <c r="AE100" i="6"/>
  <c r="AF100" i="6"/>
  <c r="AG100" i="6"/>
  <c r="AH100" i="6"/>
  <c r="R101" i="6"/>
  <c r="S101" i="6"/>
  <c r="T101" i="6"/>
  <c r="U101" i="6"/>
  <c r="V101" i="6"/>
  <c r="W101" i="6"/>
  <c r="X101" i="6"/>
  <c r="Y101" i="6"/>
  <c r="Z101" i="6"/>
  <c r="AA101" i="6"/>
  <c r="AC101" i="6"/>
  <c r="AD101" i="6"/>
  <c r="AE101" i="6"/>
  <c r="AF101" i="6"/>
  <c r="AG101" i="6"/>
  <c r="AH101" i="6"/>
  <c r="R102" i="6"/>
  <c r="S102" i="6"/>
  <c r="T102" i="6"/>
  <c r="U102" i="6"/>
  <c r="V102" i="6"/>
  <c r="W102" i="6"/>
  <c r="X102" i="6"/>
  <c r="Y102" i="6"/>
  <c r="Z102" i="6"/>
  <c r="AA102" i="6"/>
  <c r="AC102" i="6"/>
  <c r="AD102" i="6"/>
  <c r="AE102" i="6"/>
  <c r="AF102" i="6"/>
  <c r="AG102" i="6"/>
  <c r="AH102" i="6"/>
  <c r="R103" i="6"/>
  <c r="S103" i="6"/>
  <c r="T103" i="6"/>
  <c r="U103" i="6"/>
  <c r="V103" i="6"/>
  <c r="W103" i="6"/>
  <c r="X103" i="6"/>
  <c r="Y103" i="6"/>
  <c r="Z103" i="6"/>
  <c r="AA103" i="6"/>
  <c r="AC103" i="6"/>
  <c r="AD103" i="6"/>
  <c r="AE103" i="6"/>
  <c r="AF103" i="6"/>
  <c r="AG103" i="6"/>
  <c r="AH103" i="6"/>
  <c r="R104" i="6"/>
  <c r="S104" i="6"/>
  <c r="T104" i="6"/>
  <c r="U104" i="6"/>
  <c r="V104" i="6"/>
  <c r="W104" i="6"/>
  <c r="X104" i="6"/>
  <c r="Y104" i="6"/>
  <c r="Z104" i="6"/>
  <c r="AA104" i="6"/>
  <c r="AC104" i="6"/>
  <c r="AD104" i="6"/>
  <c r="AE104" i="6"/>
  <c r="AF104" i="6"/>
  <c r="AG104" i="6"/>
  <c r="AH104" i="6"/>
  <c r="R105" i="6"/>
  <c r="S105" i="6"/>
  <c r="T105" i="6"/>
  <c r="U105" i="6"/>
  <c r="V105" i="6"/>
  <c r="W105" i="6"/>
  <c r="X105" i="6"/>
  <c r="Y105" i="6"/>
  <c r="Z105" i="6"/>
  <c r="AA105" i="6"/>
  <c r="AC105" i="6"/>
  <c r="AD105" i="6"/>
  <c r="AE105" i="6"/>
  <c r="AF105" i="6"/>
  <c r="AG105" i="6"/>
  <c r="AH105" i="6"/>
  <c r="R106" i="6"/>
  <c r="S106" i="6"/>
  <c r="T106" i="6"/>
  <c r="U106" i="6"/>
  <c r="V106" i="6"/>
  <c r="W106" i="6"/>
  <c r="X106" i="6"/>
  <c r="Y106" i="6"/>
  <c r="Z106" i="6"/>
  <c r="AA106" i="6"/>
  <c r="AC106" i="6"/>
  <c r="AD106" i="6"/>
  <c r="AE106" i="6"/>
  <c r="AF106" i="6"/>
  <c r="AG106" i="6"/>
  <c r="AH106" i="6"/>
  <c r="R107" i="6"/>
  <c r="S107" i="6"/>
  <c r="T107" i="6"/>
  <c r="U107" i="6"/>
  <c r="V107" i="6"/>
  <c r="W107" i="6"/>
  <c r="X107" i="6"/>
  <c r="Y107" i="6"/>
  <c r="Z107" i="6"/>
  <c r="AA107" i="6"/>
  <c r="AC107" i="6"/>
  <c r="AD107" i="6"/>
  <c r="AE107" i="6"/>
  <c r="AF107" i="6"/>
  <c r="AG107" i="6"/>
  <c r="AH107" i="6"/>
  <c r="R108" i="6"/>
  <c r="S108" i="6"/>
  <c r="T108" i="6"/>
  <c r="U108" i="6"/>
  <c r="V108" i="6"/>
  <c r="W108" i="6"/>
  <c r="X108" i="6"/>
  <c r="Y108" i="6"/>
  <c r="Z108" i="6"/>
  <c r="AA108" i="6"/>
  <c r="AC108" i="6"/>
  <c r="AD108" i="6"/>
  <c r="AE108" i="6"/>
  <c r="AF108" i="6"/>
  <c r="AG108" i="6"/>
  <c r="AH108" i="6"/>
  <c r="R109" i="6"/>
  <c r="S109" i="6"/>
  <c r="T109" i="6"/>
  <c r="U109" i="6"/>
  <c r="V109" i="6"/>
  <c r="W109" i="6"/>
  <c r="X109" i="6"/>
  <c r="Y109" i="6"/>
  <c r="Z109" i="6"/>
  <c r="AA109" i="6"/>
  <c r="AC109" i="6"/>
  <c r="AD109" i="6"/>
  <c r="AE109" i="6"/>
  <c r="AF109" i="6"/>
  <c r="AG109" i="6"/>
  <c r="AH109" i="6"/>
  <c r="R110" i="6"/>
  <c r="S110" i="6"/>
  <c r="T110" i="6"/>
  <c r="U110" i="6"/>
  <c r="V110" i="6"/>
  <c r="W110" i="6"/>
  <c r="X110" i="6"/>
  <c r="Y110" i="6"/>
  <c r="Z110" i="6"/>
  <c r="AA110" i="6"/>
  <c r="AC110" i="6"/>
  <c r="AD110" i="6"/>
  <c r="AE110" i="6"/>
  <c r="AF110" i="6"/>
  <c r="AG110" i="6"/>
  <c r="AH110" i="6"/>
  <c r="R111" i="6"/>
  <c r="S111" i="6"/>
  <c r="T111" i="6"/>
  <c r="U111" i="6"/>
  <c r="V111" i="6"/>
  <c r="W111" i="6"/>
  <c r="X111" i="6"/>
  <c r="Y111" i="6"/>
  <c r="Z111" i="6"/>
  <c r="AA111" i="6"/>
  <c r="AC111" i="6"/>
  <c r="AD111" i="6"/>
  <c r="AE111" i="6"/>
  <c r="AF111" i="6"/>
  <c r="AG111" i="6"/>
  <c r="AH111" i="6"/>
  <c r="R112" i="6"/>
  <c r="S112" i="6"/>
  <c r="T112" i="6"/>
  <c r="U112" i="6"/>
  <c r="V112" i="6"/>
  <c r="W112" i="6"/>
  <c r="X112" i="6"/>
  <c r="Y112" i="6"/>
  <c r="Z112" i="6"/>
  <c r="AA112" i="6"/>
  <c r="AC112" i="6"/>
  <c r="AD112" i="6"/>
  <c r="AE112" i="6"/>
  <c r="AF112" i="6"/>
  <c r="AG112" i="6"/>
  <c r="AH112" i="6"/>
  <c r="R113" i="6"/>
  <c r="S113" i="6"/>
  <c r="T113" i="6"/>
  <c r="U113" i="6"/>
  <c r="V113" i="6"/>
  <c r="W113" i="6"/>
  <c r="X113" i="6"/>
  <c r="Y113" i="6"/>
  <c r="Z113" i="6"/>
  <c r="AA113" i="6"/>
  <c r="AC113" i="6"/>
  <c r="AD113" i="6"/>
  <c r="AE113" i="6"/>
  <c r="AF113" i="6"/>
  <c r="AG113" i="6"/>
  <c r="AH113" i="6"/>
  <c r="R114" i="6"/>
  <c r="S114" i="6"/>
  <c r="T114" i="6"/>
  <c r="U114" i="6"/>
  <c r="V114" i="6"/>
  <c r="W114" i="6"/>
  <c r="X114" i="6"/>
  <c r="Y114" i="6"/>
  <c r="Z114" i="6"/>
  <c r="AA114" i="6"/>
  <c r="AC114" i="6"/>
  <c r="AD114" i="6"/>
  <c r="AE114" i="6"/>
  <c r="AF114" i="6"/>
  <c r="AG114" i="6"/>
  <c r="AH114" i="6"/>
  <c r="R115" i="6"/>
  <c r="S115" i="6"/>
  <c r="T115" i="6"/>
  <c r="U115" i="6"/>
  <c r="V115" i="6"/>
  <c r="W115" i="6"/>
  <c r="X115" i="6"/>
  <c r="Y115" i="6"/>
  <c r="Z115" i="6"/>
  <c r="AA115" i="6"/>
  <c r="AC115" i="6"/>
  <c r="AD115" i="6"/>
  <c r="AE115" i="6"/>
  <c r="AF115" i="6"/>
  <c r="AG115" i="6"/>
  <c r="AH115" i="6"/>
  <c r="R116" i="6"/>
  <c r="S116" i="6"/>
  <c r="T116" i="6"/>
  <c r="U116" i="6"/>
  <c r="V116" i="6"/>
  <c r="W116" i="6"/>
  <c r="X116" i="6"/>
  <c r="Y116" i="6"/>
  <c r="Z116" i="6"/>
  <c r="AA116" i="6"/>
  <c r="AC116" i="6"/>
  <c r="AD116" i="6"/>
  <c r="AE116" i="6"/>
  <c r="AF116" i="6"/>
  <c r="AG116" i="6"/>
  <c r="AH116" i="6"/>
  <c r="R117" i="6"/>
  <c r="S117" i="6"/>
  <c r="T117" i="6"/>
  <c r="U117" i="6"/>
  <c r="V117" i="6"/>
  <c r="W117" i="6"/>
  <c r="X117" i="6"/>
  <c r="Y117" i="6"/>
  <c r="Z117" i="6"/>
  <c r="AA117" i="6"/>
  <c r="AC117" i="6"/>
  <c r="AD117" i="6"/>
  <c r="AE117" i="6"/>
  <c r="AF117" i="6"/>
  <c r="AG117" i="6"/>
  <c r="AH117" i="6"/>
  <c r="R118" i="6"/>
  <c r="S118" i="6"/>
  <c r="T118" i="6"/>
  <c r="U118" i="6"/>
  <c r="V118" i="6"/>
  <c r="W118" i="6"/>
  <c r="X118" i="6"/>
  <c r="Y118" i="6"/>
  <c r="Z118" i="6"/>
  <c r="AA118" i="6"/>
  <c r="AC118" i="6"/>
  <c r="AD118" i="6"/>
  <c r="AE118" i="6"/>
  <c r="AF118" i="6"/>
  <c r="AG118" i="6"/>
  <c r="AH118" i="6"/>
  <c r="R119" i="6"/>
  <c r="S119" i="6"/>
  <c r="T119" i="6"/>
  <c r="U119" i="6"/>
  <c r="V119" i="6"/>
  <c r="W119" i="6"/>
  <c r="X119" i="6"/>
  <c r="Y119" i="6"/>
  <c r="Z119" i="6"/>
  <c r="AA119" i="6"/>
  <c r="AC119" i="6"/>
  <c r="AD119" i="6"/>
  <c r="AE119" i="6"/>
  <c r="AF119" i="6"/>
  <c r="AG119" i="6"/>
  <c r="AH119" i="6"/>
  <c r="R120" i="6"/>
  <c r="S120" i="6"/>
  <c r="T120" i="6"/>
  <c r="U120" i="6"/>
  <c r="V120" i="6"/>
  <c r="W120" i="6"/>
  <c r="X120" i="6"/>
  <c r="Y120" i="6"/>
  <c r="Z120" i="6"/>
  <c r="AA120" i="6"/>
  <c r="AC120" i="6"/>
  <c r="AD120" i="6"/>
  <c r="AE120" i="6"/>
  <c r="AF120" i="6"/>
  <c r="AG120" i="6"/>
  <c r="AH120" i="6"/>
  <c r="R121" i="6"/>
  <c r="S121" i="6"/>
  <c r="T121" i="6"/>
  <c r="U121" i="6"/>
  <c r="V121" i="6"/>
  <c r="W121" i="6"/>
  <c r="X121" i="6"/>
  <c r="Y121" i="6"/>
  <c r="Z121" i="6"/>
  <c r="AA121" i="6"/>
  <c r="AC121" i="6"/>
  <c r="AD121" i="6"/>
  <c r="AE121" i="6"/>
  <c r="AF121" i="6"/>
  <c r="AG121" i="6"/>
  <c r="AH121" i="6"/>
  <c r="R122" i="6"/>
  <c r="S122" i="6"/>
  <c r="T122" i="6"/>
  <c r="U122" i="6"/>
  <c r="V122" i="6"/>
  <c r="W122" i="6"/>
  <c r="X122" i="6"/>
  <c r="Y122" i="6"/>
  <c r="Z122" i="6"/>
  <c r="AA122" i="6"/>
  <c r="AC122" i="6"/>
  <c r="AD122" i="6"/>
  <c r="AE122" i="6"/>
  <c r="AF122" i="6"/>
  <c r="AG122" i="6"/>
  <c r="AH122" i="6"/>
  <c r="R123" i="6"/>
  <c r="S123" i="6"/>
  <c r="T123" i="6"/>
  <c r="U123" i="6"/>
  <c r="V123" i="6"/>
  <c r="W123" i="6"/>
  <c r="X123" i="6"/>
  <c r="Y123" i="6"/>
  <c r="Z123" i="6"/>
  <c r="AA123" i="6"/>
  <c r="AC123" i="6"/>
  <c r="AD123" i="6"/>
  <c r="AE123" i="6"/>
  <c r="AF123" i="6"/>
  <c r="AG123" i="6"/>
  <c r="AH123" i="6"/>
  <c r="R124" i="6"/>
  <c r="S124" i="6"/>
  <c r="T124" i="6"/>
  <c r="U124" i="6"/>
  <c r="V124" i="6"/>
  <c r="W124" i="6"/>
  <c r="X124" i="6"/>
  <c r="Y124" i="6"/>
  <c r="Z124" i="6"/>
  <c r="AA124" i="6"/>
  <c r="AC124" i="6"/>
  <c r="AD124" i="6"/>
  <c r="AE124" i="6"/>
  <c r="AF124" i="6"/>
  <c r="AG124" i="6"/>
  <c r="AH124" i="6"/>
  <c r="R125" i="6"/>
  <c r="S125" i="6"/>
  <c r="T125" i="6"/>
  <c r="U125" i="6"/>
  <c r="V125" i="6"/>
  <c r="W125" i="6"/>
  <c r="X125" i="6"/>
  <c r="Y125" i="6"/>
  <c r="Z125" i="6"/>
  <c r="AA125" i="6"/>
  <c r="AC125" i="6"/>
  <c r="AD125" i="6"/>
  <c r="AE125" i="6"/>
  <c r="AF125" i="6"/>
  <c r="AG125" i="6"/>
  <c r="AH125" i="6"/>
  <c r="R126" i="6"/>
  <c r="S126" i="6"/>
  <c r="T126" i="6"/>
  <c r="U126" i="6"/>
  <c r="V126" i="6"/>
  <c r="W126" i="6"/>
  <c r="X126" i="6"/>
  <c r="Y126" i="6"/>
  <c r="Z126" i="6"/>
  <c r="AA126" i="6"/>
  <c r="AC126" i="6"/>
  <c r="AD126" i="6"/>
  <c r="AE126" i="6"/>
  <c r="AF126" i="6"/>
  <c r="AG126" i="6"/>
  <c r="AH126" i="6"/>
  <c r="R127" i="6"/>
  <c r="S127" i="6"/>
  <c r="T127" i="6"/>
  <c r="U127" i="6"/>
  <c r="V127" i="6"/>
  <c r="W127" i="6"/>
  <c r="X127" i="6"/>
  <c r="Y127" i="6"/>
  <c r="Z127" i="6"/>
  <c r="AA127" i="6"/>
  <c r="AC127" i="6"/>
  <c r="AD127" i="6"/>
  <c r="AE127" i="6"/>
  <c r="AF127" i="6"/>
  <c r="AG127" i="6"/>
  <c r="AH127" i="6"/>
  <c r="R128" i="6"/>
  <c r="S128" i="6"/>
  <c r="T128" i="6"/>
  <c r="U128" i="6"/>
  <c r="V128" i="6"/>
  <c r="W128" i="6"/>
  <c r="X128" i="6"/>
  <c r="Y128" i="6"/>
  <c r="Z128" i="6"/>
  <c r="AA128" i="6"/>
  <c r="AC128" i="6"/>
  <c r="AD128" i="6"/>
  <c r="AE128" i="6"/>
  <c r="AF128" i="6"/>
  <c r="AG128" i="6"/>
  <c r="AH128" i="6"/>
  <c r="R129" i="6"/>
  <c r="S129" i="6"/>
  <c r="T129" i="6"/>
  <c r="U129" i="6"/>
  <c r="V129" i="6"/>
  <c r="W129" i="6"/>
  <c r="X129" i="6"/>
  <c r="Y129" i="6"/>
  <c r="Z129" i="6"/>
  <c r="AA129" i="6"/>
  <c r="AC129" i="6"/>
  <c r="AD129" i="6"/>
  <c r="AE129" i="6"/>
  <c r="AF129" i="6"/>
  <c r="AG129" i="6"/>
  <c r="AH129" i="6"/>
  <c r="R130" i="6"/>
  <c r="S130" i="6"/>
  <c r="T130" i="6"/>
  <c r="U130" i="6"/>
  <c r="V130" i="6"/>
  <c r="W130" i="6"/>
  <c r="X130" i="6"/>
  <c r="Y130" i="6"/>
  <c r="Z130" i="6"/>
  <c r="AA130" i="6"/>
  <c r="AC130" i="6"/>
  <c r="AD130" i="6"/>
  <c r="AE130" i="6"/>
  <c r="AF130" i="6"/>
  <c r="AG130" i="6"/>
  <c r="AH130" i="6"/>
  <c r="R131" i="6"/>
  <c r="S131" i="6"/>
  <c r="T131" i="6"/>
  <c r="U131" i="6"/>
  <c r="V131" i="6"/>
  <c r="W131" i="6"/>
  <c r="X131" i="6"/>
  <c r="Y131" i="6"/>
  <c r="Z131" i="6"/>
  <c r="AA131" i="6"/>
  <c r="AC131" i="6"/>
  <c r="AD131" i="6"/>
  <c r="AE131" i="6"/>
  <c r="AF131" i="6"/>
  <c r="AG131" i="6"/>
  <c r="AH131" i="6"/>
  <c r="R132" i="6"/>
  <c r="S132" i="6"/>
  <c r="T132" i="6"/>
  <c r="U132" i="6"/>
  <c r="V132" i="6"/>
  <c r="W132" i="6"/>
  <c r="X132" i="6"/>
  <c r="Y132" i="6"/>
  <c r="Z132" i="6"/>
  <c r="AA132" i="6"/>
  <c r="AC132" i="6"/>
  <c r="AD132" i="6"/>
  <c r="AE132" i="6"/>
  <c r="AF132" i="6"/>
  <c r="AG132" i="6"/>
  <c r="AH132" i="6"/>
  <c r="R133" i="6"/>
  <c r="S133" i="6"/>
  <c r="T133" i="6"/>
  <c r="U133" i="6"/>
  <c r="V133" i="6"/>
  <c r="W133" i="6"/>
  <c r="X133" i="6"/>
  <c r="Y133" i="6"/>
  <c r="Z133" i="6"/>
  <c r="AA133" i="6"/>
  <c r="AC133" i="6"/>
  <c r="AD133" i="6"/>
  <c r="AE133" i="6"/>
  <c r="AF133" i="6"/>
  <c r="AG133" i="6"/>
  <c r="AH133" i="6"/>
  <c r="R134" i="6"/>
  <c r="S134" i="6"/>
  <c r="T134" i="6"/>
  <c r="U134" i="6"/>
  <c r="V134" i="6"/>
  <c r="W134" i="6"/>
  <c r="X134" i="6"/>
  <c r="Y134" i="6"/>
  <c r="Z134" i="6"/>
  <c r="AA134" i="6"/>
  <c r="AC134" i="6"/>
  <c r="AD134" i="6"/>
  <c r="AE134" i="6"/>
  <c r="AF134" i="6"/>
  <c r="AG134" i="6"/>
  <c r="AH134" i="6"/>
  <c r="R135" i="6"/>
  <c r="S135" i="6"/>
  <c r="T135" i="6"/>
  <c r="U135" i="6"/>
  <c r="V135" i="6"/>
  <c r="W135" i="6"/>
  <c r="X135" i="6"/>
  <c r="Y135" i="6"/>
  <c r="Z135" i="6"/>
  <c r="AA135" i="6"/>
  <c r="AC135" i="6"/>
  <c r="AD135" i="6"/>
  <c r="AE135" i="6"/>
  <c r="AF135" i="6"/>
  <c r="AG135" i="6"/>
  <c r="AH135" i="6"/>
  <c r="R136" i="6"/>
  <c r="S136" i="6"/>
  <c r="T136" i="6"/>
  <c r="U136" i="6"/>
  <c r="V136" i="6"/>
  <c r="W136" i="6"/>
  <c r="X136" i="6"/>
  <c r="Y136" i="6"/>
  <c r="Z136" i="6"/>
  <c r="AA136" i="6"/>
  <c r="AC136" i="6"/>
  <c r="AD136" i="6"/>
  <c r="AE136" i="6"/>
  <c r="AF136" i="6"/>
  <c r="AG136" i="6"/>
  <c r="AH136" i="6"/>
  <c r="R137" i="6"/>
  <c r="S137" i="6"/>
  <c r="T137" i="6"/>
  <c r="U137" i="6"/>
  <c r="V137" i="6"/>
  <c r="W137" i="6"/>
  <c r="X137" i="6"/>
  <c r="Y137" i="6"/>
  <c r="Z137" i="6"/>
  <c r="AA137" i="6"/>
  <c r="AC137" i="6"/>
  <c r="AD137" i="6"/>
  <c r="AE137" i="6"/>
  <c r="AF137" i="6"/>
  <c r="AG137" i="6"/>
  <c r="AH137" i="6"/>
  <c r="R138" i="6"/>
  <c r="S138" i="6"/>
  <c r="T138" i="6"/>
  <c r="U138" i="6"/>
  <c r="V138" i="6"/>
  <c r="W138" i="6"/>
  <c r="X138" i="6"/>
  <c r="Y138" i="6"/>
  <c r="Z138" i="6"/>
  <c r="AA138" i="6"/>
  <c r="AC138" i="6"/>
  <c r="AD138" i="6"/>
  <c r="AE138" i="6"/>
  <c r="AF138" i="6"/>
  <c r="AG138" i="6"/>
  <c r="AH138" i="6"/>
  <c r="R139" i="6"/>
  <c r="S139" i="6"/>
  <c r="T139" i="6"/>
  <c r="U139" i="6"/>
  <c r="V139" i="6"/>
  <c r="W139" i="6"/>
  <c r="X139" i="6"/>
  <c r="Y139" i="6"/>
  <c r="Z139" i="6"/>
  <c r="AA139" i="6"/>
  <c r="AC139" i="6"/>
  <c r="AD139" i="6"/>
  <c r="AE139" i="6"/>
  <c r="AF139" i="6"/>
  <c r="AG139" i="6"/>
  <c r="AH139" i="6"/>
  <c r="R140" i="6"/>
  <c r="S140" i="6"/>
  <c r="T140" i="6"/>
  <c r="U140" i="6"/>
  <c r="V140" i="6"/>
  <c r="W140" i="6"/>
  <c r="X140" i="6"/>
  <c r="Y140" i="6"/>
  <c r="Z140" i="6"/>
  <c r="AA140" i="6"/>
  <c r="AC140" i="6"/>
  <c r="AD140" i="6"/>
  <c r="AE140" i="6"/>
  <c r="AF140" i="6"/>
  <c r="AG140" i="6"/>
  <c r="AH140" i="6"/>
  <c r="R141" i="6"/>
  <c r="S141" i="6"/>
  <c r="T141" i="6"/>
  <c r="U141" i="6"/>
  <c r="V141" i="6"/>
  <c r="W141" i="6"/>
  <c r="X141" i="6"/>
  <c r="Y141" i="6"/>
  <c r="Z141" i="6"/>
  <c r="AA141" i="6"/>
  <c r="AC141" i="6"/>
  <c r="AD141" i="6"/>
  <c r="AE141" i="6"/>
  <c r="AF141" i="6"/>
  <c r="AG141" i="6"/>
  <c r="AH141" i="6"/>
  <c r="R142" i="6"/>
  <c r="S142" i="6"/>
  <c r="T142" i="6"/>
  <c r="U142" i="6"/>
  <c r="V142" i="6"/>
  <c r="W142" i="6"/>
  <c r="X142" i="6"/>
  <c r="Y142" i="6"/>
  <c r="Z142" i="6"/>
  <c r="AA142" i="6"/>
  <c r="AC142" i="6"/>
  <c r="AD142" i="6"/>
  <c r="AE142" i="6"/>
  <c r="AF142" i="6"/>
  <c r="AG142" i="6"/>
  <c r="AH142" i="6"/>
  <c r="R143" i="6"/>
  <c r="S143" i="6"/>
  <c r="T143" i="6"/>
  <c r="U143" i="6"/>
  <c r="V143" i="6"/>
  <c r="W143" i="6"/>
  <c r="X143" i="6"/>
  <c r="Y143" i="6"/>
  <c r="Z143" i="6"/>
  <c r="AA143" i="6"/>
  <c r="AC143" i="6"/>
  <c r="AD143" i="6"/>
  <c r="AE143" i="6"/>
  <c r="AF143" i="6"/>
  <c r="AG143" i="6"/>
  <c r="AH143" i="6"/>
  <c r="R144" i="6"/>
  <c r="S144" i="6"/>
  <c r="T144" i="6"/>
  <c r="U144" i="6"/>
  <c r="V144" i="6"/>
  <c r="W144" i="6"/>
  <c r="X144" i="6"/>
  <c r="Y144" i="6"/>
  <c r="Z144" i="6"/>
  <c r="AA144" i="6"/>
  <c r="AC144" i="6"/>
  <c r="AD144" i="6"/>
  <c r="AE144" i="6"/>
  <c r="AF144" i="6"/>
  <c r="AG144" i="6"/>
  <c r="AH144" i="6"/>
  <c r="R145" i="6"/>
  <c r="S145" i="6"/>
  <c r="T145" i="6"/>
  <c r="U145" i="6"/>
  <c r="V145" i="6"/>
  <c r="W145" i="6"/>
  <c r="X145" i="6"/>
  <c r="Y145" i="6"/>
  <c r="Z145" i="6"/>
  <c r="AA145" i="6"/>
  <c r="AC145" i="6"/>
  <c r="AD145" i="6"/>
  <c r="AE145" i="6"/>
  <c r="AF145" i="6"/>
  <c r="AG145" i="6"/>
  <c r="AH145" i="6"/>
  <c r="R146" i="6"/>
  <c r="S146" i="6"/>
  <c r="T146" i="6"/>
  <c r="U146" i="6"/>
  <c r="V146" i="6"/>
  <c r="W146" i="6"/>
  <c r="X146" i="6"/>
  <c r="Y146" i="6"/>
  <c r="Z146" i="6"/>
  <c r="AA146" i="6"/>
  <c r="AC146" i="6"/>
  <c r="AD146" i="6"/>
  <c r="AE146" i="6"/>
  <c r="AF146" i="6"/>
  <c r="AG146" i="6"/>
  <c r="AH146" i="6"/>
  <c r="R147" i="6"/>
  <c r="S147" i="6"/>
  <c r="T147" i="6"/>
  <c r="U147" i="6"/>
  <c r="V147" i="6"/>
  <c r="W147" i="6"/>
  <c r="X147" i="6"/>
  <c r="Y147" i="6"/>
  <c r="Z147" i="6"/>
  <c r="AA147" i="6"/>
  <c r="AC147" i="6"/>
  <c r="AD147" i="6"/>
  <c r="AE147" i="6"/>
  <c r="AF147" i="6"/>
  <c r="AG147" i="6"/>
  <c r="AH147" i="6"/>
  <c r="R148" i="6"/>
  <c r="S148" i="6"/>
  <c r="T148" i="6"/>
  <c r="U148" i="6"/>
  <c r="V148" i="6"/>
  <c r="W148" i="6"/>
  <c r="X148" i="6"/>
  <c r="Y148" i="6"/>
  <c r="Z148" i="6"/>
  <c r="AA148" i="6"/>
  <c r="AC148" i="6"/>
  <c r="AD148" i="6"/>
  <c r="AE148" i="6"/>
  <c r="AF148" i="6"/>
  <c r="AG148" i="6"/>
  <c r="AH148" i="6"/>
  <c r="R149" i="6"/>
  <c r="S149" i="6"/>
  <c r="T149" i="6"/>
  <c r="U149" i="6"/>
  <c r="V149" i="6"/>
  <c r="W149" i="6"/>
  <c r="X149" i="6"/>
  <c r="Y149" i="6"/>
  <c r="Z149" i="6"/>
  <c r="AA149" i="6"/>
  <c r="AC149" i="6"/>
  <c r="AD149" i="6"/>
  <c r="AE149" i="6"/>
  <c r="AF149" i="6"/>
  <c r="AG149" i="6"/>
  <c r="AH149" i="6"/>
  <c r="R150" i="6"/>
  <c r="S150" i="6"/>
  <c r="T150" i="6"/>
  <c r="U150" i="6"/>
  <c r="V150" i="6"/>
  <c r="W150" i="6"/>
  <c r="X150" i="6"/>
  <c r="Y150" i="6"/>
  <c r="Z150" i="6"/>
  <c r="AA150" i="6"/>
  <c r="AC150" i="6"/>
  <c r="AD150" i="6"/>
  <c r="AE150" i="6"/>
  <c r="AF150" i="6"/>
  <c r="AG150" i="6"/>
  <c r="AH150" i="6"/>
  <c r="R151" i="6"/>
  <c r="S151" i="6"/>
  <c r="T151" i="6"/>
  <c r="U151" i="6"/>
  <c r="V151" i="6"/>
  <c r="W151" i="6"/>
  <c r="X151" i="6"/>
  <c r="Y151" i="6"/>
  <c r="Z151" i="6"/>
  <c r="AA151" i="6"/>
  <c r="AC151" i="6"/>
  <c r="AD151" i="6"/>
  <c r="AE151" i="6"/>
  <c r="AF151" i="6"/>
  <c r="AG151" i="6"/>
  <c r="AH151" i="6"/>
  <c r="R152" i="6"/>
  <c r="S152" i="6"/>
  <c r="T152" i="6"/>
  <c r="U152" i="6"/>
  <c r="V152" i="6"/>
  <c r="W152" i="6"/>
  <c r="X152" i="6"/>
  <c r="Y152" i="6"/>
  <c r="Z152" i="6"/>
  <c r="AA152" i="6"/>
  <c r="AC152" i="6"/>
  <c r="AD152" i="6"/>
  <c r="AE152" i="6"/>
  <c r="AF152" i="6"/>
  <c r="AG152" i="6"/>
  <c r="AH152" i="6"/>
  <c r="R153" i="6"/>
  <c r="S153" i="6"/>
  <c r="T153" i="6"/>
  <c r="U153" i="6"/>
  <c r="V153" i="6"/>
  <c r="W153" i="6"/>
  <c r="X153" i="6"/>
  <c r="Y153" i="6"/>
  <c r="Z153" i="6"/>
  <c r="AA153" i="6"/>
  <c r="AC153" i="6"/>
  <c r="AD153" i="6"/>
  <c r="AE153" i="6"/>
  <c r="AF153" i="6"/>
  <c r="AG153" i="6"/>
  <c r="AH153" i="6"/>
  <c r="R154" i="6"/>
  <c r="S154" i="6"/>
  <c r="T154" i="6"/>
  <c r="U154" i="6"/>
  <c r="V154" i="6"/>
  <c r="W154" i="6"/>
  <c r="X154" i="6"/>
  <c r="Y154" i="6"/>
  <c r="Z154" i="6"/>
  <c r="AA154" i="6"/>
  <c r="AC154" i="6"/>
  <c r="AD154" i="6"/>
  <c r="AE154" i="6"/>
  <c r="AF154" i="6"/>
  <c r="AG154" i="6"/>
  <c r="AH154" i="6"/>
  <c r="R155" i="6"/>
  <c r="S155" i="6"/>
  <c r="T155" i="6"/>
  <c r="U155" i="6"/>
  <c r="V155" i="6"/>
  <c r="W155" i="6"/>
  <c r="X155" i="6"/>
  <c r="Y155" i="6"/>
  <c r="Z155" i="6"/>
  <c r="AA155" i="6"/>
  <c r="AC155" i="6"/>
  <c r="AD155" i="6"/>
  <c r="AE155" i="6"/>
  <c r="AF155" i="6"/>
  <c r="AG155" i="6"/>
  <c r="AH155" i="6"/>
  <c r="R156" i="6"/>
  <c r="S156" i="6"/>
  <c r="T156" i="6"/>
  <c r="U156" i="6"/>
  <c r="V156" i="6"/>
  <c r="W156" i="6"/>
  <c r="X156" i="6"/>
  <c r="Y156" i="6"/>
  <c r="Z156" i="6"/>
  <c r="AA156" i="6"/>
  <c r="AC156" i="6"/>
  <c r="AD156" i="6"/>
  <c r="AE156" i="6"/>
  <c r="AF156" i="6"/>
  <c r="AG156" i="6"/>
  <c r="AH156" i="6"/>
  <c r="R157" i="6"/>
  <c r="S157" i="6"/>
  <c r="T157" i="6"/>
  <c r="U157" i="6"/>
  <c r="V157" i="6"/>
  <c r="W157" i="6"/>
  <c r="X157" i="6"/>
  <c r="Y157" i="6"/>
  <c r="Z157" i="6"/>
  <c r="AA157" i="6"/>
  <c r="AC157" i="6"/>
  <c r="AD157" i="6"/>
  <c r="AE157" i="6"/>
  <c r="AF157" i="6"/>
  <c r="AG157" i="6"/>
  <c r="AH157" i="6"/>
  <c r="R158" i="6"/>
  <c r="S158" i="6"/>
  <c r="T158" i="6"/>
  <c r="U158" i="6"/>
  <c r="V158" i="6"/>
  <c r="W158" i="6"/>
  <c r="X158" i="6"/>
  <c r="Y158" i="6"/>
  <c r="Z158" i="6"/>
  <c r="AA158" i="6"/>
  <c r="AC158" i="6"/>
  <c r="AD158" i="6"/>
  <c r="AE158" i="6"/>
  <c r="AF158" i="6"/>
  <c r="AG158" i="6"/>
  <c r="AH158" i="6"/>
  <c r="R159" i="6"/>
  <c r="S159" i="6"/>
  <c r="T159" i="6"/>
  <c r="U159" i="6"/>
  <c r="V159" i="6"/>
  <c r="W159" i="6"/>
  <c r="X159" i="6"/>
  <c r="Y159" i="6"/>
  <c r="Z159" i="6"/>
  <c r="AA159" i="6"/>
  <c r="AC159" i="6"/>
  <c r="AD159" i="6"/>
  <c r="AE159" i="6"/>
  <c r="AF159" i="6"/>
  <c r="AG159" i="6"/>
  <c r="AH159" i="6"/>
  <c r="R160" i="6"/>
  <c r="S160" i="6"/>
  <c r="T160" i="6"/>
  <c r="U160" i="6"/>
  <c r="V160" i="6"/>
  <c r="W160" i="6"/>
  <c r="X160" i="6"/>
  <c r="Y160" i="6"/>
  <c r="Z160" i="6"/>
  <c r="AA160" i="6"/>
  <c r="AC160" i="6"/>
  <c r="AD160" i="6"/>
  <c r="AE160" i="6"/>
  <c r="AF160" i="6"/>
  <c r="AG160" i="6"/>
  <c r="AH160" i="6"/>
  <c r="R161" i="6"/>
  <c r="S161" i="6"/>
  <c r="T161" i="6"/>
  <c r="U161" i="6"/>
  <c r="V161" i="6"/>
  <c r="W161" i="6"/>
  <c r="X161" i="6"/>
  <c r="Y161" i="6"/>
  <c r="Z161" i="6"/>
  <c r="AA161" i="6"/>
  <c r="AC161" i="6"/>
  <c r="AD161" i="6"/>
  <c r="AE161" i="6"/>
  <c r="AF161" i="6"/>
  <c r="AG161" i="6"/>
  <c r="AH161" i="6"/>
  <c r="R162" i="6"/>
  <c r="S162" i="6"/>
  <c r="T162" i="6"/>
  <c r="U162" i="6"/>
  <c r="V162" i="6"/>
  <c r="W162" i="6"/>
  <c r="X162" i="6"/>
  <c r="Y162" i="6"/>
  <c r="Z162" i="6"/>
  <c r="AA162" i="6"/>
  <c r="AC162" i="6"/>
  <c r="AD162" i="6"/>
  <c r="AE162" i="6"/>
  <c r="AF162" i="6"/>
  <c r="AG162" i="6"/>
  <c r="AH162" i="6"/>
  <c r="R163" i="6"/>
  <c r="S163" i="6"/>
  <c r="T163" i="6"/>
  <c r="U163" i="6"/>
  <c r="V163" i="6"/>
  <c r="W163" i="6"/>
  <c r="X163" i="6"/>
  <c r="Y163" i="6"/>
  <c r="Z163" i="6"/>
  <c r="AA163" i="6"/>
  <c r="AC163" i="6"/>
  <c r="AD163" i="6"/>
  <c r="AE163" i="6"/>
  <c r="AF163" i="6"/>
  <c r="AG163" i="6"/>
  <c r="AH163" i="6"/>
  <c r="R164" i="6"/>
  <c r="S164" i="6"/>
  <c r="T164" i="6"/>
  <c r="U164" i="6"/>
  <c r="V164" i="6"/>
  <c r="W164" i="6"/>
  <c r="X164" i="6"/>
  <c r="Y164" i="6"/>
  <c r="Z164" i="6"/>
  <c r="AA164" i="6"/>
  <c r="AC164" i="6"/>
  <c r="AD164" i="6"/>
  <c r="AE164" i="6"/>
  <c r="AF164" i="6"/>
  <c r="AG164" i="6"/>
  <c r="AH164" i="6"/>
  <c r="R165" i="6"/>
  <c r="S165" i="6"/>
  <c r="T165" i="6"/>
  <c r="U165" i="6"/>
  <c r="V165" i="6"/>
  <c r="W165" i="6"/>
  <c r="X165" i="6"/>
  <c r="Y165" i="6"/>
  <c r="Z165" i="6"/>
  <c r="AA165" i="6"/>
  <c r="AC165" i="6"/>
  <c r="AD165" i="6"/>
  <c r="AE165" i="6"/>
  <c r="AF165" i="6"/>
  <c r="AG165" i="6"/>
  <c r="AH165" i="6"/>
  <c r="R166" i="6"/>
  <c r="S166" i="6"/>
  <c r="T166" i="6"/>
  <c r="U166" i="6"/>
  <c r="V166" i="6"/>
  <c r="W166" i="6"/>
  <c r="X166" i="6"/>
  <c r="Y166" i="6"/>
  <c r="Z166" i="6"/>
  <c r="AA166" i="6"/>
  <c r="AC166" i="6"/>
  <c r="AD166" i="6"/>
  <c r="AE166" i="6"/>
  <c r="AF166" i="6"/>
  <c r="AG166" i="6"/>
  <c r="AH166" i="6"/>
  <c r="R167" i="6"/>
  <c r="S167" i="6"/>
  <c r="T167" i="6"/>
  <c r="U167" i="6"/>
  <c r="V167" i="6"/>
  <c r="W167" i="6"/>
  <c r="X167" i="6"/>
  <c r="Y167" i="6"/>
  <c r="Z167" i="6"/>
  <c r="AA167" i="6"/>
  <c r="AC167" i="6"/>
  <c r="AD167" i="6"/>
  <c r="AE167" i="6"/>
  <c r="AF167" i="6"/>
  <c r="AG167" i="6"/>
  <c r="AH167" i="6"/>
  <c r="R168" i="6"/>
  <c r="S168" i="6"/>
  <c r="T168" i="6"/>
  <c r="U168" i="6"/>
  <c r="V168" i="6"/>
  <c r="W168" i="6"/>
  <c r="X168" i="6"/>
  <c r="Y168" i="6"/>
  <c r="Z168" i="6"/>
  <c r="AA168" i="6"/>
  <c r="AC168" i="6"/>
  <c r="AD168" i="6"/>
  <c r="AE168" i="6"/>
  <c r="AF168" i="6"/>
  <c r="AG168" i="6"/>
  <c r="AH168" i="6"/>
  <c r="R169" i="6"/>
  <c r="S169" i="6"/>
  <c r="T169" i="6"/>
  <c r="U169" i="6"/>
  <c r="V169" i="6"/>
  <c r="W169" i="6"/>
  <c r="X169" i="6"/>
  <c r="Y169" i="6"/>
  <c r="Z169" i="6"/>
  <c r="AA169" i="6"/>
  <c r="AC169" i="6"/>
  <c r="AD169" i="6"/>
  <c r="AE169" i="6"/>
  <c r="AF169" i="6"/>
  <c r="AG169" i="6"/>
  <c r="AH169" i="6"/>
  <c r="R170" i="6"/>
  <c r="S170" i="6"/>
  <c r="T170" i="6"/>
  <c r="U170" i="6"/>
  <c r="V170" i="6"/>
  <c r="W170" i="6"/>
  <c r="X170" i="6"/>
  <c r="Y170" i="6"/>
  <c r="Z170" i="6"/>
  <c r="AA170" i="6"/>
  <c r="AC170" i="6"/>
  <c r="AD170" i="6"/>
  <c r="AE170" i="6"/>
  <c r="AF170" i="6"/>
  <c r="AG170" i="6"/>
  <c r="AH170" i="6"/>
  <c r="R171" i="6"/>
  <c r="S171" i="6"/>
  <c r="T171" i="6"/>
  <c r="U171" i="6"/>
  <c r="V171" i="6"/>
  <c r="W171" i="6"/>
  <c r="X171" i="6"/>
  <c r="Y171" i="6"/>
  <c r="Z171" i="6"/>
  <c r="AA171" i="6"/>
  <c r="AC171" i="6"/>
  <c r="AD171" i="6"/>
  <c r="AE171" i="6"/>
  <c r="AF171" i="6"/>
  <c r="AG171" i="6"/>
  <c r="AH171" i="6"/>
  <c r="R172" i="6"/>
  <c r="S172" i="6"/>
  <c r="T172" i="6"/>
  <c r="U172" i="6"/>
  <c r="V172" i="6"/>
  <c r="W172" i="6"/>
  <c r="X172" i="6"/>
  <c r="Y172" i="6"/>
  <c r="Z172" i="6"/>
  <c r="AA172" i="6"/>
  <c r="AC172" i="6"/>
  <c r="AD172" i="6"/>
  <c r="AE172" i="6"/>
  <c r="AF172" i="6"/>
  <c r="AG172" i="6"/>
  <c r="AH172" i="6"/>
  <c r="R173" i="6"/>
  <c r="S173" i="6"/>
  <c r="T173" i="6"/>
  <c r="U173" i="6"/>
  <c r="V173" i="6"/>
  <c r="W173" i="6"/>
  <c r="X173" i="6"/>
  <c r="Y173" i="6"/>
  <c r="Z173" i="6"/>
  <c r="AA173" i="6"/>
  <c r="AC173" i="6"/>
  <c r="AD173" i="6"/>
  <c r="AE173" i="6"/>
  <c r="AF173" i="6"/>
  <c r="AG173" i="6"/>
  <c r="AH173" i="6"/>
  <c r="R174" i="6"/>
  <c r="S174" i="6"/>
  <c r="T174" i="6"/>
  <c r="U174" i="6"/>
  <c r="V174" i="6"/>
  <c r="W174" i="6"/>
  <c r="X174" i="6"/>
  <c r="Y174" i="6"/>
  <c r="Z174" i="6"/>
  <c r="AA174" i="6"/>
  <c r="AC174" i="6"/>
  <c r="AD174" i="6"/>
  <c r="AE174" i="6"/>
  <c r="AF174" i="6"/>
  <c r="AG174" i="6"/>
  <c r="AH174" i="6"/>
  <c r="R175" i="6"/>
  <c r="S175" i="6"/>
  <c r="T175" i="6"/>
  <c r="U175" i="6"/>
  <c r="V175" i="6"/>
  <c r="W175" i="6"/>
  <c r="X175" i="6"/>
  <c r="Y175" i="6"/>
  <c r="Z175" i="6"/>
  <c r="AA175" i="6"/>
  <c r="AC175" i="6"/>
  <c r="AD175" i="6"/>
  <c r="AE175" i="6"/>
  <c r="AF175" i="6"/>
  <c r="AG175" i="6"/>
  <c r="AH175" i="6"/>
  <c r="R176" i="6"/>
  <c r="S176" i="6"/>
  <c r="T176" i="6"/>
  <c r="U176" i="6"/>
  <c r="V176" i="6"/>
  <c r="W176" i="6"/>
  <c r="X176" i="6"/>
  <c r="Y176" i="6"/>
  <c r="Z176" i="6"/>
  <c r="AA176" i="6"/>
  <c r="AC176" i="6"/>
  <c r="AD176" i="6"/>
  <c r="AE176" i="6"/>
  <c r="AF176" i="6"/>
  <c r="AG176" i="6"/>
  <c r="AH176" i="6"/>
  <c r="R177" i="6"/>
  <c r="S177" i="6"/>
  <c r="T177" i="6"/>
  <c r="U177" i="6"/>
  <c r="V177" i="6"/>
  <c r="W177" i="6"/>
  <c r="X177" i="6"/>
  <c r="Y177" i="6"/>
  <c r="Z177" i="6"/>
  <c r="AA177" i="6"/>
  <c r="AC177" i="6"/>
  <c r="AD177" i="6"/>
  <c r="AE177" i="6"/>
  <c r="AF177" i="6"/>
  <c r="AG177" i="6"/>
  <c r="AH177" i="6"/>
  <c r="R178" i="6"/>
  <c r="S178" i="6"/>
  <c r="T178" i="6"/>
  <c r="U178" i="6"/>
  <c r="V178" i="6"/>
  <c r="W178" i="6"/>
  <c r="X178" i="6"/>
  <c r="Y178" i="6"/>
  <c r="Z178" i="6"/>
  <c r="AA178" i="6"/>
  <c r="AC178" i="6"/>
  <c r="AD178" i="6"/>
  <c r="AE178" i="6"/>
  <c r="AF178" i="6"/>
  <c r="AG178" i="6"/>
  <c r="AH178" i="6"/>
  <c r="R179" i="6"/>
  <c r="S179" i="6"/>
  <c r="T179" i="6"/>
  <c r="U179" i="6"/>
  <c r="V179" i="6"/>
  <c r="W179" i="6"/>
  <c r="X179" i="6"/>
  <c r="Y179" i="6"/>
  <c r="Z179" i="6"/>
  <c r="AA179" i="6"/>
  <c r="AC179" i="6"/>
  <c r="AD179" i="6"/>
  <c r="AE179" i="6"/>
  <c r="AF179" i="6"/>
  <c r="AG179" i="6"/>
  <c r="AH179" i="6"/>
  <c r="R180" i="6"/>
  <c r="S180" i="6"/>
  <c r="T180" i="6"/>
  <c r="U180" i="6"/>
  <c r="V180" i="6"/>
  <c r="W180" i="6"/>
  <c r="X180" i="6"/>
  <c r="Y180" i="6"/>
  <c r="Z180" i="6"/>
  <c r="AA180" i="6"/>
  <c r="AC180" i="6"/>
  <c r="AD180" i="6"/>
  <c r="AE180" i="6"/>
  <c r="AF180" i="6"/>
  <c r="AG180" i="6"/>
  <c r="AH180" i="6"/>
  <c r="R181" i="6"/>
  <c r="S181" i="6"/>
  <c r="T181" i="6"/>
  <c r="U181" i="6"/>
  <c r="V181" i="6"/>
  <c r="W181" i="6"/>
  <c r="X181" i="6"/>
  <c r="Y181" i="6"/>
  <c r="Z181" i="6"/>
  <c r="AA181" i="6"/>
  <c r="AC181" i="6"/>
  <c r="AD181" i="6"/>
  <c r="AE181" i="6"/>
  <c r="AF181" i="6"/>
  <c r="AG181" i="6"/>
  <c r="AH181" i="6"/>
  <c r="R182" i="6"/>
  <c r="S182" i="6"/>
  <c r="T182" i="6"/>
  <c r="U182" i="6"/>
  <c r="V182" i="6"/>
  <c r="W182" i="6"/>
  <c r="X182" i="6"/>
  <c r="Y182" i="6"/>
  <c r="Z182" i="6"/>
  <c r="AA182" i="6"/>
  <c r="AC182" i="6"/>
  <c r="AD182" i="6"/>
  <c r="AE182" i="6"/>
  <c r="AF182" i="6"/>
  <c r="AG182" i="6"/>
  <c r="AH182" i="6"/>
  <c r="R183" i="6"/>
  <c r="S183" i="6"/>
  <c r="T183" i="6"/>
  <c r="U183" i="6"/>
  <c r="V183" i="6"/>
  <c r="W183" i="6"/>
  <c r="X183" i="6"/>
  <c r="Y183" i="6"/>
  <c r="Z183" i="6"/>
  <c r="AA183" i="6"/>
  <c r="AC183" i="6"/>
  <c r="AD183" i="6"/>
  <c r="AE183" i="6"/>
  <c r="AF183" i="6"/>
  <c r="AG183" i="6"/>
  <c r="AH183" i="6"/>
  <c r="R184" i="6"/>
  <c r="S184" i="6"/>
  <c r="T184" i="6"/>
  <c r="U184" i="6"/>
  <c r="V184" i="6"/>
  <c r="W184" i="6"/>
  <c r="X184" i="6"/>
  <c r="Y184" i="6"/>
  <c r="Z184" i="6"/>
  <c r="AA184" i="6"/>
  <c r="AC184" i="6"/>
  <c r="AD184" i="6"/>
  <c r="AE184" i="6"/>
  <c r="AF184" i="6"/>
  <c r="AG184" i="6"/>
  <c r="AH184" i="6"/>
  <c r="R185" i="6"/>
  <c r="S185" i="6"/>
  <c r="T185" i="6"/>
  <c r="U185" i="6"/>
  <c r="V185" i="6"/>
  <c r="W185" i="6"/>
  <c r="X185" i="6"/>
  <c r="Y185" i="6"/>
  <c r="Z185" i="6"/>
  <c r="AA185" i="6"/>
  <c r="AC185" i="6"/>
  <c r="AD185" i="6"/>
  <c r="AE185" i="6"/>
  <c r="AF185" i="6"/>
  <c r="AG185" i="6"/>
  <c r="AH185" i="6"/>
  <c r="R186" i="6"/>
  <c r="S186" i="6"/>
  <c r="T186" i="6"/>
  <c r="U186" i="6"/>
  <c r="V186" i="6"/>
  <c r="W186" i="6"/>
  <c r="X186" i="6"/>
  <c r="Y186" i="6"/>
  <c r="Z186" i="6"/>
  <c r="AA186" i="6"/>
  <c r="AC186" i="6"/>
  <c r="AD186" i="6"/>
  <c r="AE186" i="6"/>
  <c r="AF186" i="6"/>
  <c r="AG186" i="6"/>
  <c r="AH186" i="6"/>
  <c r="R187" i="6"/>
  <c r="S187" i="6"/>
  <c r="T187" i="6"/>
  <c r="U187" i="6"/>
  <c r="V187" i="6"/>
  <c r="W187" i="6"/>
  <c r="X187" i="6"/>
  <c r="Y187" i="6"/>
  <c r="Z187" i="6"/>
  <c r="AA187" i="6"/>
  <c r="AC187" i="6"/>
  <c r="AD187" i="6"/>
  <c r="AE187" i="6"/>
  <c r="AF187" i="6"/>
  <c r="AG187" i="6"/>
  <c r="AH187" i="6"/>
  <c r="R188" i="6"/>
  <c r="S188" i="6"/>
  <c r="T188" i="6"/>
  <c r="U188" i="6"/>
  <c r="V188" i="6"/>
  <c r="W188" i="6"/>
  <c r="X188" i="6"/>
  <c r="Y188" i="6"/>
  <c r="Z188" i="6"/>
  <c r="AA188" i="6"/>
  <c r="AC188" i="6"/>
  <c r="AD188" i="6"/>
  <c r="AE188" i="6"/>
  <c r="AF188" i="6"/>
  <c r="AG188" i="6"/>
  <c r="AH188" i="6"/>
  <c r="R189" i="6"/>
  <c r="S189" i="6"/>
  <c r="T189" i="6"/>
  <c r="U189" i="6"/>
  <c r="V189" i="6"/>
  <c r="W189" i="6"/>
  <c r="X189" i="6"/>
  <c r="Y189" i="6"/>
  <c r="Z189" i="6"/>
  <c r="AA189" i="6"/>
  <c r="AC189" i="6"/>
  <c r="AD189" i="6"/>
  <c r="AE189" i="6"/>
  <c r="AF189" i="6"/>
  <c r="AG189" i="6"/>
  <c r="AH189" i="6"/>
  <c r="R190" i="6"/>
  <c r="S190" i="6"/>
  <c r="T190" i="6"/>
  <c r="U190" i="6"/>
  <c r="V190" i="6"/>
  <c r="W190" i="6"/>
  <c r="X190" i="6"/>
  <c r="Y190" i="6"/>
  <c r="Z190" i="6"/>
  <c r="AA190" i="6"/>
  <c r="AC190" i="6"/>
  <c r="AD190" i="6"/>
  <c r="AE190" i="6"/>
  <c r="AF190" i="6"/>
  <c r="AG190" i="6"/>
  <c r="AH190" i="6"/>
  <c r="R191" i="6"/>
  <c r="S191" i="6"/>
  <c r="T191" i="6"/>
  <c r="U191" i="6"/>
  <c r="V191" i="6"/>
  <c r="W191" i="6"/>
  <c r="X191" i="6"/>
  <c r="Y191" i="6"/>
  <c r="Z191" i="6"/>
  <c r="AA191" i="6"/>
  <c r="AC191" i="6"/>
  <c r="AD191" i="6"/>
  <c r="AE191" i="6"/>
  <c r="AF191" i="6"/>
  <c r="AG191" i="6"/>
  <c r="AH191" i="6"/>
  <c r="R192" i="6"/>
  <c r="S192" i="6"/>
  <c r="T192" i="6"/>
  <c r="U192" i="6"/>
  <c r="V192" i="6"/>
  <c r="W192" i="6"/>
  <c r="X192" i="6"/>
  <c r="Y192" i="6"/>
  <c r="Z192" i="6"/>
  <c r="AA192" i="6"/>
  <c r="AC192" i="6"/>
  <c r="AD192" i="6"/>
  <c r="AE192" i="6"/>
  <c r="AF192" i="6"/>
  <c r="AG192" i="6"/>
  <c r="AH192" i="6"/>
  <c r="R193" i="6"/>
  <c r="S193" i="6"/>
  <c r="T193" i="6"/>
  <c r="U193" i="6"/>
  <c r="V193" i="6"/>
  <c r="W193" i="6"/>
  <c r="X193" i="6"/>
  <c r="Y193" i="6"/>
  <c r="Z193" i="6"/>
  <c r="AA193" i="6"/>
  <c r="AC193" i="6"/>
  <c r="AD193" i="6"/>
  <c r="AE193" i="6"/>
  <c r="AF193" i="6"/>
  <c r="AG193" i="6"/>
  <c r="AH193" i="6"/>
  <c r="R194" i="6"/>
  <c r="S194" i="6"/>
  <c r="T194" i="6"/>
  <c r="U194" i="6"/>
  <c r="V194" i="6"/>
  <c r="W194" i="6"/>
  <c r="X194" i="6"/>
  <c r="Y194" i="6"/>
  <c r="Z194" i="6"/>
  <c r="AA194" i="6"/>
  <c r="AC194" i="6"/>
  <c r="AD194" i="6"/>
  <c r="AE194" i="6"/>
  <c r="AF194" i="6"/>
  <c r="AG194" i="6"/>
  <c r="AH194" i="6"/>
  <c r="R195" i="6"/>
  <c r="S195" i="6"/>
  <c r="T195" i="6"/>
  <c r="U195" i="6"/>
  <c r="V195" i="6"/>
  <c r="W195" i="6"/>
  <c r="X195" i="6"/>
  <c r="Y195" i="6"/>
  <c r="Z195" i="6"/>
  <c r="AA195" i="6"/>
  <c r="AC195" i="6"/>
  <c r="AD195" i="6"/>
  <c r="AE195" i="6"/>
  <c r="AF195" i="6"/>
  <c r="AG195" i="6"/>
  <c r="AH195" i="6"/>
  <c r="R196" i="6"/>
  <c r="S196" i="6"/>
  <c r="T196" i="6"/>
  <c r="U196" i="6"/>
  <c r="V196" i="6"/>
  <c r="W196" i="6"/>
  <c r="X196" i="6"/>
  <c r="Y196" i="6"/>
  <c r="Z196" i="6"/>
  <c r="AA196" i="6"/>
  <c r="AC196" i="6"/>
  <c r="AD196" i="6"/>
  <c r="AE196" i="6"/>
  <c r="AF196" i="6"/>
  <c r="AG196" i="6"/>
  <c r="AH196" i="6"/>
  <c r="R197" i="6"/>
  <c r="S197" i="6"/>
  <c r="T197" i="6"/>
  <c r="U197" i="6"/>
  <c r="V197" i="6"/>
  <c r="W197" i="6"/>
  <c r="X197" i="6"/>
  <c r="Y197" i="6"/>
  <c r="Z197" i="6"/>
  <c r="AA197" i="6"/>
  <c r="AC197" i="6"/>
  <c r="AD197" i="6"/>
  <c r="AE197" i="6"/>
  <c r="AF197" i="6"/>
  <c r="AG197" i="6"/>
  <c r="AH197" i="6"/>
  <c r="R198" i="6"/>
  <c r="S198" i="6"/>
  <c r="T198" i="6"/>
  <c r="U198" i="6"/>
  <c r="V198" i="6"/>
  <c r="W198" i="6"/>
  <c r="X198" i="6"/>
  <c r="Y198" i="6"/>
  <c r="Z198" i="6"/>
  <c r="AA198" i="6"/>
  <c r="AC198" i="6"/>
  <c r="AD198" i="6"/>
  <c r="AE198" i="6"/>
  <c r="AF198" i="6"/>
  <c r="AG198" i="6"/>
  <c r="AH198" i="6"/>
  <c r="R199" i="6"/>
  <c r="S199" i="6"/>
  <c r="T199" i="6"/>
  <c r="U199" i="6"/>
  <c r="V199" i="6"/>
  <c r="W199" i="6"/>
  <c r="X199" i="6"/>
  <c r="Y199" i="6"/>
  <c r="Z199" i="6"/>
  <c r="AA199" i="6"/>
  <c r="AC199" i="6"/>
  <c r="AD199" i="6"/>
  <c r="AE199" i="6"/>
  <c r="AF199" i="6"/>
  <c r="AG199" i="6"/>
  <c r="AH199" i="6"/>
  <c r="R200" i="6"/>
  <c r="S200" i="6"/>
  <c r="T200" i="6"/>
  <c r="U200" i="6"/>
  <c r="V200" i="6"/>
  <c r="W200" i="6"/>
  <c r="X200" i="6"/>
  <c r="Y200" i="6"/>
  <c r="Z200" i="6"/>
  <c r="AA200" i="6"/>
  <c r="AC200" i="6"/>
  <c r="AD200" i="6"/>
  <c r="AE200" i="6"/>
  <c r="AF200" i="6"/>
  <c r="AG200" i="6"/>
  <c r="AH200" i="6"/>
  <c r="R201" i="6"/>
  <c r="S201" i="6"/>
  <c r="T201" i="6"/>
  <c r="U201" i="6"/>
  <c r="V201" i="6"/>
  <c r="W201" i="6"/>
  <c r="X201" i="6"/>
  <c r="Y201" i="6"/>
  <c r="Z201" i="6"/>
  <c r="AA201" i="6"/>
  <c r="AC201" i="6"/>
  <c r="AD201" i="6"/>
  <c r="AE201" i="6"/>
  <c r="AF201" i="6"/>
  <c r="AG201" i="6"/>
  <c r="AH201" i="6"/>
  <c r="R202" i="6"/>
  <c r="S202" i="6"/>
  <c r="T202" i="6"/>
  <c r="U202" i="6"/>
  <c r="V202" i="6"/>
  <c r="W202" i="6"/>
  <c r="X202" i="6"/>
  <c r="Y202" i="6"/>
  <c r="Z202" i="6"/>
  <c r="AA202" i="6"/>
  <c r="AC202" i="6"/>
  <c r="AD202" i="6"/>
  <c r="AE202" i="6"/>
  <c r="AF202" i="6"/>
  <c r="AG202" i="6"/>
  <c r="AH202" i="6"/>
  <c r="R203" i="6"/>
  <c r="S203" i="6"/>
  <c r="T203" i="6"/>
  <c r="U203" i="6"/>
  <c r="V203" i="6"/>
  <c r="W203" i="6"/>
  <c r="X203" i="6"/>
  <c r="Y203" i="6"/>
  <c r="Z203" i="6"/>
  <c r="AA203" i="6"/>
  <c r="AC203" i="6"/>
  <c r="AD203" i="6"/>
  <c r="AE203" i="6"/>
  <c r="AF203" i="6"/>
  <c r="AG203" i="6"/>
  <c r="AH203" i="6"/>
  <c r="R204" i="6"/>
  <c r="S204" i="6"/>
  <c r="T204" i="6"/>
  <c r="U204" i="6"/>
  <c r="V204" i="6"/>
  <c r="W204" i="6"/>
  <c r="X204" i="6"/>
  <c r="Y204" i="6"/>
  <c r="Z204" i="6"/>
  <c r="AA204" i="6"/>
  <c r="AC204" i="6"/>
  <c r="AD204" i="6"/>
  <c r="AE204" i="6"/>
  <c r="AF204" i="6"/>
  <c r="AG204" i="6"/>
  <c r="AH204" i="6"/>
  <c r="R205" i="6"/>
  <c r="S205" i="6"/>
  <c r="T205" i="6"/>
  <c r="U205" i="6"/>
  <c r="V205" i="6"/>
  <c r="W205" i="6"/>
  <c r="X205" i="6"/>
  <c r="Y205" i="6"/>
  <c r="Z205" i="6"/>
  <c r="AA205" i="6"/>
  <c r="AC205" i="6"/>
  <c r="AD205" i="6"/>
  <c r="AE205" i="6"/>
  <c r="AF205" i="6"/>
  <c r="AG205" i="6"/>
  <c r="AH205" i="6"/>
  <c r="R206" i="6"/>
  <c r="S206" i="6"/>
  <c r="T206" i="6"/>
  <c r="U206" i="6"/>
  <c r="V206" i="6"/>
  <c r="W206" i="6"/>
  <c r="X206" i="6"/>
  <c r="Y206" i="6"/>
  <c r="Z206" i="6"/>
  <c r="AA206" i="6"/>
  <c r="AC206" i="6"/>
  <c r="AD206" i="6"/>
  <c r="AE206" i="6"/>
  <c r="AF206" i="6"/>
  <c r="AG206" i="6"/>
  <c r="AH206" i="6"/>
  <c r="R207" i="6"/>
  <c r="S207" i="6"/>
  <c r="T207" i="6"/>
  <c r="U207" i="6"/>
  <c r="V207" i="6"/>
  <c r="W207" i="6"/>
  <c r="X207" i="6"/>
  <c r="Y207" i="6"/>
  <c r="Z207" i="6"/>
  <c r="AA207" i="6"/>
  <c r="AC207" i="6"/>
  <c r="AD207" i="6"/>
  <c r="AE207" i="6"/>
  <c r="AF207" i="6"/>
  <c r="AG207" i="6"/>
  <c r="AH207" i="6"/>
  <c r="R208" i="6"/>
  <c r="S208" i="6"/>
  <c r="T208" i="6"/>
  <c r="U208" i="6"/>
  <c r="V208" i="6"/>
  <c r="W208" i="6"/>
  <c r="X208" i="6"/>
  <c r="Y208" i="6"/>
  <c r="Z208" i="6"/>
  <c r="AA208" i="6"/>
  <c r="AC208" i="6"/>
  <c r="AD208" i="6"/>
  <c r="AE208" i="6"/>
  <c r="AF208" i="6"/>
  <c r="AG208" i="6"/>
  <c r="AH208" i="6"/>
  <c r="R209" i="6"/>
  <c r="S209" i="6"/>
  <c r="T209" i="6"/>
  <c r="U209" i="6"/>
  <c r="V209" i="6"/>
  <c r="W209" i="6"/>
  <c r="X209" i="6"/>
  <c r="Y209" i="6"/>
  <c r="Z209" i="6"/>
  <c r="AA209" i="6"/>
  <c r="AC209" i="6"/>
  <c r="AD209" i="6"/>
  <c r="AE209" i="6"/>
  <c r="AF209" i="6"/>
  <c r="AG209" i="6"/>
  <c r="AH209" i="6"/>
  <c r="R210" i="6"/>
  <c r="S210" i="6"/>
  <c r="T210" i="6"/>
  <c r="U210" i="6"/>
  <c r="V210" i="6"/>
  <c r="W210" i="6"/>
  <c r="X210" i="6"/>
  <c r="Y210" i="6"/>
  <c r="Z210" i="6"/>
  <c r="AA210" i="6"/>
  <c r="AC210" i="6"/>
  <c r="AD210" i="6"/>
  <c r="AE210" i="6"/>
  <c r="AF210" i="6"/>
  <c r="AG210" i="6"/>
  <c r="AH210" i="6"/>
  <c r="R211" i="6"/>
  <c r="S211" i="6"/>
  <c r="T211" i="6"/>
  <c r="U211" i="6"/>
  <c r="V211" i="6"/>
  <c r="W211" i="6"/>
  <c r="X211" i="6"/>
  <c r="Y211" i="6"/>
  <c r="Z211" i="6"/>
  <c r="AA211" i="6"/>
  <c r="AC211" i="6"/>
  <c r="AD211" i="6"/>
  <c r="AE211" i="6"/>
  <c r="AF211" i="6"/>
  <c r="AG211" i="6"/>
  <c r="AH211" i="6"/>
  <c r="R212" i="6"/>
  <c r="S212" i="6"/>
  <c r="T212" i="6"/>
  <c r="U212" i="6"/>
  <c r="V212" i="6"/>
  <c r="W212" i="6"/>
  <c r="X212" i="6"/>
  <c r="Y212" i="6"/>
  <c r="Z212" i="6"/>
  <c r="AA212" i="6"/>
  <c r="AC212" i="6"/>
  <c r="AD212" i="6"/>
  <c r="AE212" i="6"/>
  <c r="AF212" i="6"/>
  <c r="AG212" i="6"/>
  <c r="AH212" i="6"/>
  <c r="R213" i="6"/>
  <c r="S213" i="6"/>
  <c r="T213" i="6"/>
  <c r="U213" i="6"/>
  <c r="V213" i="6"/>
  <c r="W213" i="6"/>
  <c r="X213" i="6"/>
  <c r="Y213" i="6"/>
  <c r="Z213" i="6"/>
  <c r="AA213" i="6"/>
  <c r="AC213" i="6"/>
  <c r="AD213" i="6"/>
  <c r="AE213" i="6"/>
  <c r="AF213" i="6"/>
  <c r="AG213" i="6"/>
  <c r="AH213" i="6"/>
  <c r="R214" i="6"/>
  <c r="S214" i="6"/>
  <c r="T214" i="6"/>
  <c r="U214" i="6"/>
  <c r="V214" i="6"/>
  <c r="W214" i="6"/>
  <c r="X214" i="6"/>
  <c r="Y214" i="6"/>
  <c r="Z214" i="6"/>
  <c r="AA214" i="6"/>
  <c r="AC214" i="6"/>
  <c r="AD214" i="6"/>
  <c r="AE214" i="6"/>
  <c r="AF214" i="6"/>
  <c r="AG214" i="6"/>
  <c r="AH214" i="6"/>
  <c r="R215" i="6"/>
  <c r="S215" i="6"/>
  <c r="T215" i="6"/>
  <c r="U215" i="6"/>
  <c r="V215" i="6"/>
  <c r="W215" i="6"/>
  <c r="X215" i="6"/>
  <c r="Y215" i="6"/>
  <c r="Z215" i="6"/>
  <c r="AA215" i="6"/>
  <c r="AC215" i="6"/>
  <c r="AD215" i="6"/>
  <c r="AE215" i="6"/>
  <c r="AF215" i="6"/>
  <c r="AG215" i="6"/>
  <c r="AH215" i="6"/>
  <c r="R216" i="6"/>
  <c r="S216" i="6"/>
  <c r="T216" i="6"/>
  <c r="U216" i="6"/>
  <c r="V216" i="6"/>
  <c r="W216" i="6"/>
  <c r="X216" i="6"/>
  <c r="Y216" i="6"/>
  <c r="Z216" i="6"/>
  <c r="AA216" i="6"/>
  <c r="AC216" i="6"/>
  <c r="AD216" i="6"/>
  <c r="AE216" i="6"/>
  <c r="AF216" i="6"/>
  <c r="AG216" i="6"/>
  <c r="AH216" i="6"/>
  <c r="R217" i="6"/>
  <c r="S217" i="6"/>
  <c r="T217" i="6"/>
  <c r="U217" i="6"/>
  <c r="V217" i="6"/>
  <c r="W217" i="6"/>
  <c r="X217" i="6"/>
  <c r="Y217" i="6"/>
  <c r="Z217" i="6"/>
  <c r="AA217" i="6"/>
  <c r="AC217" i="6"/>
  <c r="AD217" i="6"/>
  <c r="AE217" i="6"/>
  <c r="AF217" i="6"/>
  <c r="AG217" i="6"/>
  <c r="AH217" i="6"/>
  <c r="R218" i="6"/>
  <c r="S218" i="6"/>
  <c r="T218" i="6"/>
  <c r="U218" i="6"/>
  <c r="V218" i="6"/>
  <c r="W218" i="6"/>
  <c r="X218" i="6"/>
  <c r="Y218" i="6"/>
  <c r="Z218" i="6"/>
  <c r="AA218" i="6"/>
  <c r="AC218" i="6"/>
  <c r="AD218" i="6"/>
  <c r="AE218" i="6"/>
  <c r="AF218" i="6"/>
  <c r="AG218" i="6"/>
  <c r="AH218" i="6"/>
  <c r="R219" i="6"/>
  <c r="S219" i="6"/>
  <c r="T219" i="6"/>
  <c r="U219" i="6"/>
  <c r="V219" i="6"/>
  <c r="W219" i="6"/>
  <c r="X219" i="6"/>
  <c r="Y219" i="6"/>
  <c r="Z219" i="6"/>
  <c r="AA219" i="6"/>
  <c r="AC219" i="6"/>
  <c r="AD219" i="6"/>
  <c r="AE219" i="6"/>
  <c r="AF219" i="6"/>
  <c r="AG219" i="6"/>
  <c r="AH219" i="6"/>
  <c r="R220" i="6"/>
  <c r="S220" i="6"/>
  <c r="T220" i="6"/>
  <c r="U220" i="6"/>
  <c r="V220" i="6"/>
  <c r="W220" i="6"/>
  <c r="X220" i="6"/>
  <c r="Y220" i="6"/>
  <c r="Z220" i="6"/>
  <c r="AA220" i="6"/>
  <c r="AC220" i="6"/>
  <c r="AD220" i="6"/>
  <c r="AE220" i="6"/>
  <c r="AF220" i="6"/>
  <c r="AG220" i="6"/>
  <c r="AH220" i="6"/>
  <c r="R221" i="6"/>
  <c r="S221" i="6"/>
  <c r="T221" i="6"/>
  <c r="U221" i="6"/>
  <c r="V221" i="6"/>
  <c r="W221" i="6"/>
  <c r="X221" i="6"/>
  <c r="Y221" i="6"/>
  <c r="Z221" i="6"/>
  <c r="AA221" i="6"/>
  <c r="AC221" i="6"/>
  <c r="AD221" i="6"/>
  <c r="AE221" i="6"/>
  <c r="AF221" i="6"/>
  <c r="AG221" i="6"/>
  <c r="AH221" i="6"/>
  <c r="R222" i="6"/>
  <c r="S222" i="6"/>
  <c r="T222" i="6"/>
  <c r="U222" i="6"/>
  <c r="V222" i="6"/>
  <c r="W222" i="6"/>
  <c r="X222" i="6"/>
  <c r="Y222" i="6"/>
  <c r="Z222" i="6"/>
  <c r="AA222" i="6"/>
  <c r="AC222" i="6"/>
  <c r="AD222" i="6"/>
  <c r="AE222" i="6"/>
  <c r="AF222" i="6"/>
  <c r="AG222" i="6"/>
  <c r="AH222" i="6"/>
  <c r="R223" i="6"/>
  <c r="S223" i="6"/>
  <c r="T223" i="6"/>
  <c r="U223" i="6"/>
  <c r="V223" i="6"/>
  <c r="W223" i="6"/>
  <c r="X223" i="6"/>
  <c r="Y223" i="6"/>
  <c r="Z223" i="6"/>
  <c r="AA223" i="6"/>
  <c r="AC223" i="6"/>
  <c r="AD223" i="6"/>
  <c r="AE223" i="6"/>
  <c r="AF223" i="6"/>
  <c r="AG223" i="6"/>
  <c r="AH223" i="6"/>
  <c r="R224" i="6"/>
  <c r="S224" i="6"/>
  <c r="T224" i="6"/>
  <c r="U224" i="6"/>
  <c r="V224" i="6"/>
  <c r="W224" i="6"/>
  <c r="X224" i="6"/>
  <c r="Y224" i="6"/>
  <c r="Z224" i="6"/>
  <c r="AA224" i="6"/>
  <c r="AC224" i="6"/>
  <c r="AD224" i="6"/>
  <c r="AE224" i="6"/>
  <c r="AF224" i="6"/>
  <c r="AG224" i="6"/>
  <c r="AH224" i="6"/>
  <c r="R225" i="6"/>
  <c r="S225" i="6"/>
  <c r="T225" i="6"/>
  <c r="U225" i="6"/>
  <c r="V225" i="6"/>
  <c r="W225" i="6"/>
  <c r="X225" i="6"/>
  <c r="Y225" i="6"/>
  <c r="Z225" i="6"/>
  <c r="AA225" i="6"/>
  <c r="AC225" i="6"/>
  <c r="AD225" i="6"/>
  <c r="AE225" i="6"/>
  <c r="AF225" i="6"/>
  <c r="AG225" i="6"/>
  <c r="AH225" i="6"/>
  <c r="R226" i="6"/>
  <c r="S226" i="6"/>
  <c r="T226" i="6"/>
  <c r="U226" i="6"/>
  <c r="V226" i="6"/>
  <c r="W226" i="6"/>
  <c r="X226" i="6"/>
  <c r="Y226" i="6"/>
  <c r="Z226" i="6"/>
  <c r="AA226" i="6"/>
  <c r="AC226" i="6"/>
  <c r="AD226" i="6"/>
  <c r="AE226" i="6"/>
  <c r="AF226" i="6"/>
  <c r="AG226" i="6"/>
  <c r="AH226" i="6"/>
  <c r="R227" i="6"/>
  <c r="S227" i="6"/>
  <c r="T227" i="6"/>
  <c r="U227" i="6"/>
  <c r="V227" i="6"/>
  <c r="W227" i="6"/>
  <c r="X227" i="6"/>
  <c r="Y227" i="6"/>
  <c r="Z227" i="6"/>
  <c r="AA227" i="6"/>
  <c r="AC227" i="6"/>
  <c r="AD227" i="6"/>
  <c r="AE227" i="6"/>
  <c r="AF227" i="6"/>
  <c r="AG227" i="6"/>
  <c r="AH227" i="6"/>
  <c r="R228" i="6"/>
  <c r="S228" i="6"/>
  <c r="T228" i="6"/>
  <c r="U228" i="6"/>
  <c r="V228" i="6"/>
  <c r="W228" i="6"/>
  <c r="X228" i="6"/>
  <c r="Y228" i="6"/>
  <c r="Z228" i="6"/>
  <c r="AA228" i="6"/>
  <c r="AC228" i="6"/>
  <c r="AD228" i="6"/>
  <c r="AE228" i="6"/>
  <c r="AF228" i="6"/>
  <c r="AG228" i="6"/>
  <c r="AH228" i="6"/>
  <c r="R10" i="6"/>
  <c r="AC10" i="6"/>
  <c r="AD10" i="6"/>
  <c r="AE10" i="6"/>
  <c r="AF10" i="6"/>
  <c r="AG10" i="6"/>
  <c r="AH10" i="6"/>
  <c r="R11" i="6"/>
  <c r="AC11" i="6"/>
  <c r="AD11" i="6"/>
  <c r="AE11" i="6"/>
  <c r="AF11" i="6"/>
  <c r="AG11" i="6"/>
  <c r="AH11" i="6"/>
  <c r="R12" i="6"/>
  <c r="AC12" i="6"/>
  <c r="AD12" i="6"/>
  <c r="AE12" i="6"/>
  <c r="AF12" i="6"/>
  <c r="AG12" i="6"/>
  <c r="AH12" i="6"/>
  <c r="R9" i="6"/>
  <c r="AC9" i="6"/>
  <c r="AD9" i="6"/>
  <c r="AE9" i="6"/>
  <c r="AF9" i="6"/>
  <c r="AG9" i="6"/>
  <c r="AH9" i="6"/>
  <c r="S7" i="6"/>
  <c r="R8" i="6"/>
  <c r="AC8" i="6"/>
  <c r="AD8" i="6"/>
  <c r="AE8" i="6"/>
  <c r="AF8" i="6"/>
  <c r="AG8" i="6"/>
  <c r="AH8" i="6"/>
  <c r="S10" i="6" l="1"/>
  <c r="S11" i="6"/>
  <c r="S12" i="6"/>
  <c r="T7" i="6"/>
  <c r="S9" i="6"/>
  <c r="S8" i="6"/>
  <c r="AG6" i="6"/>
  <c r="E3" i="6" s="1"/>
  <c r="R5" i="6"/>
  <c r="AC6" i="6"/>
  <c r="F3" i="6" s="1"/>
  <c r="AH6" i="6"/>
  <c r="E4" i="6" s="1"/>
  <c r="AE6" i="6"/>
  <c r="G3" i="6" s="1"/>
  <c r="AD6" i="6"/>
  <c r="F4" i="6" s="1"/>
  <c r="AF6" i="6"/>
  <c r="G4" i="6" s="1"/>
  <c r="S5" i="6" l="1"/>
  <c r="T8" i="6"/>
  <c r="T11" i="6"/>
  <c r="U7" i="6"/>
  <c r="T12" i="6"/>
  <c r="T10" i="6"/>
  <c r="T9" i="6"/>
  <c r="H4" i="6"/>
  <c r="H3" i="6"/>
  <c r="E5" i="6"/>
  <c r="F5" i="6"/>
  <c r="G5" i="6"/>
  <c r="U9" i="6" l="1"/>
  <c r="U11" i="6"/>
  <c r="U8" i="6"/>
  <c r="U10" i="6"/>
  <c r="V7" i="6"/>
  <c r="U12" i="6"/>
  <c r="T5" i="6"/>
  <c r="H5" i="6"/>
  <c r="U5" i="6" l="1"/>
  <c r="V11" i="6"/>
  <c r="V10" i="6"/>
  <c r="V12" i="6"/>
  <c r="V8" i="6"/>
  <c r="W7" i="6"/>
  <c r="V9" i="6"/>
  <c r="W12" i="6" l="1"/>
  <c r="W10" i="6"/>
  <c r="W11" i="6"/>
  <c r="W8" i="6"/>
  <c r="W9" i="6"/>
  <c r="X7" i="6"/>
  <c r="V5" i="6"/>
  <c r="X12" i="6" l="1"/>
  <c r="X10" i="6"/>
  <c r="X9" i="6"/>
  <c r="X11" i="6"/>
  <c r="X8" i="6"/>
  <c r="Y7" i="6"/>
  <c r="W5" i="6"/>
  <c r="Y8" i="6" l="1"/>
  <c r="Y10" i="6"/>
  <c r="Z7" i="6"/>
  <c r="Y11" i="6"/>
  <c r="Y9" i="6"/>
  <c r="Y12" i="6"/>
  <c r="X5" i="6"/>
  <c r="Y5" i="6" l="1"/>
  <c r="Z9" i="6"/>
  <c r="Z12" i="6"/>
  <c r="Z8" i="6"/>
  <c r="AA7" i="6"/>
  <c r="Z10" i="6"/>
  <c r="Z11" i="6"/>
  <c r="Z5" i="6" l="1"/>
  <c r="AA9" i="6"/>
  <c r="AA11" i="6"/>
  <c r="AA10" i="6"/>
  <c r="AA8" i="6"/>
  <c r="AA12" i="6"/>
  <c r="AA5" i="6" l="1"/>
</calcChain>
</file>

<file path=xl/sharedStrings.xml><?xml version="1.0" encoding="utf-8"?>
<sst xmlns="http://schemas.openxmlformats.org/spreadsheetml/2006/main" count="2116" uniqueCount="959">
  <si>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</si>
  <si>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</si>
  <si>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</si>
  <si>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</si>
  <si>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</si>
  <si>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</si>
  <si>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</si>
  <si>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</si>
  <si>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</si>
  <si>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</si>
  <si>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</si>
  <si>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</si>
  <si>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</si>
  <si>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</si>
  <si>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</si>
  <si>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</si>
  <si>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</si>
  <si>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</si>
  <si>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</si>
  <si>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</si>
  <si>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</si>
  <si>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</si>
  <si>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</si>
  <si>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</si>
  <si>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</si>
  <si>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</si>
  <si>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</si>
  <si>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</si>
  <si>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</si>
  <si>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</si>
  <si>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</si>
  <si>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</si>
  <si>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</si>
  <si>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</si>
  <si>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</si>
  <si>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</si>
  <si>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</si>
  <si>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</si>
  <si>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</si>
  <si>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</si>
  <si>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</si>
  <si>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</si>
  <si>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</si>
  <si>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</si>
  <si>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</si>
  <si>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</si>
  <si>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</si>
  <si>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</si>
  <si>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</si>
  <si>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</si>
  <si>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</si>
  <si>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</si>
  <si>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</si>
  <si>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</si>
  <si>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</si>
  <si>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</si>
  <si>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</si>
  <si>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</si>
  <si>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</si>
  <si>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</si>
  <si>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</si>
  <si>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</si>
  <si>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</si>
  <si>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</si>
  <si>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</si>
  <si>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</si>
  <si>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</si>
  <si>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</si>
  <si>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</si>
  <si>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</si>
  <si>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</si>
  <si>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</si>
  <si>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</si>
  <si>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</si>
  <si>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</si>
  <si>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</si>
  <si>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</si>
  <si>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</si>
  <si>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</si>
  <si>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</si>
  <si>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</si>
  <si>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</si>
  <si>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</si>
  <si>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</si>
  <si>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</si>
  <si>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</si>
  <si>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</si>
  <si>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</si>
  <si>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</si>
  <si>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</si>
  <si>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</si>
  <si>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</si>
  <si>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</si>
  <si>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</si>
  <si>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</si>
  <si>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</si>
  <si>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</si>
  <si>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</si>
  <si>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</si>
  <si>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</si>
  <si>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</si>
  <si>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</si>
  <si>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</si>
  <si>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</si>
  <si>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</si>
  <si>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</si>
  <si>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</si>
  <si>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</si>
  <si>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</si>
  <si>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</si>
  <si>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</si>
  <si>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</si>
  <si>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</si>
  <si>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</si>
  <si>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</si>
  <si>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</si>
  <si>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</si>
  <si>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</si>
  <si>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</si>
  <si>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</si>
  <si>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</si>
  <si>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</si>
  <si>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</si>
  <si>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</si>
  <si>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</si>
  <si>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</si>
  <si>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</si>
  <si>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</si>
  <si>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</si>
  <si>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</si>
  <si>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</si>
  <si>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</si>
  <si>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</si>
  <si>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</si>
  <si>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</si>
  <si>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</si>
  <si>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</si>
  <si>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</si>
  <si>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</si>
  <si>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</si>
  <si>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</si>
  <si>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</si>
  <si>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</si>
  <si>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</si>
  <si>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</si>
  <si>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</si>
  <si>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</si>
  <si>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</si>
  <si>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</si>
  <si>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</si>
  <si>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</si>
  <si>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</si>
  <si>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</si>
  <si>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</si>
  <si>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</si>
  <si>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</si>
  <si>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</si>
  <si>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</si>
  <si>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</si>
  <si>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</si>
  <si>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</si>
  <si>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</si>
  <si>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</si>
  <si>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</si>
  <si>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</si>
  <si>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</si>
  <si>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</si>
  <si>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</si>
  <si>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</si>
  <si>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</si>
  <si>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</si>
  <si>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</si>
  <si>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</si>
  <si>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</si>
  <si>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</si>
  <si>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</si>
  <si>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</si>
  <si>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</si>
  <si>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</si>
  <si>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</si>
  <si>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</si>
  <si>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</si>
  <si>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</si>
  <si>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</si>
  <si>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</si>
  <si>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</si>
  <si>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</si>
  <si>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</si>
  <si>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</si>
  <si>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</si>
  <si>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</si>
  <si>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</si>
  <si>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</si>
  <si>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</si>
  <si>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</si>
  <si>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</si>
  <si>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</si>
  <si>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</si>
  <si>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</si>
  <si>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</si>
  <si>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</si>
  <si>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</si>
  <si>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</si>
  <si>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</si>
  <si>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</si>
  <si>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</si>
  <si>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</si>
  <si>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</si>
  <si>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</si>
  <si>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</si>
  <si>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</si>
  <si>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</si>
  <si>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</si>
  <si>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</si>
  <si>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</si>
  <si>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</si>
  <si>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</si>
  <si>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</si>
  <si>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</si>
  <si>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</si>
  <si>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</si>
  <si>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</si>
  <si>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</si>
  <si>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</si>
  <si>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</si>
  <si>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</si>
  <si>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</si>
  <si>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</si>
  <si>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</si>
  <si>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</si>
  <si>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</si>
  <si>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</si>
  <si>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</si>
  <si>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</si>
  <si>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</si>
  <si>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</si>
  <si>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</si>
  <si>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</si>
  <si>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</si>
  <si>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</si>
  <si>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</si>
  <si>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</si>
  <si>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</si>
  <si>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</si>
  <si>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</si>
  <si>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</si>
  <si>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</si>
  <si>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</si>
  <si>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</si>
  <si>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</si>
  <si>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</si>
  <si>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</si>
  <si>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</si>
  <si>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</si>
  <si>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</si>
  <si>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</si>
  <si>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</si>
  <si>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</si>
  <si>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</si>
  <si>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</si>
  <si>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</si>
  <si>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</si>
  <si>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</si>
  <si>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</si>
  <si>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</si>
  <si>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</si>
  <si>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</si>
  <si>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</si>
  <si>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</si>
  <si>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</si>
  <si>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</si>
  <si>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</si>
  <si>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</si>
  <si>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</si>
  <si>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</si>
  <si>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</si>
  <si>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</si>
  <si>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</si>
  <si>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</si>
  <si>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</si>
  <si>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</si>
  <si>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</si>
  <si>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</si>
  <si>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</si>
  <si>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</si>
  <si>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</si>
  <si>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</si>
  <si>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</si>
  <si>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</si>
  <si>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</si>
  <si>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</si>
  <si>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</si>
  <si>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</si>
  <si>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</si>
  <si>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</si>
  <si>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</si>
  <si>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</si>
  <si>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</si>
  <si>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</si>
  <si>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</si>
  <si>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</si>
  <si>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</si>
  <si>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</si>
  <si>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</si>
  <si>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</si>
  <si>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</si>
  <si>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</si>
  <si>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</si>
  <si>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</si>
  <si>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</si>
  <si>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</si>
  <si>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</si>
  <si>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</si>
  <si>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</si>
  <si>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</si>
  <si>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</si>
  <si>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</si>
  <si>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</si>
  <si>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</si>
  <si>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</si>
  <si>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</si>
  <si>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</si>
  <si>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</si>
  <si>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</si>
  <si>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</si>
  <si>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</si>
  <si>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</si>
  <si>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</si>
  <si>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</si>
  <si>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</si>
  <si>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</si>
  <si>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</si>
  <si>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</si>
  <si>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</si>
  <si>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</si>
  <si>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</si>
  <si>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</si>
  <si>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</si>
  <si>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</si>
  <si>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</si>
  <si>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</si>
  <si>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</si>
  <si>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</si>
  <si>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</si>
  <si>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</si>
  <si>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</si>
  <si>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</si>
  <si>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</si>
  <si>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</si>
  <si>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</si>
  <si>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</si>
  <si>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</si>
  <si>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</si>
  <si>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</si>
  <si>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</si>
  <si>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</si>
  <si>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</si>
  <si>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</si>
  <si>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</si>
  <si>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</si>
  <si>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</si>
  <si>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</si>
  <si>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</si>
  <si>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</si>
  <si>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</si>
  <si>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</si>
  <si>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</si>
  <si>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</si>
  <si>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</si>
  <si>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</si>
  <si>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</si>
  <si>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</si>
  <si>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</si>
  <si>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</si>
  <si>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</si>
  <si>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</si>
  <si>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</si>
  <si>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</si>
  <si>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</si>
  <si>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</si>
  <si>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</si>
  <si>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</si>
  <si>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</si>
  <si>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</si>
  <si>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</si>
  <si>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</si>
  <si>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</si>
  <si>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</si>
  <si>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</si>
  <si>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</si>
  <si>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</si>
  <si>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</si>
  <si>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</si>
  <si>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</si>
  <si>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</si>
  <si>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</si>
  <si>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</si>
  <si>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</si>
  <si>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</si>
  <si>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</si>
  <si>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</si>
  <si>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</si>
  <si>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</si>
  <si>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</si>
  <si>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</si>
  <si>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</si>
  <si>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</si>
  <si>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</si>
  <si>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</si>
  <si>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</si>
  <si>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</si>
  <si>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</si>
  <si>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</si>
  <si>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</si>
  <si>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</si>
  <si>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</si>
  <si>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</si>
  <si>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</si>
  <si>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</si>
  <si>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</si>
  <si>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</si>
  <si>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</si>
  <si>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</si>
  <si>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</si>
  <si>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</si>
  <si>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</si>
  <si>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</si>
  <si>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</si>
  <si>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</si>
  <si>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</si>
  <si>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</si>
  <si>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</si>
  <si>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</si>
  <si>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</si>
  <si>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</si>
  <si>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</si>
  <si>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</si>
  <si>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</si>
  <si>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</si>
  <si>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</si>
  <si>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</si>
  <si>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</si>
  <si>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</si>
  <si>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</si>
  <si>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</si>
  <si>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</si>
  <si>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</si>
  <si>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</si>
  <si>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</si>
  <si>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</si>
  <si>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</si>
  <si>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</si>
  <si>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</si>
  <si>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</si>
  <si>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</si>
  <si>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</si>
  <si>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</si>
  <si>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</si>
  <si>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</si>
  <si>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</si>
  <si>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</si>
  <si>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</si>
  <si>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</si>
  <si>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</si>
  <si>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</si>
  <si>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</si>
  <si>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</si>
  <si>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</si>
  <si>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</si>
  <si>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</si>
  <si>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</si>
  <si>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</si>
  <si>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</si>
  <si>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</si>
  <si>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</si>
  <si>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</si>
  <si>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</si>
  <si>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</si>
  <si>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</si>
  <si>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</si>
  <si>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</si>
  <si>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</si>
  <si>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</si>
  <si>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</si>
  <si>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</si>
  <si>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</si>
  <si>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</si>
  <si>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</si>
  <si>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</si>
  <si>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</si>
  <si>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</si>
  <si>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</si>
  <si>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</si>
  <si>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</si>
  <si>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</si>
  <si>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</si>
  <si>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</si>
  <si>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</si>
  <si>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</si>
  <si>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</si>
  <si>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</si>
  <si>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</si>
  <si>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</si>
  <si>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</si>
  <si>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</si>
  <si>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</si>
  <si>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</si>
  <si>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</si>
  <si>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</si>
  <si>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</si>
  <si>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</si>
  <si>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</si>
  <si>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</si>
  <si>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</si>
  <si>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</si>
  <si>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</si>
  <si>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</si>
  <si>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</si>
  <si>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</si>
  <si>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</si>
  <si>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</si>
  <si>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</si>
  <si>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</si>
  <si>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</si>
  <si>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</si>
  <si>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</si>
  <si>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</si>
  <si>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</si>
  <si>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</si>
  <si>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</si>
  <si>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</si>
  <si>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</si>
  <si>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</si>
  <si>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</si>
  <si>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</si>
  <si>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</si>
  <si>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</si>
  <si>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</si>
  <si>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</si>
  <si>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</si>
  <si>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</si>
  <si>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</si>
  <si>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</si>
  <si>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</si>
  <si>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</si>
  <si>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</si>
  <si>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</si>
  <si>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</si>
  <si>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</si>
  <si>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</si>
  <si>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</si>
  <si>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</si>
  <si>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</si>
  <si>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</si>
  <si>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</si>
  <si>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</si>
  <si>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</si>
  <si>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</si>
  <si>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</si>
  <si>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</si>
  <si>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</si>
  <si>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</si>
  <si>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</si>
  <si>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</si>
  <si>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</si>
  <si>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</si>
  <si>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</si>
  <si>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</si>
  <si>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</si>
  <si>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</si>
  <si>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</si>
  <si>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</si>
  <si>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</si>
  <si>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</si>
  <si>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</si>
  <si>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</si>
  <si>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</si>
  <si>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</si>
  <si>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</si>
  <si>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</si>
  <si>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</si>
  <si>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</si>
  <si>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</si>
  <si>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</si>
  <si>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</si>
  <si>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</si>
  <si>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</si>
  <si>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</si>
  <si>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</si>
  <si>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</si>
  <si>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</si>
  <si>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</si>
  <si>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</si>
  <si>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</si>
  <si>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</si>
  <si>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</si>
  <si>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</si>
  <si>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</si>
  <si>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</si>
  <si>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</si>
  <si>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</si>
  <si>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</si>
  <si>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</si>
  <si>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</si>
  <si>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</si>
  <si>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</si>
  <si>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</si>
  <si>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</si>
  <si>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</si>
  <si>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</si>
  <si>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</si>
  <si>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</si>
  <si>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</si>
  <si>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</si>
  <si>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</si>
  <si>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</si>
  <si>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</si>
  <si>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</si>
  <si>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</si>
  <si>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</si>
  <si>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</si>
  <si>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</si>
  <si>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</si>
  <si>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</si>
  <si>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</si>
  <si>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</si>
  <si>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</si>
  <si>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</si>
  <si>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</si>
  <si>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</si>
  <si>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</si>
  <si>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</si>
  <si>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</si>
  <si>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</si>
  <si>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</si>
  <si>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</si>
  <si>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</si>
  <si>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</si>
  <si>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</si>
  <si>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</si>
  <si>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</si>
  <si>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</si>
  <si>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</si>
  <si>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</si>
  <si>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</si>
  <si>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</si>
  <si>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</si>
  <si>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</si>
  <si>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</si>
  <si>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</si>
  <si>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</si>
  <si>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</si>
  <si>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</si>
  <si>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</si>
  <si>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</si>
  <si>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</si>
  <si>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</si>
  <si>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</si>
  <si>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</si>
  <si>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</si>
  <si>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</si>
  <si>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</si>
  <si>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</si>
  <si>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</si>
  <si>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</si>
  <si>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</si>
  <si>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</si>
  <si>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</si>
  <si>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</si>
  <si>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</si>
  <si>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</si>
  <si>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</si>
  <si>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</si>
  <si>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</si>
  <si>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</si>
  <si>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</si>
  <si>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</si>
  <si>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</si>
  <si>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</si>
  <si>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</si>
  <si>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</si>
  <si>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</si>
  <si>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</si>
  <si>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</si>
  <si>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</si>
  <si>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</si>
  <si>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</si>
  <si>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</si>
  <si>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</si>
  <si>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</si>
  <si>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</si>
  <si>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</si>
  <si>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</si>
  <si>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</si>
  <si>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</si>
  <si>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</si>
  <si>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</si>
  <si>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</si>
  <si>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</si>
  <si>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</si>
  <si>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</si>
  <si>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</si>
  <si>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</si>
  <si>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</si>
  <si>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</si>
  <si>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</si>
  <si>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</si>
  <si>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</si>
  <si>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</si>
  <si>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</si>
  <si>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</si>
  <si>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</si>
  <si>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</si>
  <si>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</si>
  <si>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</si>
  <si>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</si>
  <si>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</si>
  <si>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</si>
  <si>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</si>
  <si>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</si>
  <si>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</si>
  <si>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</si>
  <si>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</si>
  <si>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</si>
  <si>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</si>
  <si>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</si>
  <si>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</si>
  <si>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</si>
  <si>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</si>
  <si>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</si>
  <si>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</si>
  <si>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</si>
  <si>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</si>
  <si>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</si>
  <si>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</si>
  <si>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</si>
  <si>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</si>
  <si>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</si>
  <si>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</si>
  <si>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</si>
  <si>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</si>
  <si>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</si>
  <si>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</si>
  <si>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</si>
  <si>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</si>
  <si>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</si>
  <si>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</si>
  <si>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</si>
  <si>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</si>
  <si>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</si>
  <si>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</si>
  <si>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</si>
  <si>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</si>
  <si>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</si>
  <si>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</si>
  <si>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</si>
  <si>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</si>
  <si>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</si>
  <si>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</si>
  <si>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</si>
  <si>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</si>
  <si>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</si>
  <si>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</si>
  <si>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</si>
  <si>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</si>
  <si>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</si>
  <si>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</si>
  <si>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</si>
  <si>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</si>
  <si>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</si>
  <si>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</si>
  <si>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</si>
  <si>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</si>
  <si>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</si>
  <si>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</si>
  <si>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</si>
  <si>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</si>
  <si>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</si>
  <si>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</si>
  <si>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</si>
  <si>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</si>
  <si>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</si>
  <si>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</si>
  <si>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</si>
  <si>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</si>
  <si>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</si>
  <si>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</si>
  <si>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</si>
  <si>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</si>
  <si>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</si>
  <si>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</si>
  <si>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</si>
  <si>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</si>
  <si>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</si>
  <si>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</si>
  <si>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</si>
  <si>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</si>
  <si>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</si>
  <si>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</si>
  <si>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</si>
  <si>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</si>
  <si>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</si>
  <si>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</si>
  <si>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</si>
  <si>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</si>
  <si>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</si>
  <si>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</si>
  <si>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</si>
  <si>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</si>
  <si>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</si>
  <si>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</si>
  <si>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</si>
  <si>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</si>
  <si>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</si>
  <si>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</si>
  <si>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</si>
  <si>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</si>
  <si>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</si>
  <si>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</si>
  <si>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</si>
  <si>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</si>
  <si>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</si>
  <si>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</si>
  <si>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</si>
  <si>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</si>
  <si>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</si>
  <si>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</si>
  <si>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</si>
  <si>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</si>
  <si>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Giovanni Paisello, 28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</si>
  <si>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</si>
  <si>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</si>
  <si>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</si>
  <si>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</si>
  <si>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</si>
  <si>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</si>
  <si>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</si>
  <si>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</si>
  <si>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</si>
  <si>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</si>
  <si>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</si>
  <si>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</si>
  <si>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</si>
  <si>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</si>
  <si>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</si>
  <si>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</si>
  <si>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</si>
  <si>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</si>
  <si>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</si>
  <si>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</si>
  <si>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</si>
  <si>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</si>
  <si>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</si>
  <si>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</si>
  <si>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</si>
  <si>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</si>
  <si>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</si>
  <si>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</si>
  <si>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</si>
  <si>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</si>
  <si>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</si>
  <si>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</si>
  <si>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</si>
  <si>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</si>
  <si>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</si>
  <si>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</si>
  <si>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</si>
  <si>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</si>
  <si>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</si>
  <si>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</si>
  <si>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</si>
  <si>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</si>
  <si>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</si>
  <si>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</si>
  <si>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</si>
  <si>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</si>
  <si>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</si>
  <si>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</si>
  <si>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</si>
  <si>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</si>
  <si>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</si>
  <si>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</si>
  <si>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</si>
  <si>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</si>
  <si>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</si>
  <si>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</si>
  <si>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</si>
  <si>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</si>
  <si>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</si>
  <si>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</si>
  <si>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</si>
  <si>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</si>
  <si>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</si>
  <si>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</si>
  <si>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</si>
  <si>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</si>
  <si>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</si>
  <si>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</si>
  <si>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</si>
  <si>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</si>
  <si>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</si>
  <si>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</si>
  <si>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</si>
  <si>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</si>
  <si>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</si>
  <si>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</si>
  <si>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</si>
  <si>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</si>
  <si>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</si>
  <si>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</si>
  <si>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</si>
  <si>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</si>
  <si>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</si>
  <si>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</si>
  <si>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</si>
  <si>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</si>
  <si>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</si>
  <si>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</si>
  <si>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</si>
  <si>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</si>
  <si>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</si>
  <si>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</si>
  <si>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</si>
  <si>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</si>
  <si>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</si>
  <si>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</si>
  <si>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</si>
  <si>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</si>
  <si>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</si>
  <si>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</si>
  <si>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</si>
  <si>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</si>
  <si>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</si>
  <si>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</si>
  <si>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</si>
  <si>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</si>
  <si>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</si>
  <si>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</si>
  <si>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</si>
  <si>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</si>
  <si>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</si>
  <si>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</si>
  <si>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Via Manzoni, 5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</si>
  <si>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</si>
  <si>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</si>
  <si>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</si>
  <si>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</si>
  <si>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</si>
  <si>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</si>
  <si>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</si>
  <si>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</si>
  <si>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</si>
  <si>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</si>
  <si>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</si>
  <si>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</si>
  <si>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</si>
  <si>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</si>
  <si>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i</t>
  </si>
  <si>
    <t>Piazzale Carlo Maciachini,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</si>
</sst>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H437"/>
  <sheetViews>
    <sheetView tabSelected="1" zoomScale="110" zoomScaleNormal="110" workbookViewId="0">
      <pane ySplit="7" topLeftCell="A139" activePane="bottomLeft" state="frozen"/>
      <selection pane="bottomLeft" activeCell="E146" sqref="E146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7.42578125" style="2" customWidth="1"/>
    <col min="18" max="18" width="9.28515625" style="2" customWidth="1"/>
    <col min="19" max="19" width="8.28515625" style="2" customWidth="1"/>
    <col min="20" max="20" width="5.7109375" style="2" customWidth="1"/>
    <col min="21" max="26" width="9.42578125" style="2" bestFit="1" customWidth="1"/>
    <col min="27" max="27" width="10.85546875" style="2" bestFit="1" customWidth="1"/>
    <col min="28" max="28" width="7" style="2" customWidth="1"/>
    <col min="29" max="29" width="21.85546875" style="2" customWidth="1"/>
    <col min="30" max="30" width="27.28515625" style="2" customWidth="1"/>
    <col min="31" max="31" width="14.28515625" style="2" customWidth="1"/>
    <col min="32" max="32" width="19.85546875" style="2" customWidth="1"/>
    <col min="33" max="33" width="15.140625" style="2" customWidth="1"/>
    <col min="34" max="34" width="18.140625" style="2" customWidth="1"/>
    <col min="35" max="16384" width="9.140625" style="3"/>
  </cols>
  <sheetData>
    <row r="1" spans="1:34" ht="14.25" customHeight="1" x14ac:dyDescent="0.2">
      <c r="F1" s="2"/>
    </row>
    <row r="2" spans="1:34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4" ht="14.25" customHeight="1" x14ac:dyDescent="0.2">
      <c r="D3" s="3" t="s">
        <v>2</v>
      </c>
      <c r="E3" s="7">
        <f>+AG6</f>
        <v>45</v>
      </c>
      <c r="F3" s="7">
        <f>+AC6</f>
        <v>46</v>
      </c>
      <c r="G3" s="7">
        <f>+AE6</f>
        <v>33</v>
      </c>
      <c r="H3" s="7">
        <f>+E3-G3</f>
        <v>12</v>
      </c>
      <c r="I3" s="8" t="s">
        <v>10</v>
      </c>
      <c r="J3" s="23" t="s">
        <v>18</v>
      </c>
      <c r="K3" s="1" t="s">
        <v>21</v>
      </c>
    </row>
    <row r="4" spans="1:34" ht="14.25" customHeight="1" x14ac:dyDescent="0.25">
      <c r="D4" s="18" t="s">
        <v>3</v>
      </c>
      <c r="E4" s="9">
        <f>+AH6</f>
        <v>138</v>
      </c>
      <c r="F4" s="9">
        <f>+AD6</f>
        <v>61</v>
      </c>
      <c r="G4" s="9">
        <f>+AF6</f>
        <v>44</v>
      </c>
      <c r="H4" s="7">
        <f>+E4-G4</f>
        <v>94</v>
      </c>
      <c r="I4" s="24" t="s">
        <v>16</v>
      </c>
      <c r="J4" s="10" t="s">
        <v>17</v>
      </c>
      <c r="K4" s="16" t="s">
        <v>43</v>
      </c>
    </row>
    <row r="5" spans="1:34" ht="14.25" customHeight="1" x14ac:dyDescent="0.2">
      <c r="D5" s="19" t="s">
        <v>12</v>
      </c>
      <c r="E5" s="11">
        <f>+E3+E4</f>
        <v>183</v>
      </c>
      <c r="F5" s="11">
        <f>+F3+F4</f>
        <v>107</v>
      </c>
      <c r="G5" s="11">
        <f>+G3+G4</f>
        <v>77</v>
      </c>
      <c r="H5" s="11">
        <f>+H3+H4</f>
        <v>106</v>
      </c>
      <c r="I5" s="25" t="s">
        <v>43</v>
      </c>
      <c r="J5" s="12"/>
      <c r="K5" s="12"/>
      <c r="N5" s="13"/>
      <c r="Q5" s="12"/>
      <c r="R5" s="12">
        <f t="shared" ref="R5:AA5" si="0">SUM(R8:R1879)</f>
        <v>23</v>
      </c>
      <c r="S5" s="12">
        <f t="shared" si="0"/>
        <v>10</v>
      </c>
      <c r="T5" s="12">
        <f t="shared" si="0"/>
        <v>19</v>
      </c>
      <c r="U5" s="12">
        <f t="shared" si="0"/>
        <v>7</v>
      </c>
      <c r="V5" s="12">
        <f t="shared" si="0"/>
        <v>3</v>
      </c>
      <c r="W5" s="12">
        <f t="shared" si="0"/>
        <v>21</v>
      </c>
      <c r="X5" s="12">
        <f t="shared" si="0"/>
        <v>4</v>
      </c>
      <c r="Y5" s="12">
        <f t="shared" si="0"/>
        <v>17</v>
      </c>
      <c r="Z5" s="12">
        <f t="shared" si="0"/>
        <v>6</v>
      </c>
      <c r="AA5" s="12">
        <f t="shared" si="0"/>
        <v>7</v>
      </c>
      <c r="AB5" s="12"/>
      <c r="AC5" s="12"/>
      <c r="AD5" s="12"/>
      <c r="AE5" s="12"/>
      <c r="AF5" s="12"/>
    </row>
    <row r="6" spans="1:34" ht="14.25" customHeight="1" x14ac:dyDescent="0.2">
      <c r="F6" s="2"/>
      <c r="R6" s="2" t="s">
        <v>15</v>
      </c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C6" s="2">
        <f t="shared" ref="AC6:AH6" si="1">SUM(AC8:AC1878)</f>
        <v>46</v>
      </c>
      <c r="AD6" s="2">
        <f t="shared" si="1"/>
        <v>61</v>
      </c>
      <c r="AE6" s="2">
        <f t="shared" si="1"/>
        <v>33</v>
      </c>
      <c r="AF6" s="2">
        <f t="shared" si="1"/>
        <v>44</v>
      </c>
      <c r="AG6" s="2">
        <f t="shared" si="1"/>
        <v>45</v>
      </c>
      <c r="AH6" s="2">
        <f t="shared" si="1"/>
        <v>138</v>
      </c>
    </row>
    <row r="7" spans="1:34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864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26"/>
      <c r="R7" s="26">
        <v>1</v>
      </c>
      <c r="S7" s="26">
        <f>+R7+1</f>
        <v>2</v>
      </c>
      <c r="T7" s="26">
        <f t="shared" ref="T7:AA7" si="2">+S7+1</f>
        <v>3</v>
      </c>
      <c r="U7" s="26">
        <f t="shared" si="2"/>
        <v>4</v>
      </c>
      <c r="V7" s="26">
        <f t="shared" si="2"/>
        <v>5</v>
      </c>
      <c r="W7" s="26">
        <f t="shared" si="2"/>
        <v>6</v>
      </c>
      <c r="X7" s="26">
        <f t="shared" si="2"/>
        <v>7</v>
      </c>
      <c r="Y7" s="26">
        <f t="shared" si="2"/>
        <v>8</v>
      </c>
      <c r="Z7" s="26">
        <f t="shared" si="2"/>
        <v>9</v>
      </c>
      <c r="AA7" s="26">
        <f t="shared" si="2"/>
        <v>10</v>
      </c>
      <c r="AB7" s="26"/>
      <c r="AC7" s="26" t="s">
        <v>23</v>
      </c>
      <c r="AD7" s="26" t="s">
        <v>24</v>
      </c>
      <c r="AE7" s="26" t="s">
        <v>4</v>
      </c>
      <c r="AF7" s="26" t="s">
        <v>5</v>
      </c>
      <c r="AG7" s="26" t="s">
        <v>6</v>
      </c>
      <c r="AH7" s="26" t="s">
        <v>7</v>
      </c>
    </row>
    <row r="8" spans="1:34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879</v>
      </c>
      <c r="N8" s="35" t="s">
        <v>900</v>
      </c>
      <c r="O8" s="36"/>
      <c r="P8" s="36"/>
      <c r="R8" s="2">
        <f>IF(J8=$R$7,1,0)</f>
        <v>0</v>
      </c>
      <c r="S8" s="2">
        <f>IF(J8=$S$7,1,0)</f>
        <v>0</v>
      </c>
      <c r="T8" s="2">
        <f>IF(J8=$T$7,1,0)</f>
        <v>1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C8" s="2">
        <f>+O8*P8</f>
        <v>0</v>
      </c>
      <c r="AD8" s="2">
        <f>O8*(1-P8)</f>
        <v>0</v>
      </c>
      <c r="AE8" s="2">
        <f t="shared" ref="AE8:AE12" si="3">+O8*P8*(1-A8)</f>
        <v>0</v>
      </c>
      <c r="AF8" s="2">
        <f t="shared" ref="AF8:AF12" si="4">O8*(1-P8)*(1-A8)</f>
        <v>0</v>
      </c>
      <c r="AG8" s="2">
        <f t="shared" ref="AG8:AG12" si="5">+P8*(1-A8)</f>
        <v>0</v>
      </c>
      <c r="AH8" s="2">
        <f t="shared" ref="AH8:AH12" si="6">+(1-A8)*(1-P8)</f>
        <v>1</v>
      </c>
    </row>
    <row r="9" spans="1:34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896</v>
      </c>
      <c r="O9" s="33">
        <v>1</v>
      </c>
      <c r="P9" s="33">
        <v>1</v>
      </c>
      <c r="R9" s="2">
        <f>IF(J9=$R$7,1,0)</f>
        <v>0</v>
      </c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1</v>
      </c>
      <c r="Z9" s="2">
        <f>IF(J9=$Z$7,1,0)</f>
        <v>0</v>
      </c>
      <c r="AA9" s="2">
        <f>IF(J9=$AA$7,1,0)</f>
        <v>0</v>
      </c>
      <c r="AC9" s="2">
        <f>+O9*P9</f>
        <v>1</v>
      </c>
      <c r="AD9" s="2">
        <f>O9*(1-P9)</f>
        <v>0</v>
      </c>
      <c r="AE9" s="2">
        <f t="shared" si="3"/>
        <v>1</v>
      </c>
      <c r="AF9" s="2">
        <f t="shared" si="4"/>
        <v>0</v>
      </c>
      <c r="AG9" s="2">
        <f t="shared" si="5"/>
        <v>1</v>
      </c>
      <c r="AH9" s="2">
        <f t="shared" si="6"/>
        <v>0</v>
      </c>
    </row>
    <row r="10" spans="1:34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R10" s="2">
        <f>IF(J10=$R$7,1,0)</f>
        <v>0</v>
      </c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1</v>
      </c>
      <c r="X10" s="2">
        <f>IF(J10=$X$7,1,0)</f>
        <v>0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C10" s="2">
        <f>+O10*P10</f>
        <v>0</v>
      </c>
      <c r="AD10" s="2">
        <f>O10*(1-P10)</f>
        <v>0</v>
      </c>
      <c r="AE10" s="2">
        <f t="shared" si="3"/>
        <v>0</v>
      </c>
      <c r="AF10" s="2">
        <f t="shared" si="4"/>
        <v>0</v>
      </c>
      <c r="AG10" s="2">
        <f t="shared" si="5"/>
        <v>1</v>
      </c>
      <c r="AH10" s="2">
        <f t="shared" si="6"/>
        <v>0</v>
      </c>
    </row>
    <row r="11" spans="1:34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899</v>
      </c>
      <c r="O11" s="36"/>
      <c r="P11" s="36"/>
      <c r="R11" s="2">
        <f>IF(J11=$R$7,1,0)</f>
        <v>0</v>
      </c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1</v>
      </c>
      <c r="X11" s="2">
        <f>IF(J11=$X$7,1,0)</f>
        <v>0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C11" s="2">
        <f>+O11*P11</f>
        <v>0</v>
      </c>
      <c r="AD11" s="2">
        <f>O11*(1-P11)</f>
        <v>0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1</v>
      </c>
    </row>
    <row r="12" spans="1:34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880</v>
      </c>
      <c r="N12" s="35" t="s">
        <v>900</v>
      </c>
      <c r="O12" s="36"/>
      <c r="P12" s="36"/>
      <c r="R12" s="2">
        <f t="shared" ref="R12:R16" si="7">IF(J12=$R$7,1,0)</f>
        <v>1</v>
      </c>
      <c r="S12" s="2">
        <f t="shared" ref="S12:S16" si="8">IF(J12=$S$7,1,0)</f>
        <v>0</v>
      </c>
      <c r="T12" s="2">
        <f t="shared" ref="T12:T16" si="9">IF(J12=$T$7,1,0)</f>
        <v>0</v>
      </c>
      <c r="U12" s="2">
        <f t="shared" ref="U12:U16" si="10">IF(J12=$U$7,1,0)</f>
        <v>0</v>
      </c>
      <c r="V12" s="2">
        <f t="shared" ref="V12:V16" si="11">IF(J12=$V$7,1,0)</f>
        <v>0</v>
      </c>
      <c r="W12" s="2">
        <f t="shared" ref="W12:W16" si="12">IF(J12=$W$7,1,0)</f>
        <v>0</v>
      </c>
      <c r="X12" s="2">
        <f t="shared" ref="X12:X16" si="13">IF(J12=$X$7,1,0)</f>
        <v>0</v>
      </c>
      <c r="Y12" s="2">
        <f t="shared" ref="Y12:Y16" si="14">IF(J12=$Y$7,1,0)</f>
        <v>0</v>
      </c>
      <c r="Z12" s="2">
        <f t="shared" ref="Z12:Z16" si="15">IF(J12=$Z$7,1,0)</f>
        <v>0</v>
      </c>
      <c r="AA12" s="2">
        <f t="shared" ref="AA12:AA16" si="16">IF(J12=$AA$7,1,0)</f>
        <v>0</v>
      </c>
      <c r="AC12" s="2">
        <f t="shared" ref="AC12:AC16" si="17">+O12*P12</f>
        <v>0</v>
      </c>
      <c r="AD12" s="2">
        <f t="shared" ref="AD12:AD16" si="18">O12*(1-P12)</f>
        <v>0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1</v>
      </c>
    </row>
    <row r="13" spans="1:34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881</v>
      </c>
      <c r="N13" s="35" t="s">
        <v>897</v>
      </c>
      <c r="O13" s="36"/>
      <c r="P13" s="36"/>
      <c r="R13" s="2">
        <f t="shared" si="7"/>
        <v>0</v>
      </c>
      <c r="S13" s="2">
        <f t="shared" si="8"/>
        <v>0</v>
      </c>
      <c r="T13" s="2">
        <f t="shared" si="9"/>
        <v>0</v>
      </c>
      <c r="U13" s="2">
        <f t="shared" si="10"/>
        <v>0</v>
      </c>
      <c r="V13" s="2">
        <f t="shared" si="11"/>
        <v>0</v>
      </c>
      <c r="W13" s="2">
        <f t="shared" si="12"/>
        <v>0</v>
      </c>
      <c r="X13" s="2">
        <f t="shared" si="13"/>
        <v>0</v>
      </c>
      <c r="Y13" s="2">
        <f t="shared" si="14"/>
        <v>0</v>
      </c>
      <c r="Z13" s="2">
        <f t="shared" si="15"/>
        <v>0</v>
      </c>
      <c r="AA13" s="2">
        <f t="shared" si="16"/>
        <v>0</v>
      </c>
      <c r="AC13" s="2">
        <f t="shared" si="17"/>
        <v>0</v>
      </c>
      <c r="AD13" s="2">
        <f t="shared" si="18"/>
        <v>0</v>
      </c>
      <c r="AE13" s="2">
        <f t="shared" ref="AE13:AE76" si="19">+O13*P13*(1-A13)</f>
        <v>0</v>
      </c>
      <c r="AF13" s="2">
        <f t="shared" ref="AF13:AF76" si="20">O13*(1-P13)*(1-A13)</f>
        <v>0</v>
      </c>
      <c r="AG13" s="2">
        <f t="shared" ref="AG13:AG76" si="21">+P13*(1-A13)</f>
        <v>0</v>
      </c>
      <c r="AH13" s="2">
        <f t="shared" ref="AH13:AH76" si="22">+(1-A13)*(1-P13)</f>
        <v>1</v>
      </c>
    </row>
    <row r="14" spans="1:34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896</v>
      </c>
      <c r="O14" s="33">
        <v>1</v>
      </c>
      <c r="P14" s="33">
        <v>1</v>
      </c>
      <c r="R14" s="2">
        <f t="shared" si="7"/>
        <v>0</v>
      </c>
      <c r="S14" s="2">
        <f t="shared" si="8"/>
        <v>0</v>
      </c>
      <c r="T14" s="2">
        <f t="shared" si="9"/>
        <v>1</v>
      </c>
      <c r="U14" s="2">
        <f t="shared" si="10"/>
        <v>0</v>
      </c>
      <c r="V14" s="2">
        <f t="shared" si="11"/>
        <v>0</v>
      </c>
      <c r="W14" s="2">
        <f t="shared" si="12"/>
        <v>0</v>
      </c>
      <c r="X14" s="2">
        <f t="shared" si="13"/>
        <v>0</v>
      </c>
      <c r="Y14" s="2">
        <f t="shared" si="14"/>
        <v>0</v>
      </c>
      <c r="Z14" s="2">
        <f t="shared" si="15"/>
        <v>0</v>
      </c>
      <c r="AA14" s="2">
        <f t="shared" si="16"/>
        <v>0</v>
      </c>
      <c r="AC14" s="2">
        <f t="shared" si="17"/>
        <v>1</v>
      </c>
      <c r="AD14" s="2">
        <f t="shared" si="18"/>
        <v>0</v>
      </c>
      <c r="AE14" s="2">
        <f t="shared" si="19"/>
        <v>1</v>
      </c>
      <c r="AF14" s="2">
        <f t="shared" si="20"/>
        <v>0</v>
      </c>
      <c r="AG14" s="2">
        <f t="shared" si="21"/>
        <v>1</v>
      </c>
      <c r="AH14" s="2">
        <f t="shared" si="22"/>
        <v>0</v>
      </c>
    </row>
    <row r="15" spans="1:34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862</v>
      </c>
      <c r="M15" s="35" t="s">
        <v>738</v>
      </c>
      <c r="N15" s="35" t="s">
        <v>931</v>
      </c>
      <c r="O15" s="36"/>
      <c r="P15" s="36"/>
      <c r="R15" s="2">
        <f t="shared" si="7"/>
        <v>0</v>
      </c>
      <c r="S15" s="2">
        <f t="shared" si="8"/>
        <v>0</v>
      </c>
      <c r="T15" s="2">
        <f t="shared" si="9"/>
        <v>0</v>
      </c>
      <c r="U15" s="2">
        <f t="shared" si="10"/>
        <v>0</v>
      </c>
      <c r="V15" s="2">
        <f t="shared" si="11"/>
        <v>0</v>
      </c>
      <c r="W15" s="2">
        <f t="shared" si="12"/>
        <v>0</v>
      </c>
      <c r="X15" s="2">
        <f t="shared" si="13"/>
        <v>0</v>
      </c>
      <c r="Y15" s="2">
        <f t="shared" si="14"/>
        <v>0</v>
      </c>
      <c r="Z15" s="2">
        <f t="shared" si="15"/>
        <v>0</v>
      </c>
      <c r="AA15" s="2">
        <f t="shared" si="16"/>
        <v>0</v>
      </c>
      <c r="AC15" s="2">
        <f t="shared" si="17"/>
        <v>0</v>
      </c>
      <c r="AD15" s="2">
        <f t="shared" si="18"/>
        <v>0</v>
      </c>
      <c r="AE15" s="2">
        <f t="shared" si="19"/>
        <v>0</v>
      </c>
      <c r="AF15" s="2">
        <f t="shared" si="20"/>
        <v>0</v>
      </c>
      <c r="AG15" s="2">
        <f t="shared" si="21"/>
        <v>0</v>
      </c>
      <c r="AH15" s="2">
        <f t="shared" si="22"/>
        <v>1</v>
      </c>
    </row>
    <row r="16" spans="1:34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860</v>
      </c>
      <c r="M16" s="21" t="s">
        <v>739</v>
      </c>
      <c r="N16" s="21"/>
      <c r="O16" s="7"/>
      <c r="P16" s="7"/>
      <c r="R16" s="2">
        <f t="shared" si="7"/>
        <v>0</v>
      </c>
      <c r="S16" s="2">
        <f t="shared" si="8"/>
        <v>0</v>
      </c>
      <c r="T16" s="2">
        <f t="shared" si="9"/>
        <v>0</v>
      </c>
      <c r="U16" s="2">
        <f t="shared" si="10"/>
        <v>0</v>
      </c>
      <c r="V16" s="2">
        <f t="shared" si="11"/>
        <v>0</v>
      </c>
      <c r="W16" s="2">
        <f t="shared" si="12"/>
        <v>0</v>
      </c>
      <c r="X16" s="2">
        <f t="shared" si="13"/>
        <v>0</v>
      </c>
      <c r="Y16" s="2">
        <f t="shared" si="14"/>
        <v>0</v>
      </c>
      <c r="Z16" s="2">
        <f t="shared" si="15"/>
        <v>0</v>
      </c>
      <c r="AA16" s="2">
        <f t="shared" si="16"/>
        <v>0</v>
      </c>
      <c r="AC16" s="2">
        <f t="shared" si="17"/>
        <v>0</v>
      </c>
      <c r="AD16" s="2">
        <f t="shared" si="18"/>
        <v>0</v>
      </c>
      <c r="AE16" s="2">
        <f t="shared" si="19"/>
        <v>0</v>
      </c>
      <c r="AF16" s="2">
        <f t="shared" si="20"/>
        <v>0</v>
      </c>
      <c r="AG16" s="2">
        <f t="shared" si="21"/>
        <v>0</v>
      </c>
      <c r="AH16" s="2">
        <f t="shared" si="22"/>
        <v>1</v>
      </c>
    </row>
    <row r="17" spans="1:34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895</v>
      </c>
      <c r="N17" s="35" t="s">
        <v>900</v>
      </c>
      <c r="O17" s="36"/>
      <c r="P17" s="36"/>
      <c r="R17" s="2">
        <f t="shared" ref="R17:R80" si="23">IF(J17=$R$7,1,0)</f>
        <v>0</v>
      </c>
      <c r="S17" s="2">
        <f t="shared" ref="S17:S80" si="24">IF(J17=$S$7,1,0)</f>
        <v>0</v>
      </c>
      <c r="T17" s="2">
        <f t="shared" ref="T17:T80" si="25">IF(J17=$T$7,1,0)</f>
        <v>0</v>
      </c>
      <c r="U17" s="2">
        <f t="shared" ref="U17:U80" si="26">IF(J17=$U$7,1,0)</f>
        <v>0</v>
      </c>
      <c r="V17" s="2">
        <f t="shared" ref="V17:V80" si="27">IF(J17=$V$7,1,0)</f>
        <v>0</v>
      </c>
      <c r="W17" s="2">
        <f t="shared" ref="W17:W80" si="28">IF(J17=$W$7,1,0)</f>
        <v>0</v>
      </c>
      <c r="X17" s="2">
        <f t="shared" ref="X17:X80" si="29">IF(J17=$X$7,1,0)</f>
        <v>0</v>
      </c>
      <c r="Y17" s="2">
        <f t="shared" ref="Y17:Y80" si="30">IF(J17=$Y$7,1,0)</f>
        <v>0</v>
      </c>
      <c r="Z17" s="2">
        <f t="shared" ref="Z17:Z80" si="31">IF(J17=$Z$7,1,0)</f>
        <v>0</v>
      </c>
      <c r="AA17" s="2">
        <f t="shared" ref="AA17:AA80" si="32">IF(J17=$AA$7,1,0)</f>
        <v>0</v>
      </c>
      <c r="AC17" s="2">
        <f t="shared" ref="AC17:AC80" si="33">+O17*P17</f>
        <v>0</v>
      </c>
      <c r="AD17" s="2">
        <f t="shared" ref="AD17:AD80" si="34">O17*(1-P17)</f>
        <v>0</v>
      </c>
      <c r="AE17" s="2">
        <f t="shared" si="19"/>
        <v>0</v>
      </c>
      <c r="AF17" s="2">
        <f t="shared" si="20"/>
        <v>0</v>
      </c>
      <c r="AG17" s="2">
        <f t="shared" si="21"/>
        <v>0</v>
      </c>
      <c r="AH17" s="2">
        <f t="shared" si="22"/>
        <v>1</v>
      </c>
    </row>
    <row r="18" spans="1:34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896</v>
      </c>
      <c r="O18" s="33">
        <v>1</v>
      </c>
      <c r="P18" s="33">
        <v>1</v>
      </c>
      <c r="R18" s="2">
        <f t="shared" si="23"/>
        <v>1</v>
      </c>
      <c r="S18" s="2">
        <f t="shared" si="24"/>
        <v>0</v>
      </c>
      <c r="T18" s="2">
        <f t="shared" si="25"/>
        <v>0</v>
      </c>
      <c r="U18" s="2">
        <f t="shared" si="26"/>
        <v>0</v>
      </c>
      <c r="V18" s="2">
        <f t="shared" si="27"/>
        <v>0</v>
      </c>
      <c r="W18" s="2">
        <f t="shared" si="28"/>
        <v>0</v>
      </c>
      <c r="X18" s="2">
        <f t="shared" si="29"/>
        <v>0</v>
      </c>
      <c r="Y18" s="2">
        <f t="shared" si="30"/>
        <v>0</v>
      </c>
      <c r="Z18" s="2">
        <f t="shared" si="31"/>
        <v>0</v>
      </c>
      <c r="AA18" s="2">
        <f t="shared" si="32"/>
        <v>0</v>
      </c>
      <c r="AC18" s="2">
        <f t="shared" si="33"/>
        <v>1</v>
      </c>
      <c r="AD18" s="2">
        <f t="shared" si="34"/>
        <v>0</v>
      </c>
      <c r="AE18" s="2">
        <f t="shared" si="19"/>
        <v>1</v>
      </c>
      <c r="AF18" s="2">
        <f t="shared" si="20"/>
        <v>0</v>
      </c>
      <c r="AG18" s="2">
        <f t="shared" si="21"/>
        <v>1</v>
      </c>
      <c r="AH18" s="2">
        <f t="shared" si="22"/>
        <v>0</v>
      </c>
    </row>
    <row r="19" spans="1:34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851</v>
      </c>
      <c r="J19" s="34">
        <v>99</v>
      </c>
      <c r="K19" s="34" t="s">
        <v>328</v>
      </c>
      <c r="L19" s="34" t="s">
        <v>860</v>
      </c>
      <c r="M19" s="35" t="s">
        <v>741</v>
      </c>
      <c r="N19" s="35" t="s">
        <v>898</v>
      </c>
      <c r="O19" s="36"/>
      <c r="P19" s="36"/>
      <c r="R19" s="2">
        <f t="shared" si="23"/>
        <v>0</v>
      </c>
      <c r="S19" s="2">
        <f t="shared" si="24"/>
        <v>0</v>
      </c>
      <c r="T19" s="2">
        <f t="shared" si="25"/>
        <v>0</v>
      </c>
      <c r="U19" s="2">
        <f t="shared" si="26"/>
        <v>0</v>
      </c>
      <c r="V19" s="2">
        <f t="shared" si="27"/>
        <v>0</v>
      </c>
      <c r="W19" s="2">
        <f t="shared" si="28"/>
        <v>0</v>
      </c>
      <c r="X19" s="2">
        <f t="shared" si="29"/>
        <v>0</v>
      </c>
      <c r="Y19" s="2">
        <f t="shared" si="30"/>
        <v>0</v>
      </c>
      <c r="Z19" s="2">
        <f t="shared" si="31"/>
        <v>0</v>
      </c>
      <c r="AA19" s="2">
        <f t="shared" si="32"/>
        <v>0</v>
      </c>
      <c r="AC19" s="2">
        <f t="shared" si="33"/>
        <v>0</v>
      </c>
      <c r="AD19" s="2">
        <f t="shared" si="34"/>
        <v>0</v>
      </c>
      <c r="AE19" s="2">
        <f t="shared" si="19"/>
        <v>0</v>
      </c>
      <c r="AF19" s="2">
        <f t="shared" si="20"/>
        <v>0</v>
      </c>
      <c r="AG19" s="2">
        <f t="shared" si="21"/>
        <v>0</v>
      </c>
      <c r="AH19" s="2">
        <f t="shared" si="22"/>
        <v>1</v>
      </c>
    </row>
    <row r="20" spans="1:34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861</v>
      </c>
      <c r="M20" s="21" t="s">
        <v>206</v>
      </c>
      <c r="N20" s="21"/>
      <c r="O20" s="7"/>
      <c r="P20" s="7"/>
      <c r="R20" s="2">
        <f t="shared" si="23"/>
        <v>1</v>
      </c>
      <c r="S20" s="2">
        <f t="shared" si="24"/>
        <v>0</v>
      </c>
      <c r="T20" s="2">
        <f t="shared" si="25"/>
        <v>0</v>
      </c>
      <c r="U20" s="2">
        <f t="shared" si="26"/>
        <v>0</v>
      </c>
      <c r="V20" s="2">
        <f t="shared" si="27"/>
        <v>0</v>
      </c>
      <c r="W20" s="2">
        <f t="shared" si="28"/>
        <v>0</v>
      </c>
      <c r="X20" s="2">
        <f t="shared" si="29"/>
        <v>0</v>
      </c>
      <c r="Y20" s="2">
        <f t="shared" si="30"/>
        <v>0</v>
      </c>
      <c r="Z20" s="2">
        <f t="shared" si="31"/>
        <v>0</v>
      </c>
      <c r="AA20" s="2">
        <f t="shared" si="32"/>
        <v>0</v>
      </c>
      <c r="AC20" s="2">
        <f t="shared" si="33"/>
        <v>0</v>
      </c>
      <c r="AD20" s="2">
        <f t="shared" si="34"/>
        <v>0</v>
      </c>
      <c r="AE20" s="2">
        <f t="shared" si="19"/>
        <v>0</v>
      </c>
      <c r="AF20" s="2">
        <f t="shared" si="20"/>
        <v>0</v>
      </c>
      <c r="AG20" s="2">
        <f t="shared" si="21"/>
        <v>0</v>
      </c>
      <c r="AH20" s="2">
        <f t="shared" si="22"/>
        <v>1</v>
      </c>
    </row>
    <row r="21" spans="1:34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905</v>
      </c>
      <c r="N21" s="35" t="s">
        <v>932</v>
      </c>
      <c r="O21" s="36"/>
      <c r="P21" s="36"/>
      <c r="R21" s="2">
        <f t="shared" si="23"/>
        <v>0</v>
      </c>
      <c r="S21" s="2">
        <f t="shared" si="24"/>
        <v>0</v>
      </c>
      <c r="T21" s="2">
        <f t="shared" si="25"/>
        <v>0</v>
      </c>
      <c r="U21" s="2">
        <f t="shared" si="26"/>
        <v>0</v>
      </c>
      <c r="V21" s="2">
        <f t="shared" si="27"/>
        <v>0</v>
      </c>
      <c r="W21" s="2">
        <f t="shared" si="28"/>
        <v>1</v>
      </c>
      <c r="X21" s="2">
        <f t="shared" si="29"/>
        <v>0</v>
      </c>
      <c r="Y21" s="2">
        <f t="shared" si="30"/>
        <v>0</v>
      </c>
      <c r="Z21" s="2">
        <f t="shared" si="31"/>
        <v>0</v>
      </c>
      <c r="AA21" s="2">
        <f t="shared" si="32"/>
        <v>0</v>
      </c>
      <c r="AC21" s="2">
        <f t="shared" si="33"/>
        <v>0</v>
      </c>
      <c r="AD21" s="2">
        <f t="shared" si="34"/>
        <v>0</v>
      </c>
      <c r="AE21" s="2">
        <f t="shared" si="19"/>
        <v>0</v>
      </c>
      <c r="AF21" s="2">
        <f t="shared" si="20"/>
        <v>0</v>
      </c>
      <c r="AG21" s="2">
        <f t="shared" si="21"/>
        <v>0</v>
      </c>
      <c r="AH21" s="2">
        <f t="shared" si="22"/>
        <v>1</v>
      </c>
    </row>
    <row r="22" spans="1:34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836</v>
      </c>
      <c r="G22" s="35" t="s">
        <v>837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931</v>
      </c>
      <c r="O22" s="36"/>
      <c r="P22" s="36"/>
      <c r="R22" s="2">
        <f t="shared" si="23"/>
        <v>0</v>
      </c>
      <c r="S22" s="2">
        <f t="shared" si="24"/>
        <v>0</v>
      </c>
      <c r="T22" s="2">
        <f t="shared" si="25"/>
        <v>0</v>
      </c>
      <c r="U22" s="2">
        <f t="shared" si="26"/>
        <v>0</v>
      </c>
      <c r="V22" s="2">
        <f t="shared" si="27"/>
        <v>0</v>
      </c>
      <c r="W22" s="2">
        <f t="shared" si="28"/>
        <v>0</v>
      </c>
      <c r="X22" s="2">
        <f t="shared" si="29"/>
        <v>0</v>
      </c>
      <c r="Y22" s="2">
        <f t="shared" si="30"/>
        <v>0</v>
      </c>
      <c r="Z22" s="2">
        <f t="shared" si="31"/>
        <v>0</v>
      </c>
      <c r="AA22" s="2">
        <f t="shared" si="32"/>
        <v>0</v>
      </c>
      <c r="AC22" s="2">
        <f t="shared" si="33"/>
        <v>0</v>
      </c>
      <c r="AD22" s="2">
        <f t="shared" si="34"/>
        <v>0</v>
      </c>
      <c r="AE22" s="2">
        <f t="shared" si="19"/>
        <v>0</v>
      </c>
      <c r="AF22" s="2">
        <f t="shared" si="20"/>
        <v>0</v>
      </c>
      <c r="AG22" s="2">
        <f t="shared" si="21"/>
        <v>0</v>
      </c>
      <c r="AH22" s="2">
        <f t="shared" si="22"/>
        <v>1</v>
      </c>
    </row>
    <row r="23" spans="1:34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898</v>
      </c>
      <c r="O23" s="36"/>
      <c r="P23" s="36"/>
      <c r="R23" s="2">
        <f t="shared" si="23"/>
        <v>0</v>
      </c>
      <c r="S23" s="2">
        <f t="shared" si="24"/>
        <v>0</v>
      </c>
      <c r="T23" s="2">
        <f t="shared" si="25"/>
        <v>0</v>
      </c>
      <c r="U23" s="2">
        <f t="shared" si="26"/>
        <v>0</v>
      </c>
      <c r="V23" s="2">
        <f t="shared" si="27"/>
        <v>0</v>
      </c>
      <c r="W23" s="2">
        <f t="shared" si="28"/>
        <v>0</v>
      </c>
      <c r="X23" s="2">
        <f t="shared" si="29"/>
        <v>0</v>
      </c>
      <c r="Y23" s="2">
        <f t="shared" si="30"/>
        <v>0</v>
      </c>
      <c r="Z23" s="2">
        <f t="shared" si="31"/>
        <v>0</v>
      </c>
      <c r="AA23" s="2">
        <f t="shared" si="32"/>
        <v>0</v>
      </c>
      <c r="AC23" s="2">
        <f t="shared" si="33"/>
        <v>0</v>
      </c>
      <c r="AD23" s="2">
        <f t="shared" si="34"/>
        <v>0</v>
      </c>
      <c r="AE23" s="2">
        <f t="shared" si="19"/>
        <v>0</v>
      </c>
      <c r="AF23" s="2">
        <f t="shared" si="20"/>
        <v>0</v>
      </c>
      <c r="AG23" s="2">
        <f t="shared" si="21"/>
        <v>0</v>
      </c>
      <c r="AH23" s="2">
        <f t="shared" si="22"/>
        <v>1</v>
      </c>
    </row>
    <row r="24" spans="1:34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843</v>
      </c>
      <c r="J24" s="34">
        <v>99</v>
      </c>
      <c r="K24" s="34" t="s">
        <v>325</v>
      </c>
      <c r="L24" s="34">
        <v>45</v>
      </c>
      <c r="M24" s="35" t="s">
        <v>907</v>
      </c>
      <c r="N24" s="35" t="s">
        <v>932</v>
      </c>
      <c r="O24" s="36"/>
      <c r="P24" s="36"/>
      <c r="R24" s="2">
        <f t="shared" si="23"/>
        <v>0</v>
      </c>
      <c r="S24" s="2">
        <f t="shared" si="24"/>
        <v>0</v>
      </c>
      <c r="T24" s="2">
        <f t="shared" si="25"/>
        <v>0</v>
      </c>
      <c r="U24" s="2">
        <f t="shared" si="26"/>
        <v>0</v>
      </c>
      <c r="V24" s="2">
        <f t="shared" si="27"/>
        <v>0</v>
      </c>
      <c r="W24" s="2">
        <f t="shared" si="28"/>
        <v>0</v>
      </c>
      <c r="X24" s="2">
        <f t="shared" si="29"/>
        <v>0</v>
      </c>
      <c r="Y24" s="2">
        <f t="shared" si="30"/>
        <v>0</v>
      </c>
      <c r="Z24" s="2">
        <f t="shared" si="31"/>
        <v>0</v>
      </c>
      <c r="AA24" s="2">
        <f t="shared" si="32"/>
        <v>0</v>
      </c>
      <c r="AC24" s="2">
        <f t="shared" si="33"/>
        <v>0</v>
      </c>
      <c r="AD24" s="2">
        <f t="shared" si="34"/>
        <v>0</v>
      </c>
      <c r="AE24" s="2">
        <f t="shared" si="19"/>
        <v>0</v>
      </c>
      <c r="AF24" s="2">
        <f t="shared" si="20"/>
        <v>0</v>
      </c>
      <c r="AG24" s="2">
        <f t="shared" si="21"/>
        <v>0</v>
      </c>
      <c r="AH24" s="2">
        <f t="shared" si="22"/>
        <v>1</v>
      </c>
    </row>
    <row r="25" spans="1:34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858</v>
      </c>
      <c r="M25" s="35" t="s">
        <v>740</v>
      </c>
      <c r="N25" s="35" t="s">
        <v>903</v>
      </c>
      <c r="O25" s="36"/>
      <c r="P25" s="36"/>
      <c r="R25" s="2">
        <f t="shared" si="23"/>
        <v>0</v>
      </c>
      <c r="S25" s="2">
        <f t="shared" si="24"/>
        <v>0</v>
      </c>
      <c r="T25" s="2">
        <f t="shared" si="25"/>
        <v>0</v>
      </c>
      <c r="U25" s="2">
        <f t="shared" si="26"/>
        <v>0</v>
      </c>
      <c r="V25" s="2">
        <f t="shared" si="27"/>
        <v>0</v>
      </c>
      <c r="W25" s="2">
        <f t="shared" si="28"/>
        <v>0</v>
      </c>
      <c r="X25" s="2">
        <f t="shared" si="29"/>
        <v>0</v>
      </c>
      <c r="Y25" s="2">
        <f t="shared" si="30"/>
        <v>0</v>
      </c>
      <c r="Z25" s="2">
        <f t="shared" si="31"/>
        <v>0</v>
      </c>
      <c r="AA25" s="2">
        <f t="shared" si="32"/>
        <v>0</v>
      </c>
      <c r="AC25" s="2">
        <f t="shared" si="33"/>
        <v>0</v>
      </c>
      <c r="AD25" s="2">
        <f t="shared" si="34"/>
        <v>0</v>
      </c>
      <c r="AE25" s="2">
        <f t="shared" si="19"/>
        <v>0</v>
      </c>
      <c r="AF25" s="2">
        <f t="shared" si="20"/>
        <v>0</v>
      </c>
      <c r="AG25" s="2">
        <f t="shared" si="21"/>
        <v>0</v>
      </c>
      <c r="AH25" s="2">
        <f t="shared" si="22"/>
        <v>1</v>
      </c>
    </row>
    <row r="26" spans="1:34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858</v>
      </c>
      <c r="M26" s="21" t="s">
        <v>781</v>
      </c>
      <c r="N26" s="21"/>
      <c r="O26" s="7"/>
      <c r="P26" s="7"/>
      <c r="R26" s="2">
        <f t="shared" si="23"/>
        <v>0</v>
      </c>
      <c r="S26" s="2">
        <f t="shared" si="24"/>
        <v>0</v>
      </c>
      <c r="T26" s="2">
        <f t="shared" si="25"/>
        <v>0</v>
      </c>
      <c r="U26" s="2">
        <f t="shared" si="26"/>
        <v>0</v>
      </c>
      <c r="V26" s="2">
        <f t="shared" si="27"/>
        <v>0</v>
      </c>
      <c r="W26" s="2">
        <f t="shared" si="28"/>
        <v>0</v>
      </c>
      <c r="X26" s="2">
        <f t="shared" si="29"/>
        <v>0</v>
      </c>
      <c r="Y26" s="2">
        <f t="shared" si="30"/>
        <v>0</v>
      </c>
      <c r="Z26" s="2">
        <f t="shared" si="31"/>
        <v>0</v>
      </c>
      <c r="AA26" s="2">
        <f t="shared" si="32"/>
        <v>0</v>
      </c>
      <c r="AC26" s="2">
        <f t="shared" si="33"/>
        <v>0</v>
      </c>
      <c r="AD26" s="2">
        <f t="shared" si="34"/>
        <v>0</v>
      </c>
      <c r="AE26" s="2">
        <f t="shared" si="19"/>
        <v>0</v>
      </c>
      <c r="AF26" s="2">
        <f t="shared" si="20"/>
        <v>0</v>
      </c>
      <c r="AG26" s="2">
        <f t="shared" si="21"/>
        <v>0</v>
      </c>
      <c r="AH26" s="2">
        <f t="shared" si="22"/>
        <v>1</v>
      </c>
    </row>
    <row r="27" spans="1:34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911</v>
      </c>
      <c r="O27" s="33">
        <v>1</v>
      </c>
      <c r="P27" s="33"/>
      <c r="R27" s="2">
        <f t="shared" si="23"/>
        <v>0</v>
      </c>
      <c r="S27" s="2">
        <f t="shared" si="24"/>
        <v>0</v>
      </c>
      <c r="T27" s="2">
        <f t="shared" si="25"/>
        <v>0</v>
      </c>
      <c r="U27" s="2">
        <f t="shared" si="26"/>
        <v>0</v>
      </c>
      <c r="V27" s="2">
        <f t="shared" si="27"/>
        <v>0</v>
      </c>
      <c r="W27" s="2">
        <f t="shared" si="28"/>
        <v>0</v>
      </c>
      <c r="X27" s="2">
        <f t="shared" si="29"/>
        <v>0</v>
      </c>
      <c r="Y27" s="2">
        <f t="shared" si="30"/>
        <v>0</v>
      </c>
      <c r="Z27" s="2">
        <f t="shared" si="31"/>
        <v>0</v>
      </c>
      <c r="AA27" s="2">
        <f t="shared" si="32"/>
        <v>0</v>
      </c>
      <c r="AC27" s="2">
        <f t="shared" si="33"/>
        <v>0</v>
      </c>
      <c r="AD27" s="2">
        <f t="shared" si="34"/>
        <v>1</v>
      </c>
      <c r="AE27" s="2">
        <f t="shared" si="19"/>
        <v>0</v>
      </c>
      <c r="AF27" s="2">
        <f t="shared" si="20"/>
        <v>1</v>
      </c>
      <c r="AG27" s="2">
        <f t="shared" si="21"/>
        <v>0</v>
      </c>
      <c r="AH27" s="2">
        <f t="shared" si="22"/>
        <v>1</v>
      </c>
    </row>
    <row r="28" spans="1:34" ht="14.25" customHeight="1" x14ac:dyDescent="0.25">
      <c r="A28" s="28">
        <v>0</v>
      </c>
      <c r="B28" s="28">
        <v>1</v>
      </c>
      <c r="C28" s="28">
        <v>2</v>
      </c>
      <c r="D28" s="29" t="s">
        <v>60</v>
      </c>
      <c r="E28" s="29" t="s">
        <v>259</v>
      </c>
      <c r="F28" s="29" t="s">
        <v>128</v>
      </c>
      <c r="G28" s="29" t="s">
        <v>129</v>
      </c>
      <c r="H28" s="29" t="s">
        <v>165</v>
      </c>
      <c r="I28" s="28" t="s">
        <v>181</v>
      </c>
      <c r="J28" s="28">
        <v>99</v>
      </c>
      <c r="K28" s="28" t="s">
        <v>328</v>
      </c>
      <c r="L28" s="28" t="s">
        <v>40</v>
      </c>
      <c r="M28" s="29" t="s">
        <v>40</v>
      </c>
      <c r="N28" s="29"/>
      <c r="O28" s="30"/>
      <c r="P28" s="30">
        <v>1</v>
      </c>
      <c r="R28" s="2">
        <f t="shared" si="23"/>
        <v>0</v>
      </c>
      <c r="S28" s="2">
        <f t="shared" si="24"/>
        <v>0</v>
      </c>
      <c r="T28" s="2">
        <f t="shared" si="25"/>
        <v>0</v>
      </c>
      <c r="U28" s="2">
        <f t="shared" si="26"/>
        <v>0</v>
      </c>
      <c r="V28" s="2">
        <f t="shared" si="27"/>
        <v>0</v>
      </c>
      <c r="W28" s="2">
        <f t="shared" si="28"/>
        <v>0</v>
      </c>
      <c r="X28" s="2">
        <f t="shared" si="29"/>
        <v>0</v>
      </c>
      <c r="Y28" s="2">
        <f t="shared" si="30"/>
        <v>0</v>
      </c>
      <c r="Z28" s="2">
        <f t="shared" si="31"/>
        <v>0</v>
      </c>
      <c r="AA28" s="2">
        <f t="shared" si="32"/>
        <v>0</v>
      </c>
      <c r="AC28" s="2">
        <f t="shared" si="33"/>
        <v>0</v>
      </c>
      <c r="AD28" s="2">
        <f t="shared" si="34"/>
        <v>0</v>
      </c>
      <c r="AE28" s="2">
        <f t="shared" si="19"/>
        <v>0</v>
      </c>
      <c r="AF28" s="2">
        <f t="shared" si="20"/>
        <v>0</v>
      </c>
      <c r="AG28" s="2">
        <f t="shared" si="21"/>
        <v>1</v>
      </c>
      <c r="AH28" s="2">
        <f t="shared" si="22"/>
        <v>0</v>
      </c>
    </row>
    <row r="29" spans="1:34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897</v>
      </c>
      <c r="O29" s="36"/>
      <c r="P29" s="36"/>
      <c r="R29" s="2">
        <f t="shared" si="23"/>
        <v>0</v>
      </c>
      <c r="S29" s="2">
        <f t="shared" si="24"/>
        <v>0</v>
      </c>
      <c r="T29" s="2">
        <f t="shared" si="25"/>
        <v>0</v>
      </c>
      <c r="U29" s="2">
        <f t="shared" si="26"/>
        <v>0</v>
      </c>
      <c r="V29" s="2">
        <f t="shared" si="27"/>
        <v>0</v>
      </c>
      <c r="W29" s="2">
        <f t="shared" si="28"/>
        <v>0</v>
      </c>
      <c r="X29" s="2">
        <f t="shared" si="29"/>
        <v>0</v>
      </c>
      <c r="Y29" s="2">
        <f t="shared" si="30"/>
        <v>0</v>
      </c>
      <c r="Z29" s="2">
        <f t="shared" si="31"/>
        <v>0</v>
      </c>
      <c r="AA29" s="2">
        <f t="shared" si="32"/>
        <v>0</v>
      </c>
      <c r="AC29" s="2">
        <f t="shared" si="33"/>
        <v>0</v>
      </c>
      <c r="AD29" s="2">
        <f t="shared" si="34"/>
        <v>0</v>
      </c>
      <c r="AE29" s="2">
        <f t="shared" si="19"/>
        <v>0</v>
      </c>
      <c r="AF29" s="2">
        <f t="shared" si="20"/>
        <v>0</v>
      </c>
      <c r="AG29" s="2">
        <f t="shared" si="21"/>
        <v>0</v>
      </c>
      <c r="AH29" s="2">
        <f t="shared" si="22"/>
        <v>1</v>
      </c>
    </row>
    <row r="30" spans="1:34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882</v>
      </c>
      <c r="N30" s="35" t="s">
        <v>900</v>
      </c>
      <c r="O30" s="36"/>
      <c r="P30" s="36"/>
      <c r="R30" s="2">
        <f t="shared" si="23"/>
        <v>0</v>
      </c>
      <c r="S30" s="2">
        <f t="shared" si="24"/>
        <v>0</v>
      </c>
      <c r="T30" s="2">
        <f t="shared" si="25"/>
        <v>0</v>
      </c>
      <c r="U30" s="2">
        <f t="shared" si="26"/>
        <v>0</v>
      </c>
      <c r="V30" s="2">
        <f t="shared" si="27"/>
        <v>0</v>
      </c>
      <c r="W30" s="2">
        <f t="shared" si="28"/>
        <v>0</v>
      </c>
      <c r="X30" s="2">
        <f t="shared" si="29"/>
        <v>0</v>
      </c>
      <c r="Y30" s="2">
        <f t="shared" si="30"/>
        <v>0</v>
      </c>
      <c r="Z30" s="2">
        <f t="shared" si="31"/>
        <v>0</v>
      </c>
      <c r="AA30" s="2">
        <f t="shared" si="32"/>
        <v>0</v>
      </c>
      <c r="AC30" s="2">
        <f t="shared" si="33"/>
        <v>0</v>
      </c>
      <c r="AD30" s="2">
        <f t="shared" si="34"/>
        <v>0</v>
      </c>
      <c r="AE30" s="2">
        <f t="shared" si="19"/>
        <v>0</v>
      </c>
      <c r="AF30" s="2">
        <f t="shared" si="20"/>
        <v>0</v>
      </c>
      <c r="AG30" s="2">
        <f t="shared" si="21"/>
        <v>0</v>
      </c>
      <c r="AH30" s="2">
        <f t="shared" si="22"/>
        <v>1</v>
      </c>
    </row>
    <row r="31" spans="1:34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908</v>
      </c>
      <c r="N31" s="35" t="s">
        <v>912</v>
      </c>
      <c r="O31" s="36"/>
      <c r="P31" s="36"/>
      <c r="R31" s="2">
        <f t="shared" si="23"/>
        <v>0</v>
      </c>
      <c r="S31" s="2">
        <f t="shared" si="24"/>
        <v>0</v>
      </c>
      <c r="T31" s="2">
        <f t="shared" si="25"/>
        <v>0</v>
      </c>
      <c r="U31" s="2">
        <f t="shared" si="26"/>
        <v>0</v>
      </c>
      <c r="V31" s="2">
        <f t="shared" si="27"/>
        <v>0</v>
      </c>
      <c r="W31" s="2">
        <f t="shared" si="28"/>
        <v>0</v>
      </c>
      <c r="X31" s="2">
        <f t="shared" si="29"/>
        <v>0</v>
      </c>
      <c r="Y31" s="2">
        <f t="shared" si="30"/>
        <v>0</v>
      </c>
      <c r="Z31" s="2">
        <f t="shared" si="31"/>
        <v>0</v>
      </c>
      <c r="AA31" s="2">
        <f t="shared" si="32"/>
        <v>0</v>
      </c>
      <c r="AC31" s="2">
        <f t="shared" si="33"/>
        <v>0</v>
      </c>
      <c r="AD31" s="2">
        <f t="shared" si="34"/>
        <v>0</v>
      </c>
      <c r="AE31" s="2">
        <f t="shared" si="19"/>
        <v>0</v>
      </c>
      <c r="AF31" s="2">
        <f t="shared" si="20"/>
        <v>0</v>
      </c>
      <c r="AG31" s="2">
        <f t="shared" si="21"/>
        <v>0</v>
      </c>
      <c r="AH31" s="2">
        <f t="shared" si="22"/>
        <v>1</v>
      </c>
    </row>
    <row r="32" spans="1:34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903</v>
      </c>
      <c r="O32" s="36"/>
      <c r="P32" s="36"/>
      <c r="R32" s="2">
        <f t="shared" si="23"/>
        <v>0</v>
      </c>
      <c r="S32" s="2">
        <f t="shared" si="24"/>
        <v>0</v>
      </c>
      <c r="T32" s="2">
        <f t="shared" si="25"/>
        <v>0</v>
      </c>
      <c r="U32" s="2">
        <f t="shared" si="26"/>
        <v>0</v>
      </c>
      <c r="V32" s="2">
        <f t="shared" si="27"/>
        <v>0</v>
      </c>
      <c r="W32" s="2">
        <f t="shared" si="28"/>
        <v>1</v>
      </c>
      <c r="X32" s="2">
        <f t="shared" si="29"/>
        <v>0</v>
      </c>
      <c r="Y32" s="2">
        <f t="shared" si="30"/>
        <v>0</v>
      </c>
      <c r="Z32" s="2">
        <f t="shared" si="31"/>
        <v>0</v>
      </c>
      <c r="AA32" s="2">
        <f t="shared" si="32"/>
        <v>0</v>
      </c>
      <c r="AC32" s="2">
        <f t="shared" si="33"/>
        <v>0</v>
      </c>
      <c r="AD32" s="2">
        <f t="shared" si="34"/>
        <v>0</v>
      </c>
      <c r="AE32" s="2">
        <f t="shared" si="19"/>
        <v>0</v>
      </c>
      <c r="AF32" s="2">
        <f t="shared" si="20"/>
        <v>0</v>
      </c>
      <c r="AG32" s="2">
        <f t="shared" si="21"/>
        <v>0</v>
      </c>
      <c r="AH32" s="2">
        <f t="shared" si="22"/>
        <v>1</v>
      </c>
    </row>
    <row r="33" spans="1:34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848</v>
      </c>
      <c r="J33" s="20">
        <v>4</v>
      </c>
      <c r="K33" s="20" t="s">
        <v>326</v>
      </c>
      <c r="L33" s="20">
        <v>130</v>
      </c>
      <c r="M33" s="21" t="s">
        <v>883</v>
      </c>
      <c r="N33" s="21"/>
      <c r="O33" s="7"/>
      <c r="P33" s="7"/>
      <c r="R33" s="2">
        <f t="shared" si="23"/>
        <v>0</v>
      </c>
      <c r="S33" s="2">
        <f t="shared" si="24"/>
        <v>0</v>
      </c>
      <c r="T33" s="2">
        <f t="shared" si="25"/>
        <v>0</v>
      </c>
      <c r="U33" s="2">
        <f t="shared" si="26"/>
        <v>1</v>
      </c>
      <c r="V33" s="2">
        <f t="shared" si="27"/>
        <v>0</v>
      </c>
      <c r="W33" s="2">
        <f t="shared" si="28"/>
        <v>0</v>
      </c>
      <c r="X33" s="2">
        <f t="shared" si="29"/>
        <v>0</v>
      </c>
      <c r="Y33" s="2">
        <f t="shared" si="30"/>
        <v>0</v>
      </c>
      <c r="Z33" s="2">
        <f t="shared" si="31"/>
        <v>0</v>
      </c>
      <c r="AA33" s="2">
        <f t="shared" si="32"/>
        <v>0</v>
      </c>
      <c r="AC33" s="2">
        <f t="shared" si="33"/>
        <v>0</v>
      </c>
      <c r="AD33" s="2">
        <f t="shared" si="34"/>
        <v>0</v>
      </c>
      <c r="AE33" s="2">
        <f t="shared" si="19"/>
        <v>0</v>
      </c>
      <c r="AF33" s="2">
        <f t="shared" si="20"/>
        <v>0</v>
      </c>
      <c r="AG33" s="2">
        <f t="shared" si="21"/>
        <v>0</v>
      </c>
      <c r="AH33" s="2">
        <f t="shared" si="22"/>
        <v>1</v>
      </c>
    </row>
    <row r="34" spans="1:34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896</v>
      </c>
      <c r="O34" s="33">
        <v>1</v>
      </c>
      <c r="P34" s="33">
        <v>1</v>
      </c>
      <c r="R34" s="2">
        <f t="shared" si="23"/>
        <v>0</v>
      </c>
      <c r="S34" s="2">
        <f t="shared" si="24"/>
        <v>0</v>
      </c>
      <c r="T34" s="2">
        <f t="shared" si="25"/>
        <v>1</v>
      </c>
      <c r="U34" s="2">
        <f t="shared" si="26"/>
        <v>0</v>
      </c>
      <c r="V34" s="2">
        <f t="shared" si="27"/>
        <v>0</v>
      </c>
      <c r="W34" s="2">
        <f t="shared" si="28"/>
        <v>0</v>
      </c>
      <c r="X34" s="2">
        <f t="shared" si="29"/>
        <v>0</v>
      </c>
      <c r="Y34" s="2">
        <f t="shared" si="30"/>
        <v>0</v>
      </c>
      <c r="Z34" s="2">
        <f t="shared" si="31"/>
        <v>0</v>
      </c>
      <c r="AA34" s="2">
        <f t="shared" si="32"/>
        <v>0</v>
      </c>
      <c r="AC34" s="2">
        <f t="shared" si="33"/>
        <v>1</v>
      </c>
      <c r="AD34" s="2">
        <f t="shared" si="34"/>
        <v>0</v>
      </c>
      <c r="AE34" s="2">
        <f t="shared" si="19"/>
        <v>1</v>
      </c>
      <c r="AF34" s="2">
        <f t="shared" si="20"/>
        <v>0</v>
      </c>
      <c r="AG34" s="2">
        <f t="shared" si="21"/>
        <v>1</v>
      </c>
      <c r="AH34" s="2">
        <f t="shared" si="22"/>
        <v>0</v>
      </c>
    </row>
    <row r="35" spans="1:34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884</v>
      </c>
      <c r="N35" s="32" t="s">
        <v>909</v>
      </c>
      <c r="O35" s="33">
        <v>1</v>
      </c>
      <c r="P35" s="33"/>
      <c r="R35" s="2">
        <f t="shared" si="23"/>
        <v>0</v>
      </c>
      <c r="S35" s="2">
        <f t="shared" si="24"/>
        <v>0</v>
      </c>
      <c r="T35" s="2">
        <f t="shared" si="25"/>
        <v>0</v>
      </c>
      <c r="U35" s="2">
        <f t="shared" si="26"/>
        <v>0</v>
      </c>
      <c r="V35" s="2">
        <f t="shared" si="27"/>
        <v>0</v>
      </c>
      <c r="W35" s="2">
        <f t="shared" si="28"/>
        <v>0</v>
      </c>
      <c r="X35" s="2">
        <f t="shared" si="29"/>
        <v>0</v>
      </c>
      <c r="Y35" s="2">
        <f t="shared" si="30"/>
        <v>1</v>
      </c>
      <c r="Z35" s="2">
        <f t="shared" si="31"/>
        <v>0</v>
      </c>
      <c r="AA35" s="2">
        <f t="shared" si="32"/>
        <v>0</v>
      </c>
      <c r="AC35" s="2">
        <f t="shared" si="33"/>
        <v>0</v>
      </c>
      <c r="AD35" s="2">
        <f t="shared" si="34"/>
        <v>1</v>
      </c>
      <c r="AE35" s="2">
        <f t="shared" si="19"/>
        <v>0</v>
      </c>
      <c r="AF35" s="2">
        <f t="shared" si="20"/>
        <v>1</v>
      </c>
      <c r="AG35" s="2">
        <f t="shared" si="21"/>
        <v>0</v>
      </c>
      <c r="AH35" s="2">
        <f t="shared" si="22"/>
        <v>1</v>
      </c>
    </row>
    <row r="36" spans="1:34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R36" s="2">
        <f t="shared" si="23"/>
        <v>0</v>
      </c>
      <c r="S36" s="2">
        <f t="shared" si="24"/>
        <v>0</v>
      </c>
      <c r="T36" s="2">
        <f t="shared" si="25"/>
        <v>0</v>
      </c>
      <c r="U36" s="2">
        <f t="shared" si="26"/>
        <v>0</v>
      </c>
      <c r="V36" s="2">
        <f t="shared" si="27"/>
        <v>0</v>
      </c>
      <c r="W36" s="2">
        <f t="shared" si="28"/>
        <v>0</v>
      </c>
      <c r="X36" s="2">
        <f t="shared" si="29"/>
        <v>0</v>
      </c>
      <c r="Y36" s="2">
        <f t="shared" si="30"/>
        <v>0</v>
      </c>
      <c r="Z36" s="2">
        <f t="shared" si="31"/>
        <v>0</v>
      </c>
      <c r="AA36" s="2">
        <f t="shared" si="32"/>
        <v>0</v>
      </c>
      <c r="AC36" s="2">
        <f t="shared" si="33"/>
        <v>0</v>
      </c>
      <c r="AD36" s="2">
        <f t="shared" si="34"/>
        <v>0</v>
      </c>
      <c r="AE36" s="2">
        <f t="shared" si="19"/>
        <v>0</v>
      </c>
      <c r="AF36" s="2">
        <f t="shared" si="20"/>
        <v>0</v>
      </c>
      <c r="AG36" s="2">
        <f t="shared" si="21"/>
        <v>0</v>
      </c>
      <c r="AH36" s="2">
        <f t="shared" si="22"/>
        <v>1</v>
      </c>
    </row>
    <row r="37" spans="1:34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912</v>
      </c>
      <c r="O37" s="36"/>
      <c r="P37" s="36"/>
      <c r="R37" s="2">
        <f t="shared" si="23"/>
        <v>0</v>
      </c>
      <c r="S37" s="2">
        <f t="shared" si="24"/>
        <v>0</v>
      </c>
      <c r="T37" s="2">
        <f t="shared" si="25"/>
        <v>0</v>
      </c>
      <c r="U37" s="2">
        <f t="shared" si="26"/>
        <v>0</v>
      </c>
      <c r="V37" s="2">
        <f t="shared" si="27"/>
        <v>0</v>
      </c>
      <c r="W37" s="2">
        <f t="shared" si="28"/>
        <v>0</v>
      </c>
      <c r="X37" s="2">
        <f t="shared" si="29"/>
        <v>0</v>
      </c>
      <c r="Y37" s="2">
        <f t="shared" si="30"/>
        <v>0</v>
      </c>
      <c r="Z37" s="2">
        <f t="shared" si="31"/>
        <v>0</v>
      </c>
      <c r="AA37" s="2">
        <f t="shared" si="32"/>
        <v>0</v>
      </c>
      <c r="AC37" s="2">
        <f t="shared" si="33"/>
        <v>0</v>
      </c>
      <c r="AD37" s="2">
        <f t="shared" si="34"/>
        <v>0</v>
      </c>
      <c r="AE37" s="2">
        <f t="shared" si="19"/>
        <v>0</v>
      </c>
      <c r="AF37" s="2">
        <f t="shared" si="20"/>
        <v>0</v>
      </c>
      <c r="AG37" s="2">
        <f t="shared" si="21"/>
        <v>0</v>
      </c>
      <c r="AH37" s="2">
        <f t="shared" si="22"/>
        <v>1</v>
      </c>
    </row>
    <row r="38" spans="1:34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896</v>
      </c>
      <c r="O38" s="33">
        <v>1</v>
      </c>
      <c r="P38" s="33">
        <v>1</v>
      </c>
      <c r="R38" s="2">
        <f t="shared" si="23"/>
        <v>0</v>
      </c>
      <c r="S38" s="2">
        <f t="shared" si="24"/>
        <v>0</v>
      </c>
      <c r="T38" s="2">
        <f t="shared" si="25"/>
        <v>0</v>
      </c>
      <c r="U38" s="2">
        <f t="shared" si="26"/>
        <v>0</v>
      </c>
      <c r="V38" s="2">
        <f t="shared" si="27"/>
        <v>0</v>
      </c>
      <c r="W38" s="2">
        <f t="shared" si="28"/>
        <v>0</v>
      </c>
      <c r="X38" s="2">
        <f t="shared" si="29"/>
        <v>0</v>
      </c>
      <c r="Y38" s="2">
        <f t="shared" si="30"/>
        <v>0</v>
      </c>
      <c r="Z38" s="2">
        <f t="shared" si="31"/>
        <v>0</v>
      </c>
      <c r="AA38" s="2">
        <f t="shared" si="32"/>
        <v>0</v>
      </c>
      <c r="AC38" s="2">
        <f t="shared" si="33"/>
        <v>1</v>
      </c>
      <c r="AD38" s="2">
        <f t="shared" si="34"/>
        <v>0</v>
      </c>
      <c r="AE38" s="2">
        <f t="shared" si="19"/>
        <v>1</v>
      </c>
      <c r="AF38" s="2">
        <f t="shared" si="20"/>
        <v>0</v>
      </c>
      <c r="AG38" s="2">
        <f t="shared" si="21"/>
        <v>1</v>
      </c>
      <c r="AH38" s="2">
        <f t="shared" si="22"/>
        <v>0</v>
      </c>
    </row>
    <row r="39" spans="1:34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855</v>
      </c>
      <c r="M39" s="21" t="s">
        <v>599</v>
      </c>
      <c r="N39" s="21"/>
      <c r="O39" s="7"/>
      <c r="P39" s="7"/>
      <c r="R39" s="2">
        <f t="shared" si="23"/>
        <v>0</v>
      </c>
      <c r="S39" s="2">
        <f t="shared" si="24"/>
        <v>0</v>
      </c>
      <c r="T39" s="2">
        <f t="shared" si="25"/>
        <v>0</v>
      </c>
      <c r="U39" s="2">
        <f t="shared" si="26"/>
        <v>0</v>
      </c>
      <c r="V39" s="2">
        <f t="shared" si="27"/>
        <v>0</v>
      </c>
      <c r="W39" s="2">
        <f t="shared" si="28"/>
        <v>0</v>
      </c>
      <c r="X39" s="2">
        <f t="shared" si="29"/>
        <v>0</v>
      </c>
      <c r="Y39" s="2">
        <f t="shared" si="30"/>
        <v>1</v>
      </c>
      <c r="Z39" s="2">
        <f t="shared" si="31"/>
        <v>0</v>
      </c>
      <c r="AA39" s="2">
        <f t="shared" si="32"/>
        <v>0</v>
      </c>
      <c r="AC39" s="2">
        <f t="shared" si="33"/>
        <v>0</v>
      </c>
      <c r="AD39" s="2">
        <f t="shared" si="34"/>
        <v>0</v>
      </c>
      <c r="AE39" s="2">
        <f t="shared" si="19"/>
        <v>0</v>
      </c>
      <c r="AF39" s="2">
        <f t="shared" si="20"/>
        <v>0</v>
      </c>
      <c r="AG39" s="2">
        <f t="shared" si="21"/>
        <v>0</v>
      </c>
      <c r="AH39" s="2">
        <f t="shared" si="22"/>
        <v>1</v>
      </c>
    </row>
    <row r="40" spans="1:34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859</v>
      </c>
      <c r="M40" s="32" t="s">
        <v>743</v>
      </c>
      <c r="N40" s="32" t="s">
        <v>915</v>
      </c>
      <c r="O40" s="33">
        <v>1</v>
      </c>
      <c r="P40" s="33"/>
      <c r="R40" s="2">
        <f t="shared" si="23"/>
        <v>0</v>
      </c>
      <c r="S40" s="2">
        <f t="shared" si="24"/>
        <v>0</v>
      </c>
      <c r="T40" s="2">
        <f t="shared" si="25"/>
        <v>0</v>
      </c>
      <c r="U40" s="2">
        <f t="shared" si="26"/>
        <v>0</v>
      </c>
      <c r="V40" s="2">
        <f t="shared" si="27"/>
        <v>0</v>
      </c>
      <c r="W40" s="2">
        <f t="shared" si="28"/>
        <v>0</v>
      </c>
      <c r="X40" s="2">
        <f t="shared" si="29"/>
        <v>0</v>
      </c>
      <c r="Y40" s="2">
        <f t="shared" si="30"/>
        <v>1</v>
      </c>
      <c r="Z40" s="2">
        <f t="shared" si="31"/>
        <v>0</v>
      </c>
      <c r="AA40" s="2">
        <f t="shared" si="32"/>
        <v>0</v>
      </c>
      <c r="AC40" s="2">
        <f t="shared" si="33"/>
        <v>0</v>
      </c>
      <c r="AD40" s="2">
        <f t="shared" si="34"/>
        <v>1</v>
      </c>
      <c r="AE40" s="2">
        <f t="shared" si="19"/>
        <v>0</v>
      </c>
      <c r="AF40" s="2">
        <f t="shared" si="20"/>
        <v>1</v>
      </c>
      <c r="AG40" s="2">
        <f t="shared" si="21"/>
        <v>0</v>
      </c>
      <c r="AH40" s="2">
        <f t="shared" si="22"/>
        <v>1</v>
      </c>
    </row>
    <row r="41" spans="1:34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863</v>
      </c>
      <c r="M41" s="35" t="s">
        <v>785</v>
      </c>
      <c r="N41" s="35" t="s">
        <v>912</v>
      </c>
      <c r="O41" s="36"/>
      <c r="P41" s="36"/>
      <c r="R41" s="2">
        <f t="shared" si="23"/>
        <v>0</v>
      </c>
      <c r="S41" s="2">
        <f t="shared" si="24"/>
        <v>0</v>
      </c>
      <c r="T41" s="2">
        <f t="shared" si="25"/>
        <v>0</v>
      </c>
      <c r="U41" s="2">
        <f t="shared" si="26"/>
        <v>0</v>
      </c>
      <c r="V41" s="2">
        <f t="shared" si="27"/>
        <v>0</v>
      </c>
      <c r="W41" s="2">
        <f t="shared" si="28"/>
        <v>0</v>
      </c>
      <c r="X41" s="2">
        <f t="shared" si="29"/>
        <v>0</v>
      </c>
      <c r="Y41" s="2">
        <f t="shared" si="30"/>
        <v>0</v>
      </c>
      <c r="Z41" s="2">
        <f t="shared" si="31"/>
        <v>0</v>
      </c>
      <c r="AA41" s="2">
        <f t="shared" si="32"/>
        <v>0</v>
      </c>
      <c r="AC41" s="2">
        <f t="shared" si="33"/>
        <v>0</v>
      </c>
      <c r="AD41" s="2">
        <f t="shared" si="34"/>
        <v>0</v>
      </c>
      <c r="AE41" s="2">
        <f t="shared" si="19"/>
        <v>0</v>
      </c>
      <c r="AF41" s="2">
        <f t="shared" si="20"/>
        <v>0</v>
      </c>
      <c r="AG41" s="2">
        <f t="shared" si="21"/>
        <v>0</v>
      </c>
      <c r="AH41" s="2">
        <f t="shared" si="22"/>
        <v>1</v>
      </c>
    </row>
    <row r="42" spans="1:34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903</v>
      </c>
      <c r="O42" s="36"/>
      <c r="P42" s="36"/>
      <c r="R42" s="2">
        <f t="shared" si="23"/>
        <v>1</v>
      </c>
      <c r="S42" s="2">
        <f t="shared" si="24"/>
        <v>0</v>
      </c>
      <c r="T42" s="2">
        <f t="shared" si="25"/>
        <v>0</v>
      </c>
      <c r="U42" s="2">
        <f t="shared" si="26"/>
        <v>0</v>
      </c>
      <c r="V42" s="2">
        <f t="shared" si="27"/>
        <v>0</v>
      </c>
      <c r="W42" s="2">
        <f t="shared" si="28"/>
        <v>0</v>
      </c>
      <c r="X42" s="2">
        <f t="shared" si="29"/>
        <v>0</v>
      </c>
      <c r="Y42" s="2">
        <f t="shared" si="30"/>
        <v>0</v>
      </c>
      <c r="Z42" s="2">
        <f t="shared" si="31"/>
        <v>0</v>
      </c>
      <c r="AA42" s="2">
        <f t="shared" si="32"/>
        <v>0</v>
      </c>
      <c r="AC42" s="2">
        <f t="shared" si="33"/>
        <v>0</v>
      </c>
      <c r="AD42" s="2">
        <f t="shared" si="34"/>
        <v>0</v>
      </c>
      <c r="AE42" s="2">
        <f t="shared" si="19"/>
        <v>0</v>
      </c>
      <c r="AF42" s="2">
        <f t="shared" si="20"/>
        <v>0</v>
      </c>
      <c r="AG42" s="2">
        <f t="shared" si="21"/>
        <v>0</v>
      </c>
      <c r="AH42" s="2">
        <f t="shared" si="22"/>
        <v>1</v>
      </c>
    </row>
    <row r="43" spans="1:34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910</v>
      </c>
      <c r="O43" s="33">
        <v>1</v>
      </c>
      <c r="P43" s="33"/>
      <c r="R43" s="2">
        <f t="shared" si="23"/>
        <v>0</v>
      </c>
      <c r="S43" s="2">
        <f t="shared" si="24"/>
        <v>0</v>
      </c>
      <c r="T43" s="2">
        <f t="shared" si="25"/>
        <v>0</v>
      </c>
      <c r="U43" s="2">
        <f t="shared" si="26"/>
        <v>0</v>
      </c>
      <c r="V43" s="2">
        <f t="shared" si="27"/>
        <v>0</v>
      </c>
      <c r="W43" s="2">
        <f t="shared" si="28"/>
        <v>0</v>
      </c>
      <c r="X43" s="2">
        <f t="shared" si="29"/>
        <v>0</v>
      </c>
      <c r="Y43" s="2">
        <f t="shared" si="30"/>
        <v>0</v>
      </c>
      <c r="Z43" s="2">
        <f t="shared" si="31"/>
        <v>0</v>
      </c>
      <c r="AA43" s="2">
        <f t="shared" si="32"/>
        <v>0</v>
      </c>
      <c r="AC43" s="2">
        <f t="shared" si="33"/>
        <v>0</v>
      </c>
      <c r="AD43" s="2">
        <f t="shared" si="34"/>
        <v>1</v>
      </c>
      <c r="AE43" s="2">
        <f t="shared" si="19"/>
        <v>0</v>
      </c>
      <c r="AF43" s="2">
        <f t="shared" si="20"/>
        <v>1</v>
      </c>
      <c r="AG43" s="2">
        <f t="shared" si="21"/>
        <v>0</v>
      </c>
      <c r="AH43" s="2">
        <f t="shared" si="22"/>
        <v>1</v>
      </c>
    </row>
    <row r="44" spans="1:34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903</v>
      </c>
      <c r="O44" s="36"/>
      <c r="P44" s="36"/>
      <c r="R44" s="2">
        <f t="shared" si="23"/>
        <v>0</v>
      </c>
      <c r="S44" s="2">
        <f t="shared" si="24"/>
        <v>0</v>
      </c>
      <c r="T44" s="2">
        <f t="shared" si="25"/>
        <v>0</v>
      </c>
      <c r="U44" s="2">
        <f t="shared" si="26"/>
        <v>0</v>
      </c>
      <c r="V44" s="2">
        <f t="shared" si="27"/>
        <v>0</v>
      </c>
      <c r="W44" s="2">
        <f t="shared" si="28"/>
        <v>0</v>
      </c>
      <c r="X44" s="2">
        <f t="shared" si="29"/>
        <v>0</v>
      </c>
      <c r="Y44" s="2">
        <f t="shared" si="30"/>
        <v>0</v>
      </c>
      <c r="Z44" s="2">
        <f t="shared" si="31"/>
        <v>0</v>
      </c>
      <c r="AA44" s="2">
        <f t="shared" si="32"/>
        <v>0</v>
      </c>
      <c r="AC44" s="2">
        <f t="shared" si="33"/>
        <v>0</v>
      </c>
      <c r="AD44" s="2">
        <f t="shared" si="34"/>
        <v>0</v>
      </c>
      <c r="AE44" s="2">
        <f t="shared" si="19"/>
        <v>0</v>
      </c>
      <c r="AF44" s="2">
        <f t="shared" si="20"/>
        <v>0</v>
      </c>
      <c r="AG44" s="2">
        <f t="shared" si="21"/>
        <v>0</v>
      </c>
      <c r="AH44" s="2">
        <f t="shared" si="22"/>
        <v>1</v>
      </c>
    </row>
    <row r="45" spans="1:34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910</v>
      </c>
      <c r="O45" s="33">
        <v>1</v>
      </c>
      <c r="P45" s="33"/>
      <c r="R45" s="2">
        <f t="shared" si="23"/>
        <v>0</v>
      </c>
      <c r="S45" s="2">
        <f t="shared" si="24"/>
        <v>0</v>
      </c>
      <c r="T45" s="2">
        <f t="shared" si="25"/>
        <v>0</v>
      </c>
      <c r="U45" s="2">
        <f t="shared" si="26"/>
        <v>0</v>
      </c>
      <c r="V45" s="2">
        <f t="shared" si="27"/>
        <v>0</v>
      </c>
      <c r="W45" s="2">
        <f t="shared" si="28"/>
        <v>0</v>
      </c>
      <c r="X45" s="2">
        <f t="shared" si="29"/>
        <v>0</v>
      </c>
      <c r="Y45" s="2">
        <f t="shared" si="30"/>
        <v>1</v>
      </c>
      <c r="Z45" s="2">
        <f t="shared" si="31"/>
        <v>0</v>
      </c>
      <c r="AA45" s="2">
        <f t="shared" si="32"/>
        <v>0</v>
      </c>
      <c r="AC45" s="2">
        <f t="shared" si="33"/>
        <v>0</v>
      </c>
      <c r="AD45" s="2">
        <f t="shared" si="34"/>
        <v>1</v>
      </c>
      <c r="AE45" s="2">
        <f t="shared" si="19"/>
        <v>0</v>
      </c>
      <c r="AF45" s="2">
        <f t="shared" si="20"/>
        <v>1</v>
      </c>
      <c r="AG45" s="2">
        <f t="shared" si="21"/>
        <v>0</v>
      </c>
      <c r="AH45" s="2">
        <f t="shared" si="22"/>
        <v>1</v>
      </c>
    </row>
    <row r="46" spans="1:34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912</v>
      </c>
      <c r="O46" s="36"/>
      <c r="P46" s="36"/>
      <c r="R46" s="2">
        <f t="shared" si="23"/>
        <v>0</v>
      </c>
      <c r="S46" s="2">
        <f t="shared" si="24"/>
        <v>0</v>
      </c>
      <c r="T46" s="2">
        <f t="shared" si="25"/>
        <v>0</v>
      </c>
      <c r="U46" s="2">
        <f t="shared" si="26"/>
        <v>0</v>
      </c>
      <c r="V46" s="2">
        <f t="shared" si="27"/>
        <v>0</v>
      </c>
      <c r="W46" s="2">
        <f t="shared" si="28"/>
        <v>1</v>
      </c>
      <c r="X46" s="2">
        <f t="shared" si="29"/>
        <v>0</v>
      </c>
      <c r="Y46" s="2">
        <f t="shared" si="30"/>
        <v>0</v>
      </c>
      <c r="Z46" s="2">
        <f t="shared" si="31"/>
        <v>0</v>
      </c>
      <c r="AA46" s="2">
        <f t="shared" si="32"/>
        <v>0</v>
      </c>
      <c r="AC46" s="2">
        <f t="shared" si="33"/>
        <v>0</v>
      </c>
      <c r="AD46" s="2">
        <f t="shared" si="34"/>
        <v>0</v>
      </c>
      <c r="AE46" s="2">
        <f t="shared" si="19"/>
        <v>0</v>
      </c>
      <c r="AF46" s="2">
        <f t="shared" si="20"/>
        <v>0</v>
      </c>
      <c r="AG46" s="2">
        <f t="shared" si="21"/>
        <v>0</v>
      </c>
      <c r="AH46" s="2">
        <f t="shared" si="22"/>
        <v>1</v>
      </c>
    </row>
    <row r="47" spans="1:34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897</v>
      </c>
      <c r="O47" s="36"/>
      <c r="P47" s="36"/>
      <c r="R47" s="2">
        <f t="shared" si="23"/>
        <v>0</v>
      </c>
      <c r="S47" s="2">
        <f t="shared" si="24"/>
        <v>0</v>
      </c>
      <c r="T47" s="2">
        <f t="shared" si="25"/>
        <v>0</v>
      </c>
      <c r="U47" s="2">
        <f t="shared" si="26"/>
        <v>0</v>
      </c>
      <c r="V47" s="2">
        <f t="shared" si="27"/>
        <v>0</v>
      </c>
      <c r="W47" s="2">
        <f t="shared" si="28"/>
        <v>0</v>
      </c>
      <c r="X47" s="2">
        <f t="shared" si="29"/>
        <v>0</v>
      </c>
      <c r="Y47" s="2">
        <f t="shared" si="30"/>
        <v>0</v>
      </c>
      <c r="Z47" s="2">
        <f t="shared" si="31"/>
        <v>0</v>
      </c>
      <c r="AA47" s="2">
        <f t="shared" si="32"/>
        <v>0</v>
      </c>
      <c r="AC47" s="2">
        <f t="shared" si="33"/>
        <v>0</v>
      </c>
      <c r="AD47" s="2">
        <f t="shared" si="34"/>
        <v>0</v>
      </c>
      <c r="AE47" s="2">
        <f t="shared" si="19"/>
        <v>0</v>
      </c>
      <c r="AF47" s="2">
        <f t="shared" si="20"/>
        <v>0</v>
      </c>
      <c r="AG47" s="2">
        <f t="shared" si="21"/>
        <v>0</v>
      </c>
      <c r="AH47" s="2">
        <f t="shared" si="22"/>
        <v>1</v>
      </c>
    </row>
    <row r="48" spans="1:34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900</v>
      </c>
      <c r="O48" s="36"/>
      <c r="P48" s="36"/>
      <c r="R48" s="2">
        <f t="shared" si="23"/>
        <v>0</v>
      </c>
      <c r="S48" s="2">
        <f t="shared" si="24"/>
        <v>0</v>
      </c>
      <c r="T48" s="2">
        <f t="shared" si="25"/>
        <v>0</v>
      </c>
      <c r="U48" s="2">
        <f t="shared" si="26"/>
        <v>0</v>
      </c>
      <c r="V48" s="2">
        <f t="shared" si="27"/>
        <v>0</v>
      </c>
      <c r="W48" s="2">
        <f t="shared" si="28"/>
        <v>0</v>
      </c>
      <c r="X48" s="2">
        <f t="shared" si="29"/>
        <v>0</v>
      </c>
      <c r="Y48" s="2">
        <f t="shared" si="30"/>
        <v>1</v>
      </c>
      <c r="Z48" s="2">
        <f t="shared" si="31"/>
        <v>0</v>
      </c>
      <c r="AA48" s="2">
        <f t="shared" si="32"/>
        <v>0</v>
      </c>
      <c r="AC48" s="2">
        <f t="shared" si="33"/>
        <v>0</v>
      </c>
      <c r="AD48" s="2">
        <f t="shared" si="34"/>
        <v>0</v>
      </c>
      <c r="AE48" s="2">
        <f t="shared" si="19"/>
        <v>0</v>
      </c>
      <c r="AF48" s="2">
        <f t="shared" si="20"/>
        <v>0</v>
      </c>
      <c r="AG48" s="2">
        <f t="shared" si="21"/>
        <v>0</v>
      </c>
      <c r="AH48" s="2">
        <f t="shared" si="22"/>
        <v>1</v>
      </c>
    </row>
    <row r="49" spans="1:34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910</v>
      </c>
      <c r="O49" s="33">
        <v>1</v>
      </c>
      <c r="P49" s="33"/>
      <c r="R49" s="2">
        <f t="shared" si="23"/>
        <v>0</v>
      </c>
      <c r="S49" s="2">
        <f t="shared" si="24"/>
        <v>0</v>
      </c>
      <c r="T49" s="2">
        <f t="shared" si="25"/>
        <v>0</v>
      </c>
      <c r="U49" s="2">
        <f t="shared" si="26"/>
        <v>0</v>
      </c>
      <c r="V49" s="2">
        <f t="shared" si="27"/>
        <v>0</v>
      </c>
      <c r="W49" s="2">
        <f t="shared" si="28"/>
        <v>0</v>
      </c>
      <c r="X49" s="2">
        <f t="shared" si="29"/>
        <v>0</v>
      </c>
      <c r="Y49" s="2">
        <f t="shared" si="30"/>
        <v>1</v>
      </c>
      <c r="Z49" s="2">
        <f t="shared" si="31"/>
        <v>0</v>
      </c>
      <c r="AA49" s="2">
        <f t="shared" si="32"/>
        <v>0</v>
      </c>
      <c r="AC49" s="2">
        <f t="shared" si="33"/>
        <v>0</v>
      </c>
      <c r="AD49" s="2">
        <f t="shared" si="34"/>
        <v>1</v>
      </c>
      <c r="AE49" s="2">
        <f t="shared" si="19"/>
        <v>0</v>
      </c>
      <c r="AF49" s="2">
        <f t="shared" si="20"/>
        <v>1</v>
      </c>
      <c r="AG49" s="2">
        <f t="shared" si="21"/>
        <v>0</v>
      </c>
      <c r="AH49" s="2">
        <f t="shared" si="22"/>
        <v>1</v>
      </c>
    </row>
    <row r="50" spans="1:34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R50" s="2">
        <f t="shared" si="23"/>
        <v>0</v>
      </c>
      <c r="S50" s="2">
        <f t="shared" si="24"/>
        <v>0</v>
      </c>
      <c r="T50" s="2">
        <f t="shared" si="25"/>
        <v>0</v>
      </c>
      <c r="U50" s="2">
        <f t="shared" si="26"/>
        <v>0</v>
      </c>
      <c r="V50" s="2">
        <f t="shared" si="27"/>
        <v>0</v>
      </c>
      <c r="W50" s="2">
        <f t="shared" si="28"/>
        <v>0</v>
      </c>
      <c r="X50" s="2">
        <f t="shared" si="29"/>
        <v>0</v>
      </c>
      <c r="Y50" s="2">
        <f t="shared" si="30"/>
        <v>0</v>
      </c>
      <c r="Z50" s="2">
        <f t="shared" si="31"/>
        <v>0</v>
      </c>
      <c r="AA50" s="2">
        <f t="shared" si="32"/>
        <v>1</v>
      </c>
      <c r="AC50" s="2">
        <f t="shared" si="33"/>
        <v>0</v>
      </c>
      <c r="AD50" s="2">
        <f t="shared" si="34"/>
        <v>0</v>
      </c>
      <c r="AE50" s="2">
        <f t="shared" si="19"/>
        <v>0</v>
      </c>
      <c r="AF50" s="2">
        <f t="shared" si="20"/>
        <v>0</v>
      </c>
      <c r="AG50" s="2">
        <f t="shared" si="21"/>
        <v>1</v>
      </c>
      <c r="AH50" s="2">
        <f t="shared" si="22"/>
        <v>0</v>
      </c>
    </row>
    <row r="51" spans="1:34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931</v>
      </c>
      <c r="O51" s="36"/>
      <c r="P51" s="36"/>
      <c r="R51" s="2">
        <f t="shared" si="23"/>
        <v>0</v>
      </c>
      <c r="S51" s="2">
        <f t="shared" si="24"/>
        <v>0</v>
      </c>
      <c r="T51" s="2">
        <f t="shared" si="25"/>
        <v>0</v>
      </c>
      <c r="U51" s="2">
        <f t="shared" si="26"/>
        <v>0</v>
      </c>
      <c r="V51" s="2">
        <f t="shared" si="27"/>
        <v>0</v>
      </c>
      <c r="W51" s="2">
        <f t="shared" si="28"/>
        <v>0</v>
      </c>
      <c r="X51" s="2">
        <f t="shared" si="29"/>
        <v>0</v>
      </c>
      <c r="Y51" s="2">
        <f t="shared" si="30"/>
        <v>0</v>
      </c>
      <c r="Z51" s="2">
        <f t="shared" si="31"/>
        <v>0</v>
      </c>
      <c r="AA51" s="2">
        <f t="shared" si="32"/>
        <v>0</v>
      </c>
      <c r="AC51" s="2">
        <f t="shared" si="33"/>
        <v>0</v>
      </c>
      <c r="AD51" s="2">
        <f t="shared" si="34"/>
        <v>0</v>
      </c>
      <c r="AE51" s="2">
        <f t="shared" si="19"/>
        <v>0</v>
      </c>
      <c r="AF51" s="2">
        <f t="shared" si="20"/>
        <v>0</v>
      </c>
      <c r="AG51" s="2">
        <f t="shared" si="21"/>
        <v>0</v>
      </c>
      <c r="AH51" s="2">
        <f t="shared" si="22"/>
        <v>1</v>
      </c>
    </row>
    <row r="52" spans="1:34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835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931</v>
      </c>
      <c r="O52" s="36"/>
      <c r="P52" s="36"/>
      <c r="R52" s="2">
        <f t="shared" si="23"/>
        <v>0</v>
      </c>
      <c r="S52" s="2">
        <f t="shared" si="24"/>
        <v>0</v>
      </c>
      <c r="T52" s="2">
        <f t="shared" si="25"/>
        <v>0</v>
      </c>
      <c r="U52" s="2">
        <f t="shared" si="26"/>
        <v>0</v>
      </c>
      <c r="V52" s="2">
        <f t="shared" si="27"/>
        <v>0</v>
      </c>
      <c r="W52" s="2">
        <f t="shared" si="28"/>
        <v>0</v>
      </c>
      <c r="X52" s="2">
        <f t="shared" si="29"/>
        <v>0</v>
      </c>
      <c r="Y52" s="2">
        <f t="shared" si="30"/>
        <v>0</v>
      </c>
      <c r="Z52" s="2">
        <f t="shared" si="31"/>
        <v>0</v>
      </c>
      <c r="AA52" s="2">
        <f t="shared" si="32"/>
        <v>0</v>
      </c>
      <c r="AC52" s="2">
        <f t="shared" si="33"/>
        <v>0</v>
      </c>
      <c r="AD52" s="2">
        <f t="shared" si="34"/>
        <v>0</v>
      </c>
      <c r="AE52" s="2">
        <f t="shared" si="19"/>
        <v>0</v>
      </c>
      <c r="AF52" s="2">
        <f t="shared" si="20"/>
        <v>0</v>
      </c>
      <c r="AG52" s="2">
        <f t="shared" si="21"/>
        <v>0</v>
      </c>
      <c r="AH52" s="2">
        <f t="shared" si="22"/>
        <v>1</v>
      </c>
    </row>
    <row r="53" spans="1:34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738</v>
      </c>
      <c r="N53" s="35" t="s">
        <v>931</v>
      </c>
      <c r="O53" s="36"/>
      <c r="P53" s="36"/>
      <c r="R53" s="2">
        <f t="shared" si="23"/>
        <v>0</v>
      </c>
      <c r="S53" s="2">
        <f t="shared" si="24"/>
        <v>0</v>
      </c>
      <c r="T53" s="2">
        <f t="shared" si="25"/>
        <v>0</v>
      </c>
      <c r="U53" s="2">
        <f t="shared" si="26"/>
        <v>0</v>
      </c>
      <c r="V53" s="2">
        <f t="shared" si="27"/>
        <v>0</v>
      </c>
      <c r="W53" s="2">
        <f t="shared" si="28"/>
        <v>0</v>
      </c>
      <c r="X53" s="2">
        <f t="shared" si="29"/>
        <v>0</v>
      </c>
      <c r="Y53" s="2">
        <f t="shared" si="30"/>
        <v>0</v>
      </c>
      <c r="Z53" s="2">
        <f t="shared" si="31"/>
        <v>0</v>
      </c>
      <c r="AA53" s="2">
        <f t="shared" si="32"/>
        <v>0</v>
      </c>
      <c r="AC53" s="2">
        <f t="shared" si="33"/>
        <v>0</v>
      </c>
      <c r="AD53" s="2">
        <f t="shared" si="34"/>
        <v>0</v>
      </c>
      <c r="AE53" s="2">
        <f t="shared" si="19"/>
        <v>0</v>
      </c>
      <c r="AF53" s="2">
        <f t="shared" si="20"/>
        <v>0</v>
      </c>
      <c r="AG53" s="2">
        <f t="shared" si="21"/>
        <v>0</v>
      </c>
      <c r="AH53" s="2">
        <f t="shared" si="22"/>
        <v>1</v>
      </c>
    </row>
    <row r="54" spans="1:3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913</v>
      </c>
      <c r="N54" s="21"/>
      <c r="O54" s="7"/>
      <c r="P54" s="7"/>
      <c r="R54" s="2">
        <f t="shared" si="23"/>
        <v>0</v>
      </c>
      <c r="S54" s="2">
        <f t="shared" si="24"/>
        <v>0</v>
      </c>
      <c r="T54" s="2">
        <f t="shared" si="25"/>
        <v>0</v>
      </c>
      <c r="U54" s="2">
        <f t="shared" si="26"/>
        <v>0</v>
      </c>
      <c r="V54" s="2">
        <f t="shared" si="27"/>
        <v>0</v>
      </c>
      <c r="W54" s="2">
        <f t="shared" si="28"/>
        <v>0</v>
      </c>
      <c r="X54" s="2">
        <f t="shared" si="29"/>
        <v>0</v>
      </c>
      <c r="Y54" s="2">
        <f t="shared" si="30"/>
        <v>1</v>
      </c>
      <c r="Z54" s="2">
        <f t="shared" si="31"/>
        <v>0</v>
      </c>
      <c r="AA54" s="2">
        <f t="shared" si="32"/>
        <v>0</v>
      </c>
      <c r="AC54" s="2">
        <f t="shared" si="33"/>
        <v>0</v>
      </c>
      <c r="AD54" s="2">
        <f t="shared" si="34"/>
        <v>0</v>
      </c>
      <c r="AE54" s="2">
        <f t="shared" si="19"/>
        <v>0</v>
      </c>
      <c r="AF54" s="2">
        <f t="shared" si="20"/>
        <v>0</v>
      </c>
      <c r="AG54" s="2">
        <f t="shared" si="21"/>
        <v>0</v>
      </c>
      <c r="AH54" s="2">
        <f t="shared" si="22"/>
        <v>1</v>
      </c>
    </row>
    <row r="55" spans="1:34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783</v>
      </c>
      <c r="N55" s="32" t="s">
        <v>896</v>
      </c>
      <c r="O55" s="33">
        <v>1</v>
      </c>
      <c r="P55" s="33">
        <v>1</v>
      </c>
      <c r="R55" s="2">
        <f t="shared" si="23"/>
        <v>0</v>
      </c>
      <c r="S55" s="2">
        <f t="shared" si="24"/>
        <v>0</v>
      </c>
      <c r="T55" s="2">
        <f t="shared" si="25"/>
        <v>0</v>
      </c>
      <c r="U55" s="2">
        <f t="shared" si="26"/>
        <v>0</v>
      </c>
      <c r="V55" s="2">
        <f t="shared" si="27"/>
        <v>0</v>
      </c>
      <c r="W55" s="2">
        <f t="shared" si="28"/>
        <v>0</v>
      </c>
      <c r="X55" s="2">
        <f t="shared" si="29"/>
        <v>0</v>
      </c>
      <c r="Y55" s="2">
        <f t="shared" si="30"/>
        <v>0</v>
      </c>
      <c r="Z55" s="2">
        <f t="shared" si="31"/>
        <v>1</v>
      </c>
      <c r="AA55" s="2">
        <f t="shared" si="32"/>
        <v>0</v>
      </c>
      <c r="AC55" s="2">
        <f t="shared" si="33"/>
        <v>1</v>
      </c>
      <c r="AD55" s="2">
        <f t="shared" si="34"/>
        <v>0</v>
      </c>
      <c r="AE55" s="2">
        <f t="shared" si="19"/>
        <v>1</v>
      </c>
      <c r="AF55" s="2">
        <f t="shared" si="20"/>
        <v>0</v>
      </c>
      <c r="AG55" s="2">
        <f t="shared" si="21"/>
        <v>1</v>
      </c>
      <c r="AH55" s="2">
        <f t="shared" si="22"/>
        <v>0</v>
      </c>
    </row>
    <row r="56" spans="1:34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932</v>
      </c>
      <c r="O56" s="36"/>
      <c r="P56" s="36"/>
      <c r="R56" s="2">
        <f t="shared" si="23"/>
        <v>0</v>
      </c>
      <c r="S56" s="2">
        <f t="shared" si="24"/>
        <v>0</v>
      </c>
      <c r="T56" s="2">
        <f t="shared" si="25"/>
        <v>0</v>
      </c>
      <c r="U56" s="2">
        <f t="shared" si="26"/>
        <v>0</v>
      </c>
      <c r="V56" s="2">
        <f t="shared" si="27"/>
        <v>0</v>
      </c>
      <c r="W56" s="2">
        <f t="shared" si="28"/>
        <v>0</v>
      </c>
      <c r="X56" s="2">
        <f t="shared" si="29"/>
        <v>0</v>
      </c>
      <c r="Y56" s="2">
        <f t="shared" si="30"/>
        <v>0</v>
      </c>
      <c r="Z56" s="2">
        <f t="shared" si="31"/>
        <v>0</v>
      </c>
      <c r="AA56" s="2">
        <f t="shared" si="32"/>
        <v>0</v>
      </c>
      <c r="AC56" s="2">
        <f t="shared" si="33"/>
        <v>0</v>
      </c>
      <c r="AD56" s="2">
        <f t="shared" si="34"/>
        <v>0</v>
      </c>
      <c r="AE56" s="2">
        <f t="shared" si="19"/>
        <v>0</v>
      </c>
      <c r="AF56" s="2">
        <f t="shared" si="20"/>
        <v>0</v>
      </c>
      <c r="AG56" s="2">
        <f t="shared" si="21"/>
        <v>0</v>
      </c>
      <c r="AH56" s="2">
        <f t="shared" si="22"/>
        <v>1</v>
      </c>
    </row>
    <row r="57" spans="1:34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R57" s="2">
        <f t="shared" si="23"/>
        <v>0</v>
      </c>
      <c r="S57" s="2">
        <f t="shared" si="24"/>
        <v>0</v>
      </c>
      <c r="T57" s="2">
        <f t="shared" si="25"/>
        <v>0</v>
      </c>
      <c r="U57" s="2">
        <f t="shared" si="26"/>
        <v>0</v>
      </c>
      <c r="V57" s="2">
        <f t="shared" si="27"/>
        <v>0</v>
      </c>
      <c r="W57" s="2">
        <f t="shared" si="28"/>
        <v>0</v>
      </c>
      <c r="X57" s="2">
        <f t="shared" si="29"/>
        <v>0</v>
      </c>
      <c r="Y57" s="2">
        <f t="shared" si="30"/>
        <v>0</v>
      </c>
      <c r="Z57" s="2">
        <f t="shared" si="31"/>
        <v>0</v>
      </c>
      <c r="AA57" s="2">
        <f t="shared" si="32"/>
        <v>0</v>
      </c>
      <c r="AC57" s="2">
        <f t="shared" si="33"/>
        <v>0</v>
      </c>
      <c r="AD57" s="2">
        <f t="shared" si="34"/>
        <v>0</v>
      </c>
      <c r="AE57" s="2">
        <f t="shared" si="19"/>
        <v>0</v>
      </c>
      <c r="AF57" s="2">
        <f t="shared" si="20"/>
        <v>0</v>
      </c>
      <c r="AG57" s="2">
        <f t="shared" si="21"/>
        <v>0</v>
      </c>
      <c r="AH57" s="2">
        <f t="shared" si="22"/>
        <v>1</v>
      </c>
    </row>
    <row r="58" spans="1:34" ht="14.25" customHeight="1" x14ac:dyDescent="0.25">
      <c r="A58" s="34">
        <v>0</v>
      </c>
      <c r="B58" s="34">
        <v>1</v>
      </c>
      <c r="C58" s="34">
        <v>5</v>
      </c>
      <c r="D58" s="35" t="s">
        <v>890</v>
      </c>
      <c r="E58" s="35" t="s">
        <v>893</v>
      </c>
      <c r="F58" s="35" t="s">
        <v>891</v>
      </c>
      <c r="G58" s="35" t="s">
        <v>403</v>
      </c>
      <c r="H58" s="35" t="s">
        <v>165</v>
      </c>
      <c r="I58" s="34" t="s">
        <v>892</v>
      </c>
      <c r="J58" s="34"/>
      <c r="K58" s="34" t="s">
        <v>378</v>
      </c>
      <c r="L58" s="34">
        <v>55</v>
      </c>
      <c r="M58" s="35" t="s">
        <v>894</v>
      </c>
      <c r="N58" s="35" t="s">
        <v>931</v>
      </c>
      <c r="O58" s="36"/>
      <c r="P58" s="36"/>
      <c r="R58" s="2">
        <f t="shared" si="23"/>
        <v>0</v>
      </c>
      <c r="S58" s="2">
        <f t="shared" si="24"/>
        <v>0</v>
      </c>
      <c r="T58" s="2">
        <f t="shared" si="25"/>
        <v>0</v>
      </c>
      <c r="U58" s="2">
        <f t="shared" si="26"/>
        <v>0</v>
      </c>
      <c r="V58" s="2">
        <f t="shared" si="27"/>
        <v>0</v>
      </c>
      <c r="W58" s="2">
        <f t="shared" si="28"/>
        <v>0</v>
      </c>
      <c r="X58" s="2">
        <f t="shared" si="29"/>
        <v>0</v>
      </c>
      <c r="Y58" s="2">
        <f t="shared" si="30"/>
        <v>0</v>
      </c>
      <c r="Z58" s="2">
        <f t="shared" si="31"/>
        <v>0</v>
      </c>
      <c r="AA58" s="2">
        <f t="shared" si="32"/>
        <v>0</v>
      </c>
      <c r="AC58" s="2">
        <f t="shared" si="33"/>
        <v>0</v>
      </c>
      <c r="AD58" s="2">
        <f t="shared" si="34"/>
        <v>0</v>
      </c>
      <c r="AE58" s="2">
        <f t="shared" si="19"/>
        <v>0</v>
      </c>
      <c r="AF58" s="2">
        <f t="shared" si="20"/>
        <v>0</v>
      </c>
      <c r="AG58" s="2">
        <f t="shared" si="21"/>
        <v>0</v>
      </c>
      <c r="AH58" s="2">
        <f t="shared" si="22"/>
        <v>1</v>
      </c>
    </row>
    <row r="59" spans="1:34" ht="14.25" customHeight="1" x14ac:dyDescent="0.25">
      <c r="A59" s="31">
        <v>0</v>
      </c>
      <c r="B59" s="31">
        <v>1</v>
      </c>
      <c r="C59" s="31">
        <v>5</v>
      </c>
      <c r="D59" s="32" t="s">
        <v>875</v>
      </c>
      <c r="E59" s="32" t="s">
        <v>805</v>
      </c>
      <c r="F59" s="32" t="s">
        <v>876</v>
      </c>
      <c r="G59" s="32" t="s">
        <v>309</v>
      </c>
      <c r="H59" s="32" t="s">
        <v>165</v>
      </c>
      <c r="I59" s="31" t="s">
        <v>877</v>
      </c>
      <c r="J59" s="31"/>
      <c r="K59" s="31" t="s">
        <v>378</v>
      </c>
      <c r="L59" s="31">
        <v>50</v>
      </c>
      <c r="M59" s="32" t="s">
        <v>878</v>
      </c>
      <c r="N59" s="32" t="s">
        <v>938</v>
      </c>
      <c r="O59" s="33">
        <v>1</v>
      </c>
      <c r="P59" s="33"/>
      <c r="R59" s="2">
        <f t="shared" si="23"/>
        <v>0</v>
      </c>
      <c r="S59" s="2">
        <f t="shared" si="24"/>
        <v>0</v>
      </c>
      <c r="T59" s="2">
        <f t="shared" si="25"/>
        <v>0</v>
      </c>
      <c r="U59" s="2">
        <f t="shared" si="26"/>
        <v>0</v>
      </c>
      <c r="V59" s="2">
        <f t="shared" si="27"/>
        <v>0</v>
      </c>
      <c r="W59" s="2">
        <f t="shared" si="28"/>
        <v>0</v>
      </c>
      <c r="X59" s="2">
        <f t="shared" si="29"/>
        <v>0</v>
      </c>
      <c r="Y59" s="2">
        <f t="shared" si="30"/>
        <v>0</v>
      </c>
      <c r="Z59" s="2">
        <f t="shared" si="31"/>
        <v>0</v>
      </c>
      <c r="AA59" s="2">
        <f t="shared" si="32"/>
        <v>0</v>
      </c>
      <c r="AC59" s="2">
        <f t="shared" si="33"/>
        <v>0</v>
      </c>
      <c r="AD59" s="2">
        <f t="shared" si="34"/>
        <v>1</v>
      </c>
      <c r="AE59" s="2">
        <f t="shared" si="19"/>
        <v>0</v>
      </c>
      <c r="AF59" s="2">
        <f t="shared" si="20"/>
        <v>1</v>
      </c>
      <c r="AG59" s="2">
        <f t="shared" si="21"/>
        <v>0</v>
      </c>
      <c r="AH59" s="2">
        <f t="shared" si="22"/>
        <v>1</v>
      </c>
    </row>
    <row r="60" spans="1:34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840</v>
      </c>
      <c r="G60" s="21" t="s">
        <v>93</v>
      </c>
      <c r="H60" s="21" t="s">
        <v>165</v>
      </c>
      <c r="I60" s="20" t="s">
        <v>854</v>
      </c>
      <c r="J60" s="20">
        <v>8</v>
      </c>
      <c r="K60" s="20" t="s">
        <v>332</v>
      </c>
      <c r="L60" s="20">
        <v>50</v>
      </c>
      <c r="M60" s="21" t="s">
        <v>878</v>
      </c>
      <c r="N60" s="21"/>
      <c r="O60" s="7"/>
      <c r="P60" s="7"/>
      <c r="R60" s="2">
        <f t="shared" si="23"/>
        <v>0</v>
      </c>
      <c r="S60" s="2">
        <f t="shared" si="24"/>
        <v>0</v>
      </c>
      <c r="T60" s="2">
        <f t="shared" si="25"/>
        <v>0</v>
      </c>
      <c r="U60" s="2">
        <f t="shared" si="26"/>
        <v>0</v>
      </c>
      <c r="V60" s="2">
        <f t="shared" si="27"/>
        <v>0</v>
      </c>
      <c r="W60" s="2">
        <f t="shared" si="28"/>
        <v>0</v>
      </c>
      <c r="X60" s="2">
        <f t="shared" si="29"/>
        <v>0</v>
      </c>
      <c r="Y60" s="2">
        <f t="shared" si="30"/>
        <v>1</v>
      </c>
      <c r="Z60" s="2">
        <f t="shared" si="31"/>
        <v>0</v>
      </c>
      <c r="AA60" s="2">
        <f t="shared" si="32"/>
        <v>0</v>
      </c>
      <c r="AC60" s="2">
        <f t="shared" si="33"/>
        <v>0</v>
      </c>
      <c r="AD60" s="2">
        <f t="shared" si="34"/>
        <v>0</v>
      </c>
      <c r="AE60" s="2">
        <f t="shared" si="19"/>
        <v>0</v>
      </c>
      <c r="AF60" s="2">
        <f t="shared" si="20"/>
        <v>0</v>
      </c>
      <c r="AG60" s="2">
        <f t="shared" si="21"/>
        <v>0</v>
      </c>
      <c r="AH60" s="2">
        <f t="shared" si="22"/>
        <v>1</v>
      </c>
    </row>
    <row r="61" spans="1:34" ht="14.25" customHeight="1" x14ac:dyDescent="0.25">
      <c r="A61" s="31">
        <v>0</v>
      </c>
      <c r="B61" s="31">
        <v>1</v>
      </c>
      <c r="C61" s="31">
        <v>5</v>
      </c>
      <c r="D61" s="32" t="s">
        <v>872</v>
      </c>
      <c r="E61" s="32" t="s">
        <v>805</v>
      </c>
      <c r="F61" s="32" t="s">
        <v>873</v>
      </c>
      <c r="G61" s="32" t="s">
        <v>370</v>
      </c>
      <c r="H61" s="32" t="s">
        <v>165</v>
      </c>
      <c r="I61" s="31" t="s">
        <v>874</v>
      </c>
      <c r="J61" s="31"/>
      <c r="K61" s="31" t="s">
        <v>378</v>
      </c>
      <c r="L61" s="31">
        <v>45</v>
      </c>
      <c r="M61" s="32" t="s">
        <v>420</v>
      </c>
      <c r="N61" s="32" t="s">
        <v>896</v>
      </c>
      <c r="O61" s="33">
        <v>1</v>
      </c>
      <c r="P61" s="33">
        <v>1</v>
      </c>
      <c r="R61" s="2">
        <f t="shared" si="23"/>
        <v>0</v>
      </c>
      <c r="S61" s="2">
        <f t="shared" si="24"/>
        <v>0</v>
      </c>
      <c r="T61" s="2">
        <f t="shared" si="25"/>
        <v>0</v>
      </c>
      <c r="U61" s="2">
        <f t="shared" si="26"/>
        <v>0</v>
      </c>
      <c r="V61" s="2">
        <f t="shared" si="27"/>
        <v>0</v>
      </c>
      <c r="W61" s="2">
        <f t="shared" si="28"/>
        <v>0</v>
      </c>
      <c r="X61" s="2">
        <f t="shared" si="29"/>
        <v>0</v>
      </c>
      <c r="Y61" s="2">
        <f t="shared" si="30"/>
        <v>0</v>
      </c>
      <c r="Z61" s="2">
        <f t="shared" si="31"/>
        <v>0</v>
      </c>
      <c r="AA61" s="2">
        <f t="shared" si="32"/>
        <v>0</v>
      </c>
      <c r="AC61" s="2">
        <f t="shared" si="33"/>
        <v>1</v>
      </c>
      <c r="AD61" s="2">
        <f t="shared" si="34"/>
        <v>0</v>
      </c>
      <c r="AE61" s="2">
        <f t="shared" si="19"/>
        <v>1</v>
      </c>
      <c r="AF61" s="2">
        <f t="shared" si="20"/>
        <v>0</v>
      </c>
      <c r="AG61" s="2">
        <f t="shared" si="21"/>
        <v>1</v>
      </c>
      <c r="AH61" s="2">
        <f t="shared" si="22"/>
        <v>0</v>
      </c>
    </row>
    <row r="62" spans="1:34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915</v>
      </c>
      <c r="O62" s="33">
        <v>1</v>
      </c>
      <c r="P62" s="33"/>
      <c r="R62" s="2">
        <f t="shared" si="23"/>
        <v>0</v>
      </c>
      <c r="S62" s="2">
        <f t="shared" si="24"/>
        <v>0</v>
      </c>
      <c r="T62" s="2">
        <f t="shared" si="25"/>
        <v>0</v>
      </c>
      <c r="U62" s="2">
        <f t="shared" si="26"/>
        <v>0</v>
      </c>
      <c r="V62" s="2">
        <f t="shared" si="27"/>
        <v>0</v>
      </c>
      <c r="W62" s="2">
        <f t="shared" si="28"/>
        <v>0</v>
      </c>
      <c r="X62" s="2">
        <f t="shared" si="29"/>
        <v>0</v>
      </c>
      <c r="Y62" s="2">
        <f t="shared" si="30"/>
        <v>0</v>
      </c>
      <c r="Z62" s="2">
        <f t="shared" si="31"/>
        <v>0</v>
      </c>
      <c r="AA62" s="2">
        <f t="shared" si="32"/>
        <v>0</v>
      </c>
      <c r="AC62" s="2">
        <f t="shared" si="33"/>
        <v>0</v>
      </c>
      <c r="AD62" s="2">
        <f t="shared" si="34"/>
        <v>1</v>
      </c>
      <c r="AE62" s="2">
        <f t="shared" si="19"/>
        <v>0</v>
      </c>
      <c r="AF62" s="2">
        <f t="shared" si="20"/>
        <v>1</v>
      </c>
      <c r="AG62" s="2">
        <f t="shared" si="21"/>
        <v>0</v>
      </c>
      <c r="AH62" s="2">
        <f t="shared" si="22"/>
        <v>1</v>
      </c>
    </row>
    <row r="63" spans="1:34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915</v>
      </c>
      <c r="O63" s="33">
        <v>1</v>
      </c>
      <c r="P63" s="33"/>
      <c r="R63" s="2">
        <f t="shared" si="23"/>
        <v>0</v>
      </c>
      <c r="S63" s="2">
        <f t="shared" si="24"/>
        <v>0</v>
      </c>
      <c r="T63" s="2">
        <f t="shared" si="25"/>
        <v>0</v>
      </c>
      <c r="U63" s="2">
        <f t="shared" si="26"/>
        <v>0</v>
      </c>
      <c r="V63" s="2">
        <f t="shared" si="27"/>
        <v>0</v>
      </c>
      <c r="W63" s="2">
        <f t="shared" si="28"/>
        <v>0</v>
      </c>
      <c r="X63" s="2">
        <f t="shared" si="29"/>
        <v>0</v>
      </c>
      <c r="Y63" s="2">
        <f t="shared" si="30"/>
        <v>0</v>
      </c>
      <c r="Z63" s="2">
        <f t="shared" si="31"/>
        <v>0</v>
      </c>
      <c r="AA63" s="2">
        <f t="shared" si="32"/>
        <v>0</v>
      </c>
      <c r="AC63" s="2">
        <f t="shared" si="33"/>
        <v>0</v>
      </c>
      <c r="AD63" s="2">
        <f t="shared" si="34"/>
        <v>1</v>
      </c>
      <c r="AE63" s="2">
        <f t="shared" si="19"/>
        <v>0</v>
      </c>
      <c r="AF63" s="2">
        <f t="shared" si="20"/>
        <v>1</v>
      </c>
      <c r="AG63" s="2">
        <f t="shared" si="21"/>
        <v>0</v>
      </c>
      <c r="AH63" s="2">
        <f t="shared" si="22"/>
        <v>1</v>
      </c>
    </row>
    <row r="64" spans="1:34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4" t="s">
        <v>559</v>
      </c>
      <c r="J64" s="34">
        <v>99</v>
      </c>
      <c r="K64" s="34" t="s">
        <v>330</v>
      </c>
      <c r="L64" s="34" t="s">
        <v>597</v>
      </c>
      <c r="M64" s="35" t="s">
        <v>420</v>
      </c>
      <c r="N64" s="35" t="s">
        <v>912</v>
      </c>
      <c r="O64" s="36"/>
      <c r="P64" s="36"/>
      <c r="R64" s="2">
        <f t="shared" si="23"/>
        <v>0</v>
      </c>
      <c r="S64" s="2">
        <f t="shared" si="24"/>
        <v>0</v>
      </c>
      <c r="T64" s="2">
        <f t="shared" si="25"/>
        <v>0</v>
      </c>
      <c r="U64" s="2">
        <f t="shared" si="26"/>
        <v>0</v>
      </c>
      <c r="V64" s="2">
        <f t="shared" si="27"/>
        <v>0</v>
      </c>
      <c r="W64" s="2">
        <f t="shared" si="28"/>
        <v>0</v>
      </c>
      <c r="X64" s="2">
        <f t="shared" si="29"/>
        <v>0</v>
      </c>
      <c r="Y64" s="2">
        <f t="shared" si="30"/>
        <v>0</v>
      </c>
      <c r="Z64" s="2">
        <f t="shared" si="31"/>
        <v>0</v>
      </c>
      <c r="AA64" s="2">
        <f t="shared" si="32"/>
        <v>0</v>
      </c>
      <c r="AC64" s="2">
        <f t="shared" si="33"/>
        <v>0</v>
      </c>
      <c r="AD64" s="2">
        <f t="shared" si="34"/>
        <v>0</v>
      </c>
      <c r="AE64" s="2">
        <f t="shared" si="19"/>
        <v>0</v>
      </c>
      <c r="AF64" s="2">
        <f t="shared" si="20"/>
        <v>0</v>
      </c>
      <c r="AG64" s="2">
        <f t="shared" si="21"/>
        <v>0</v>
      </c>
      <c r="AH64" s="2">
        <f t="shared" si="22"/>
        <v>1</v>
      </c>
    </row>
    <row r="65" spans="1:34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787</v>
      </c>
      <c r="N65" s="32" t="s">
        <v>915</v>
      </c>
      <c r="O65" s="33">
        <v>1</v>
      </c>
      <c r="P65" s="33"/>
      <c r="R65" s="2">
        <f t="shared" si="23"/>
        <v>0</v>
      </c>
      <c r="S65" s="2">
        <f t="shared" si="24"/>
        <v>0</v>
      </c>
      <c r="T65" s="2">
        <f t="shared" si="25"/>
        <v>0</v>
      </c>
      <c r="U65" s="2">
        <f t="shared" si="26"/>
        <v>0</v>
      </c>
      <c r="V65" s="2">
        <f t="shared" si="27"/>
        <v>0</v>
      </c>
      <c r="W65" s="2">
        <f t="shared" si="28"/>
        <v>0</v>
      </c>
      <c r="X65" s="2">
        <f t="shared" si="29"/>
        <v>0</v>
      </c>
      <c r="Y65" s="2">
        <f t="shared" si="30"/>
        <v>0</v>
      </c>
      <c r="Z65" s="2">
        <f t="shared" si="31"/>
        <v>0</v>
      </c>
      <c r="AA65" s="2">
        <f t="shared" si="32"/>
        <v>0</v>
      </c>
      <c r="AC65" s="2">
        <f t="shared" si="33"/>
        <v>0</v>
      </c>
      <c r="AD65" s="2">
        <f t="shared" si="34"/>
        <v>1</v>
      </c>
      <c r="AE65" s="2">
        <f t="shared" si="19"/>
        <v>0</v>
      </c>
      <c r="AF65" s="2">
        <f t="shared" si="20"/>
        <v>1</v>
      </c>
      <c r="AG65" s="2">
        <f t="shared" si="21"/>
        <v>0</v>
      </c>
      <c r="AH65" s="2">
        <f t="shared" si="22"/>
        <v>1</v>
      </c>
    </row>
    <row r="66" spans="1:34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496</v>
      </c>
      <c r="N66" s="35" t="s">
        <v>932</v>
      </c>
      <c r="O66" s="36"/>
      <c r="P66" s="36"/>
      <c r="R66" s="2">
        <f t="shared" si="23"/>
        <v>0</v>
      </c>
      <c r="S66" s="2">
        <f t="shared" si="24"/>
        <v>0</v>
      </c>
      <c r="T66" s="2">
        <f t="shared" si="25"/>
        <v>1</v>
      </c>
      <c r="U66" s="2">
        <f t="shared" si="26"/>
        <v>0</v>
      </c>
      <c r="V66" s="2">
        <f t="shared" si="27"/>
        <v>0</v>
      </c>
      <c r="W66" s="2">
        <f t="shared" si="28"/>
        <v>0</v>
      </c>
      <c r="X66" s="2">
        <f t="shared" si="29"/>
        <v>0</v>
      </c>
      <c r="Y66" s="2">
        <f t="shared" si="30"/>
        <v>0</v>
      </c>
      <c r="Z66" s="2">
        <f t="shared" si="31"/>
        <v>0</v>
      </c>
      <c r="AA66" s="2">
        <f t="shared" si="32"/>
        <v>0</v>
      </c>
      <c r="AC66" s="2">
        <f t="shared" si="33"/>
        <v>0</v>
      </c>
      <c r="AD66" s="2">
        <f t="shared" si="34"/>
        <v>0</v>
      </c>
      <c r="AE66" s="2">
        <f t="shared" si="19"/>
        <v>0</v>
      </c>
      <c r="AF66" s="2">
        <f t="shared" si="20"/>
        <v>0</v>
      </c>
      <c r="AG66" s="2">
        <f t="shared" si="21"/>
        <v>0</v>
      </c>
      <c r="AH66" s="2">
        <f t="shared" si="22"/>
        <v>1</v>
      </c>
    </row>
    <row r="67" spans="1:34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R67" s="2">
        <f t="shared" si="23"/>
        <v>0</v>
      </c>
      <c r="S67" s="2">
        <f t="shared" si="24"/>
        <v>0</v>
      </c>
      <c r="T67" s="2">
        <f t="shared" si="25"/>
        <v>0</v>
      </c>
      <c r="U67" s="2">
        <f t="shared" si="26"/>
        <v>0</v>
      </c>
      <c r="V67" s="2">
        <f t="shared" si="27"/>
        <v>1</v>
      </c>
      <c r="W67" s="2">
        <f t="shared" si="28"/>
        <v>0</v>
      </c>
      <c r="X67" s="2">
        <f t="shared" si="29"/>
        <v>0</v>
      </c>
      <c r="Y67" s="2">
        <f t="shared" si="30"/>
        <v>0</v>
      </c>
      <c r="Z67" s="2">
        <f t="shared" si="31"/>
        <v>0</v>
      </c>
      <c r="AA67" s="2">
        <f t="shared" si="32"/>
        <v>0</v>
      </c>
      <c r="AC67" s="2">
        <f t="shared" si="33"/>
        <v>0</v>
      </c>
      <c r="AD67" s="2">
        <f t="shared" si="34"/>
        <v>0</v>
      </c>
      <c r="AE67" s="2">
        <f t="shared" si="19"/>
        <v>0</v>
      </c>
      <c r="AF67" s="2">
        <f t="shared" si="20"/>
        <v>0</v>
      </c>
      <c r="AG67" s="2">
        <f t="shared" si="21"/>
        <v>0</v>
      </c>
      <c r="AH67" s="2">
        <f t="shared" si="22"/>
        <v>1</v>
      </c>
    </row>
    <row r="68" spans="1:34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897</v>
      </c>
      <c r="O68" s="36"/>
      <c r="P68" s="36"/>
      <c r="R68" s="2">
        <f t="shared" si="23"/>
        <v>0</v>
      </c>
      <c r="S68" s="2">
        <f t="shared" si="24"/>
        <v>0</v>
      </c>
      <c r="T68" s="2">
        <f t="shared" si="25"/>
        <v>0</v>
      </c>
      <c r="U68" s="2">
        <f t="shared" si="26"/>
        <v>0</v>
      </c>
      <c r="V68" s="2">
        <f t="shared" si="27"/>
        <v>0</v>
      </c>
      <c r="W68" s="2">
        <f t="shared" si="28"/>
        <v>0</v>
      </c>
      <c r="X68" s="2">
        <f t="shared" si="29"/>
        <v>0</v>
      </c>
      <c r="Y68" s="2">
        <f t="shared" si="30"/>
        <v>1</v>
      </c>
      <c r="Z68" s="2">
        <f t="shared" si="31"/>
        <v>0</v>
      </c>
      <c r="AA68" s="2">
        <f t="shared" si="32"/>
        <v>0</v>
      </c>
      <c r="AC68" s="2">
        <f t="shared" si="33"/>
        <v>0</v>
      </c>
      <c r="AD68" s="2">
        <f t="shared" si="34"/>
        <v>0</v>
      </c>
      <c r="AE68" s="2">
        <f t="shared" si="19"/>
        <v>0</v>
      </c>
      <c r="AF68" s="2">
        <f t="shared" si="20"/>
        <v>0</v>
      </c>
      <c r="AG68" s="2">
        <f t="shared" si="21"/>
        <v>0</v>
      </c>
      <c r="AH68" s="2">
        <f t="shared" si="22"/>
        <v>1</v>
      </c>
    </row>
    <row r="69" spans="1:34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897</v>
      </c>
      <c r="O69" s="36"/>
      <c r="P69" s="36"/>
      <c r="R69" s="2">
        <f t="shared" si="23"/>
        <v>0</v>
      </c>
      <c r="S69" s="2">
        <f t="shared" si="24"/>
        <v>0</v>
      </c>
      <c r="T69" s="2">
        <f t="shared" si="25"/>
        <v>0</v>
      </c>
      <c r="U69" s="2">
        <f t="shared" si="26"/>
        <v>0</v>
      </c>
      <c r="V69" s="2">
        <f t="shared" si="27"/>
        <v>0</v>
      </c>
      <c r="W69" s="2">
        <f t="shared" si="28"/>
        <v>0</v>
      </c>
      <c r="X69" s="2">
        <f t="shared" si="29"/>
        <v>0</v>
      </c>
      <c r="Y69" s="2">
        <f t="shared" si="30"/>
        <v>1</v>
      </c>
      <c r="Z69" s="2">
        <f t="shared" si="31"/>
        <v>0</v>
      </c>
      <c r="AA69" s="2">
        <f t="shared" si="32"/>
        <v>0</v>
      </c>
      <c r="AC69" s="2">
        <f t="shared" si="33"/>
        <v>0</v>
      </c>
      <c r="AD69" s="2">
        <f t="shared" si="34"/>
        <v>0</v>
      </c>
      <c r="AE69" s="2">
        <f t="shared" si="19"/>
        <v>0</v>
      </c>
      <c r="AF69" s="2">
        <f t="shared" si="20"/>
        <v>0</v>
      </c>
      <c r="AG69" s="2">
        <f t="shared" si="21"/>
        <v>0</v>
      </c>
      <c r="AH69" s="2">
        <f t="shared" si="22"/>
        <v>1</v>
      </c>
    </row>
    <row r="70" spans="1:34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R70" s="2">
        <f t="shared" si="23"/>
        <v>1</v>
      </c>
      <c r="S70" s="2">
        <f t="shared" si="24"/>
        <v>0</v>
      </c>
      <c r="T70" s="2">
        <f t="shared" si="25"/>
        <v>0</v>
      </c>
      <c r="U70" s="2">
        <f t="shared" si="26"/>
        <v>0</v>
      </c>
      <c r="V70" s="2">
        <f t="shared" si="27"/>
        <v>0</v>
      </c>
      <c r="W70" s="2">
        <f t="shared" si="28"/>
        <v>0</v>
      </c>
      <c r="X70" s="2">
        <f t="shared" si="29"/>
        <v>0</v>
      </c>
      <c r="Y70" s="2">
        <f t="shared" si="30"/>
        <v>0</v>
      </c>
      <c r="Z70" s="2">
        <f t="shared" si="31"/>
        <v>0</v>
      </c>
      <c r="AA70" s="2">
        <f t="shared" si="32"/>
        <v>0</v>
      </c>
      <c r="AC70" s="2">
        <f t="shared" si="33"/>
        <v>0</v>
      </c>
      <c r="AD70" s="2">
        <f t="shared" si="34"/>
        <v>0</v>
      </c>
      <c r="AE70" s="2">
        <f t="shared" si="19"/>
        <v>0</v>
      </c>
      <c r="AF70" s="2">
        <f t="shared" si="20"/>
        <v>0</v>
      </c>
      <c r="AG70" s="2">
        <f t="shared" si="21"/>
        <v>0</v>
      </c>
      <c r="AH70" s="2">
        <f t="shared" si="22"/>
        <v>1</v>
      </c>
    </row>
    <row r="71" spans="1:34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841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R71" s="2">
        <f t="shared" si="23"/>
        <v>0</v>
      </c>
      <c r="S71" s="2">
        <f t="shared" si="24"/>
        <v>0</v>
      </c>
      <c r="T71" s="2">
        <f t="shared" si="25"/>
        <v>1</v>
      </c>
      <c r="U71" s="2">
        <f t="shared" si="26"/>
        <v>0</v>
      </c>
      <c r="V71" s="2">
        <f t="shared" si="27"/>
        <v>0</v>
      </c>
      <c r="W71" s="2">
        <f t="shared" si="28"/>
        <v>0</v>
      </c>
      <c r="X71" s="2">
        <f t="shared" si="29"/>
        <v>0</v>
      </c>
      <c r="Y71" s="2">
        <f t="shared" si="30"/>
        <v>0</v>
      </c>
      <c r="Z71" s="2">
        <f t="shared" si="31"/>
        <v>0</v>
      </c>
      <c r="AA71" s="2">
        <f t="shared" si="32"/>
        <v>0</v>
      </c>
      <c r="AC71" s="2">
        <f t="shared" si="33"/>
        <v>0</v>
      </c>
      <c r="AD71" s="2">
        <f t="shared" si="34"/>
        <v>0</v>
      </c>
      <c r="AE71" s="2">
        <f t="shared" si="19"/>
        <v>0</v>
      </c>
      <c r="AF71" s="2">
        <f t="shared" si="20"/>
        <v>0</v>
      </c>
      <c r="AG71" s="2">
        <f t="shared" si="21"/>
        <v>0</v>
      </c>
      <c r="AH71" s="2">
        <f t="shared" si="22"/>
        <v>0</v>
      </c>
    </row>
    <row r="72" spans="1:34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1" t="s">
        <v>773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896</v>
      </c>
      <c r="O72" s="33">
        <v>1</v>
      </c>
      <c r="P72" s="33">
        <v>1</v>
      </c>
      <c r="R72" s="2">
        <f t="shared" si="23"/>
        <v>0</v>
      </c>
      <c r="S72" s="2">
        <f t="shared" si="24"/>
        <v>0</v>
      </c>
      <c r="T72" s="2">
        <f t="shared" si="25"/>
        <v>0</v>
      </c>
      <c r="U72" s="2">
        <f t="shared" si="26"/>
        <v>0</v>
      </c>
      <c r="V72" s="2">
        <f t="shared" si="27"/>
        <v>0</v>
      </c>
      <c r="W72" s="2">
        <f t="shared" si="28"/>
        <v>0</v>
      </c>
      <c r="X72" s="2">
        <f t="shared" si="29"/>
        <v>0</v>
      </c>
      <c r="Y72" s="2">
        <f t="shared" si="30"/>
        <v>0</v>
      </c>
      <c r="Z72" s="2">
        <f t="shared" si="31"/>
        <v>0</v>
      </c>
      <c r="AA72" s="2">
        <f t="shared" si="32"/>
        <v>0</v>
      </c>
      <c r="AC72" s="2">
        <f t="shared" si="33"/>
        <v>1</v>
      </c>
      <c r="AD72" s="2">
        <f t="shared" si="34"/>
        <v>0</v>
      </c>
      <c r="AE72" s="2">
        <f t="shared" si="19"/>
        <v>1</v>
      </c>
      <c r="AF72" s="2">
        <f t="shared" si="20"/>
        <v>0</v>
      </c>
      <c r="AG72" s="2">
        <f t="shared" si="21"/>
        <v>1</v>
      </c>
      <c r="AH72" s="2">
        <f t="shared" si="22"/>
        <v>0</v>
      </c>
    </row>
    <row r="73" spans="1:34" ht="14.25" customHeight="1" x14ac:dyDescent="0.25">
      <c r="A73" s="28">
        <v>0</v>
      </c>
      <c r="B73" s="28">
        <v>1</v>
      </c>
      <c r="C73" s="28">
        <v>6</v>
      </c>
      <c r="D73" s="29" t="s">
        <v>299</v>
      </c>
      <c r="E73" s="29" t="s">
        <v>258</v>
      </c>
      <c r="F73" s="29" t="s">
        <v>300</v>
      </c>
      <c r="G73" s="29" t="s">
        <v>309</v>
      </c>
      <c r="H73" s="29" t="s">
        <v>165</v>
      </c>
      <c r="I73" s="28" t="s">
        <v>301</v>
      </c>
      <c r="J73" s="28">
        <v>1</v>
      </c>
      <c r="K73" s="28" t="s">
        <v>323</v>
      </c>
      <c r="L73" s="28" t="s">
        <v>40</v>
      </c>
      <c r="M73" s="29" t="s">
        <v>40</v>
      </c>
      <c r="N73" s="29"/>
      <c r="O73" s="30"/>
      <c r="P73" s="30">
        <v>1</v>
      </c>
      <c r="R73" s="2">
        <f t="shared" si="23"/>
        <v>1</v>
      </c>
      <c r="S73" s="2">
        <f t="shared" si="24"/>
        <v>0</v>
      </c>
      <c r="T73" s="2">
        <f t="shared" si="25"/>
        <v>0</v>
      </c>
      <c r="U73" s="2">
        <f t="shared" si="26"/>
        <v>0</v>
      </c>
      <c r="V73" s="2">
        <f t="shared" si="27"/>
        <v>0</v>
      </c>
      <c r="W73" s="2">
        <f t="shared" si="28"/>
        <v>0</v>
      </c>
      <c r="X73" s="2">
        <f t="shared" si="29"/>
        <v>0</v>
      </c>
      <c r="Y73" s="2">
        <f t="shared" si="30"/>
        <v>0</v>
      </c>
      <c r="Z73" s="2">
        <f t="shared" si="31"/>
        <v>0</v>
      </c>
      <c r="AA73" s="2">
        <f t="shared" si="32"/>
        <v>0</v>
      </c>
      <c r="AC73" s="2">
        <f t="shared" si="33"/>
        <v>0</v>
      </c>
      <c r="AD73" s="2">
        <f t="shared" si="34"/>
        <v>0</v>
      </c>
      <c r="AE73" s="2">
        <f t="shared" si="19"/>
        <v>0</v>
      </c>
      <c r="AF73" s="2">
        <f t="shared" si="20"/>
        <v>0</v>
      </c>
      <c r="AG73" s="2">
        <f t="shared" si="21"/>
        <v>1</v>
      </c>
      <c r="AH73" s="2">
        <f t="shared" si="22"/>
        <v>0</v>
      </c>
    </row>
    <row r="74" spans="1:34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1" t="s">
        <v>668</v>
      </c>
      <c r="J74" s="31"/>
      <c r="K74" s="31" t="s">
        <v>332</v>
      </c>
      <c r="L74" s="31">
        <v>45</v>
      </c>
      <c r="M74" s="32" t="s">
        <v>754</v>
      </c>
      <c r="N74" s="32" t="s">
        <v>902</v>
      </c>
      <c r="O74" s="33">
        <v>1</v>
      </c>
      <c r="P74" s="33"/>
      <c r="R74" s="2">
        <f t="shared" si="23"/>
        <v>0</v>
      </c>
      <c r="S74" s="2">
        <f t="shared" si="24"/>
        <v>0</v>
      </c>
      <c r="T74" s="2">
        <f t="shared" si="25"/>
        <v>0</v>
      </c>
      <c r="U74" s="2">
        <f t="shared" si="26"/>
        <v>0</v>
      </c>
      <c r="V74" s="2">
        <f t="shared" si="27"/>
        <v>0</v>
      </c>
      <c r="W74" s="2">
        <f t="shared" si="28"/>
        <v>0</v>
      </c>
      <c r="X74" s="2">
        <f t="shared" si="29"/>
        <v>0</v>
      </c>
      <c r="Y74" s="2">
        <f t="shared" si="30"/>
        <v>0</v>
      </c>
      <c r="Z74" s="2">
        <f t="shared" si="31"/>
        <v>0</v>
      </c>
      <c r="AA74" s="2">
        <f t="shared" si="32"/>
        <v>0</v>
      </c>
      <c r="AC74" s="2">
        <f t="shared" si="33"/>
        <v>0</v>
      </c>
      <c r="AD74" s="2">
        <f t="shared" si="34"/>
        <v>1</v>
      </c>
      <c r="AE74" s="2">
        <f t="shared" si="19"/>
        <v>0</v>
      </c>
      <c r="AF74" s="2">
        <f t="shared" si="20"/>
        <v>1</v>
      </c>
      <c r="AG74" s="2">
        <f t="shared" si="21"/>
        <v>0</v>
      </c>
      <c r="AH74" s="2">
        <f t="shared" si="22"/>
        <v>1</v>
      </c>
    </row>
    <row r="75" spans="1:34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754</v>
      </c>
      <c r="N75" s="32" t="s">
        <v>902</v>
      </c>
      <c r="O75" s="33">
        <v>1</v>
      </c>
      <c r="P75" s="33"/>
      <c r="R75" s="2">
        <f t="shared" si="23"/>
        <v>0</v>
      </c>
      <c r="S75" s="2">
        <f t="shared" si="24"/>
        <v>0</v>
      </c>
      <c r="T75" s="2">
        <f t="shared" si="25"/>
        <v>0</v>
      </c>
      <c r="U75" s="2">
        <f t="shared" si="26"/>
        <v>0</v>
      </c>
      <c r="V75" s="2">
        <f t="shared" si="27"/>
        <v>0</v>
      </c>
      <c r="W75" s="2">
        <f t="shared" si="28"/>
        <v>1</v>
      </c>
      <c r="X75" s="2">
        <f t="shared" si="29"/>
        <v>0</v>
      </c>
      <c r="Y75" s="2">
        <f t="shared" si="30"/>
        <v>0</v>
      </c>
      <c r="Z75" s="2">
        <f t="shared" si="31"/>
        <v>0</v>
      </c>
      <c r="AA75" s="2">
        <f t="shared" si="32"/>
        <v>0</v>
      </c>
      <c r="AC75" s="2">
        <f t="shared" si="33"/>
        <v>0</v>
      </c>
      <c r="AD75" s="2">
        <f t="shared" si="34"/>
        <v>1</v>
      </c>
      <c r="AE75" s="2">
        <f t="shared" si="19"/>
        <v>0</v>
      </c>
      <c r="AF75" s="2">
        <f t="shared" si="20"/>
        <v>0</v>
      </c>
      <c r="AG75" s="2">
        <f t="shared" si="21"/>
        <v>0</v>
      </c>
      <c r="AH75" s="2">
        <f t="shared" si="22"/>
        <v>0</v>
      </c>
    </row>
    <row r="76" spans="1:34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1" t="s">
        <v>721</v>
      </c>
      <c r="J76" s="31"/>
      <c r="K76" s="31" t="s">
        <v>329</v>
      </c>
      <c r="L76" s="31">
        <v>35</v>
      </c>
      <c r="M76" s="32" t="s">
        <v>885</v>
      </c>
      <c r="N76" s="32" t="s">
        <v>902</v>
      </c>
      <c r="O76" s="33">
        <v>1</v>
      </c>
      <c r="P76" s="33"/>
      <c r="R76" s="2">
        <f t="shared" si="23"/>
        <v>0</v>
      </c>
      <c r="S76" s="2">
        <f t="shared" si="24"/>
        <v>0</v>
      </c>
      <c r="T76" s="2">
        <f t="shared" si="25"/>
        <v>0</v>
      </c>
      <c r="U76" s="2">
        <f t="shared" si="26"/>
        <v>0</v>
      </c>
      <c r="V76" s="2">
        <f t="shared" si="27"/>
        <v>0</v>
      </c>
      <c r="W76" s="2">
        <f t="shared" si="28"/>
        <v>0</v>
      </c>
      <c r="X76" s="2">
        <f t="shared" si="29"/>
        <v>0</v>
      </c>
      <c r="Y76" s="2">
        <f t="shared" si="30"/>
        <v>0</v>
      </c>
      <c r="Z76" s="2">
        <f t="shared" si="31"/>
        <v>0</v>
      </c>
      <c r="AA76" s="2">
        <f t="shared" si="32"/>
        <v>0</v>
      </c>
      <c r="AC76" s="2">
        <f t="shared" si="33"/>
        <v>0</v>
      </c>
      <c r="AD76" s="2">
        <f t="shared" si="34"/>
        <v>1</v>
      </c>
      <c r="AE76" s="2">
        <f t="shared" si="19"/>
        <v>0</v>
      </c>
      <c r="AF76" s="2">
        <f t="shared" si="20"/>
        <v>1</v>
      </c>
      <c r="AG76" s="2">
        <f t="shared" si="21"/>
        <v>0</v>
      </c>
      <c r="AH76" s="2">
        <f t="shared" si="22"/>
        <v>1</v>
      </c>
    </row>
    <row r="77" spans="1:34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937</v>
      </c>
      <c r="N77" s="32" t="s">
        <v>902</v>
      </c>
      <c r="O77" s="33">
        <v>1</v>
      </c>
      <c r="P77" s="33"/>
      <c r="R77" s="2">
        <f t="shared" si="23"/>
        <v>0</v>
      </c>
      <c r="S77" s="2">
        <f t="shared" si="24"/>
        <v>0</v>
      </c>
      <c r="T77" s="2">
        <f t="shared" si="25"/>
        <v>0</v>
      </c>
      <c r="U77" s="2">
        <f t="shared" si="26"/>
        <v>0</v>
      </c>
      <c r="V77" s="2">
        <f t="shared" si="27"/>
        <v>0</v>
      </c>
      <c r="W77" s="2">
        <f t="shared" si="28"/>
        <v>0</v>
      </c>
      <c r="X77" s="2">
        <f t="shared" si="29"/>
        <v>0</v>
      </c>
      <c r="Y77" s="2">
        <f t="shared" si="30"/>
        <v>0</v>
      </c>
      <c r="Z77" s="2">
        <f t="shared" si="31"/>
        <v>0</v>
      </c>
      <c r="AA77" s="2">
        <f t="shared" si="32"/>
        <v>1</v>
      </c>
      <c r="AC77" s="2">
        <f t="shared" si="33"/>
        <v>0</v>
      </c>
      <c r="AD77" s="2">
        <f t="shared" si="34"/>
        <v>1</v>
      </c>
      <c r="AE77" s="2">
        <f t="shared" ref="AE77:AE140" si="35">+O77*P77*(1-A77)</f>
        <v>0</v>
      </c>
      <c r="AF77" s="2">
        <f t="shared" ref="AF77:AF140" si="36">O77*(1-P77)*(1-A77)</f>
        <v>1</v>
      </c>
      <c r="AG77" s="2">
        <f t="shared" ref="AG77:AG140" si="37">+P77*(1-A77)</f>
        <v>0</v>
      </c>
      <c r="AH77" s="2">
        <f t="shared" ref="AH77:AH140" si="38">+(1-A77)*(1-P77)</f>
        <v>1</v>
      </c>
    </row>
    <row r="78" spans="1:34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896</v>
      </c>
      <c r="O78" s="33">
        <v>1</v>
      </c>
      <c r="P78" s="33">
        <v>1</v>
      </c>
      <c r="R78" s="2">
        <f t="shared" si="23"/>
        <v>0</v>
      </c>
      <c r="S78" s="2">
        <f t="shared" si="24"/>
        <v>0</v>
      </c>
      <c r="T78" s="2">
        <f t="shared" si="25"/>
        <v>0</v>
      </c>
      <c r="U78" s="2">
        <f t="shared" si="26"/>
        <v>0</v>
      </c>
      <c r="V78" s="2">
        <f t="shared" si="27"/>
        <v>0</v>
      </c>
      <c r="W78" s="2">
        <f t="shared" si="28"/>
        <v>0</v>
      </c>
      <c r="X78" s="2">
        <f t="shared" si="29"/>
        <v>0</v>
      </c>
      <c r="Y78" s="2">
        <f t="shared" si="30"/>
        <v>0</v>
      </c>
      <c r="Z78" s="2">
        <f t="shared" si="31"/>
        <v>1</v>
      </c>
      <c r="AA78" s="2">
        <f t="shared" si="32"/>
        <v>0</v>
      </c>
      <c r="AC78" s="2">
        <f t="shared" si="33"/>
        <v>1</v>
      </c>
      <c r="AD78" s="2">
        <f t="shared" si="34"/>
        <v>0</v>
      </c>
      <c r="AE78" s="2">
        <f t="shared" si="35"/>
        <v>1</v>
      </c>
      <c r="AF78" s="2">
        <f t="shared" si="36"/>
        <v>0</v>
      </c>
      <c r="AG78" s="2">
        <f t="shared" si="37"/>
        <v>1</v>
      </c>
      <c r="AH78" s="2">
        <f t="shared" si="38"/>
        <v>0</v>
      </c>
    </row>
    <row r="79" spans="1:34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487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932</v>
      </c>
      <c r="O79" s="36"/>
      <c r="P79" s="36"/>
      <c r="R79" s="2">
        <f t="shared" si="23"/>
        <v>0</v>
      </c>
      <c r="S79" s="2">
        <f t="shared" si="24"/>
        <v>1</v>
      </c>
      <c r="T79" s="2">
        <f t="shared" si="25"/>
        <v>0</v>
      </c>
      <c r="U79" s="2">
        <f t="shared" si="26"/>
        <v>0</v>
      </c>
      <c r="V79" s="2">
        <f t="shared" si="27"/>
        <v>0</v>
      </c>
      <c r="W79" s="2">
        <f t="shared" si="28"/>
        <v>0</v>
      </c>
      <c r="X79" s="2">
        <f t="shared" si="29"/>
        <v>0</v>
      </c>
      <c r="Y79" s="2">
        <f t="shared" si="30"/>
        <v>0</v>
      </c>
      <c r="Z79" s="2">
        <f t="shared" si="31"/>
        <v>0</v>
      </c>
      <c r="AA79" s="2">
        <f t="shared" si="32"/>
        <v>0</v>
      </c>
      <c r="AC79" s="2">
        <f t="shared" si="33"/>
        <v>0</v>
      </c>
      <c r="AD79" s="2">
        <f t="shared" si="34"/>
        <v>0</v>
      </c>
      <c r="AE79" s="2">
        <f t="shared" si="35"/>
        <v>0</v>
      </c>
      <c r="AF79" s="2">
        <f t="shared" si="36"/>
        <v>0</v>
      </c>
      <c r="AG79" s="2">
        <f t="shared" si="37"/>
        <v>0</v>
      </c>
      <c r="AH79" s="2">
        <f t="shared" si="38"/>
        <v>1</v>
      </c>
    </row>
    <row r="80" spans="1:34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R80" s="2">
        <f t="shared" si="23"/>
        <v>0</v>
      </c>
      <c r="S80" s="2">
        <f t="shared" si="24"/>
        <v>0</v>
      </c>
      <c r="T80" s="2">
        <f t="shared" si="25"/>
        <v>0</v>
      </c>
      <c r="U80" s="2">
        <f t="shared" si="26"/>
        <v>0</v>
      </c>
      <c r="V80" s="2">
        <f t="shared" si="27"/>
        <v>0</v>
      </c>
      <c r="W80" s="2">
        <f t="shared" si="28"/>
        <v>0</v>
      </c>
      <c r="X80" s="2">
        <f t="shared" si="29"/>
        <v>0</v>
      </c>
      <c r="Y80" s="2">
        <f t="shared" si="30"/>
        <v>0</v>
      </c>
      <c r="Z80" s="2">
        <f t="shared" si="31"/>
        <v>0</v>
      </c>
      <c r="AA80" s="2">
        <f t="shared" si="32"/>
        <v>0</v>
      </c>
      <c r="AC80" s="2">
        <f t="shared" si="33"/>
        <v>0</v>
      </c>
      <c r="AD80" s="2">
        <f t="shared" si="34"/>
        <v>0</v>
      </c>
      <c r="AE80" s="2">
        <f t="shared" si="35"/>
        <v>0</v>
      </c>
      <c r="AF80" s="2">
        <f t="shared" si="36"/>
        <v>0</v>
      </c>
      <c r="AG80" s="2">
        <f t="shared" si="37"/>
        <v>1</v>
      </c>
      <c r="AH80" s="2">
        <f t="shared" si="38"/>
        <v>0</v>
      </c>
    </row>
    <row r="81" spans="1:34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844</v>
      </c>
      <c r="J81" s="31">
        <v>3</v>
      </c>
      <c r="K81" s="31" t="s">
        <v>330</v>
      </c>
      <c r="L81" s="31" t="s">
        <v>346</v>
      </c>
      <c r="M81" s="32" t="s">
        <v>767</v>
      </c>
      <c r="N81" s="32" t="s">
        <v>904</v>
      </c>
      <c r="O81" s="33">
        <v>1</v>
      </c>
      <c r="P81" s="33"/>
      <c r="R81" s="2">
        <f t="shared" ref="R81:R144" si="39">IF(J81=$R$7,1,0)</f>
        <v>0</v>
      </c>
      <c r="S81" s="2">
        <f t="shared" ref="S81:S144" si="40">IF(J81=$S$7,1,0)</f>
        <v>0</v>
      </c>
      <c r="T81" s="2">
        <f t="shared" ref="T81:T144" si="41">IF(J81=$T$7,1,0)</f>
        <v>1</v>
      </c>
      <c r="U81" s="2">
        <f t="shared" ref="U81:U144" si="42">IF(J81=$U$7,1,0)</f>
        <v>0</v>
      </c>
      <c r="V81" s="2">
        <f t="shared" ref="V81:V144" si="43">IF(J81=$V$7,1,0)</f>
        <v>0</v>
      </c>
      <c r="W81" s="2">
        <f t="shared" ref="W81:W144" si="44">IF(J81=$W$7,1,0)</f>
        <v>0</v>
      </c>
      <c r="X81" s="2">
        <f t="shared" ref="X81:X144" si="45">IF(J81=$X$7,1,0)</f>
        <v>0</v>
      </c>
      <c r="Y81" s="2">
        <f t="shared" ref="Y81:Y144" si="46">IF(J81=$Y$7,1,0)</f>
        <v>0</v>
      </c>
      <c r="Z81" s="2">
        <f t="shared" ref="Z81:Z144" si="47">IF(J81=$Z$7,1,0)</f>
        <v>0</v>
      </c>
      <c r="AA81" s="2">
        <f t="shared" ref="AA81:AA144" si="48">IF(J81=$AA$7,1,0)</f>
        <v>0</v>
      </c>
      <c r="AC81" s="2">
        <f t="shared" ref="AC81:AC144" si="49">+O81*P81</f>
        <v>0</v>
      </c>
      <c r="AD81" s="2">
        <f t="shared" ref="AD81:AD144" si="50">O81*(1-P81)</f>
        <v>1</v>
      </c>
      <c r="AE81" s="2">
        <f t="shared" si="35"/>
        <v>0</v>
      </c>
      <c r="AF81" s="2">
        <f t="shared" si="36"/>
        <v>1</v>
      </c>
      <c r="AG81" s="2">
        <f t="shared" si="37"/>
        <v>0</v>
      </c>
      <c r="AH81" s="2">
        <f t="shared" si="38"/>
        <v>1</v>
      </c>
    </row>
    <row r="82" spans="1:34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857</v>
      </c>
      <c r="M82" s="35" t="s">
        <v>700</v>
      </c>
      <c r="N82" s="35" t="s">
        <v>903</v>
      </c>
      <c r="O82" s="36"/>
      <c r="P82" s="36"/>
      <c r="R82" s="2">
        <f t="shared" si="39"/>
        <v>0</v>
      </c>
      <c r="S82" s="2">
        <f t="shared" si="40"/>
        <v>0</v>
      </c>
      <c r="T82" s="2">
        <f t="shared" si="41"/>
        <v>0</v>
      </c>
      <c r="U82" s="2">
        <f t="shared" si="42"/>
        <v>0</v>
      </c>
      <c r="V82" s="2">
        <f t="shared" si="43"/>
        <v>0</v>
      </c>
      <c r="W82" s="2">
        <f t="shared" si="44"/>
        <v>0</v>
      </c>
      <c r="X82" s="2">
        <f t="shared" si="45"/>
        <v>0</v>
      </c>
      <c r="Y82" s="2">
        <f t="shared" si="46"/>
        <v>0</v>
      </c>
      <c r="Z82" s="2">
        <f t="shared" si="47"/>
        <v>0</v>
      </c>
      <c r="AA82" s="2">
        <f t="shared" si="48"/>
        <v>0</v>
      </c>
      <c r="AC82" s="2">
        <f t="shared" si="49"/>
        <v>0</v>
      </c>
      <c r="AD82" s="2">
        <f t="shared" si="50"/>
        <v>0</v>
      </c>
      <c r="AE82" s="2">
        <f t="shared" si="35"/>
        <v>0</v>
      </c>
      <c r="AF82" s="2">
        <f t="shared" si="36"/>
        <v>0</v>
      </c>
      <c r="AG82" s="2">
        <f t="shared" si="37"/>
        <v>0</v>
      </c>
      <c r="AH82" s="2">
        <f t="shared" si="38"/>
        <v>1</v>
      </c>
    </row>
    <row r="83" spans="1:34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751</v>
      </c>
      <c r="N83" s="32" t="s">
        <v>902</v>
      </c>
      <c r="O83" s="33">
        <v>1</v>
      </c>
      <c r="P83" s="33"/>
      <c r="R83" s="2">
        <f t="shared" si="39"/>
        <v>0</v>
      </c>
      <c r="S83" s="2">
        <f t="shared" si="40"/>
        <v>0</v>
      </c>
      <c r="T83" s="2">
        <f t="shared" si="41"/>
        <v>0</v>
      </c>
      <c r="U83" s="2">
        <f t="shared" si="42"/>
        <v>0</v>
      </c>
      <c r="V83" s="2">
        <f t="shared" si="43"/>
        <v>0</v>
      </c>
      <c r="W83" s="2">
        <f t="shared" si="44"/>
        <v>0</v>
      </c>
      <c r="X83" s="2">
        <f t="shared" si="45"/>
        <v>0</v>
      </c>
      <c r="Y83" s="2">
        <f t="shared" si="46"/>
        <v>0</v>
      </c>
      <c r="Z83" s="2">
        <f t="shared" si="47"/>
        <v>0</v>
      </c>
      <c r="AA83" s="2">
        <f t="shared" si="48"/>
        <v>0</v>
      </c>
      <c r="AC83" s="2">
        <f t="shared" si="49"/>
        <v>0</v>
      </c>
      <c r="AD83" s="2">
        <f t="shared" si="50"/>
        <v>1</v>
      </c>
      <c r="AE83" s="2">
        <f t="shared" si="35"/>
        <v>0</v>
      </c>
      <c r="AF83" s="2">
        <f t="shared" si="36"/>
        <v>1</v>
      </c>
      <c r="AG83" s="2">
        <f t="shared" si="37"/>
        <v>0</v>
      </c>
      <c r="AH83" s="2">
        <f t="shared" si="38"/>
        <v>1</v>
      </c>
    </row>
    <row r="84" spans="1:34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R84" s="2">
        <f t="shared" si="39"/>
        <v>0</v>
      </c>
      <c r="S84" s="2">
        <f t="shared" si="40"/>
        <v>0</v>
      </c>
      <c r="T84" s="2">
        <f t="shared" si="41"/>
        <v>0</v>
      </c>
      <c r="U84" s="2">
        <f t="shared" si="42"/>
        <v>0</v>
      </c>
      <c r="V84" s="2">
        <f t="shared" si="43"/>
        <v>0</v>
      </c>
      <c r="W84" s="2">
        <f t="shared" si="44"/>
        <v>0</v>
      </c>
      <c r="X84" s="2">
        <f t="shared" si="45"/>
        <v>0</v>
      </c>
      <c r="Y84" s="2">
        <f t="shared" si="46"/>
        <v>0</v>
      </c>
      <c r="Z84" s="2">
        <f t="shared" si="47"/>
        <v>0</v>
      </c>
      <c r="AA84" s="2">
        <f t="shared" si="48"/>
        <v>0</v>
      </c>
      <c r="AC84" s="2">
        <f t="shared" si="49"/>
        <v>0</v>
      </c>
      <c r="AD84" s="2">
        <f t="shared" si="50"/>
        <v>0</v>
      </c>
      <c r="AE84" s="2">
        <f t="shared" si="35"/>
        <v>0</v>
      </c>
      <c r="AF84" s="2">
        <f t="shared" si="36"/>
        <v>0</v>
      </c>
      <c r="AG84" s="2">
        <f t="shared" si="37"/>
        <v>0</v>
      </c>
      <c r="AH84" s="2">
        <f t="shared" si="38"/>
        <v>1</v>
      </c>
    </row>
    <row r="85" spans="1:34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R85" s="2">
        <f t="shared" si="39"/>
        <v>0</v>
      </c>
      <c r="S85" s="2">
        <f t="shared" si="40"/>
        <v>0</v>
      </c>
      <c r="T85" s="2">
        <f t="shared" si="41"/>
        <v>0</v>
      </c>
      <c r="U85" s="2">
        <f t="shared" si="42"/>
        <v>0</v>
      </c>
      <c r="V85" s="2">
        <f t="shared" si="43"/>
        <v>0</v>
      </c>
      <c r="W85" s="2">
        <f t="shared" si="44"/>
        <v>0</v>
      </c>
      <c r="X85" s="2">
        <f t="shared" si="45"/>
        <v>0</v>
      </c>
      <c r="Y85" s="2">
        <f t="shared" si="46"/>
        <v>0</v>
      </c>
      <c r="Z85" s="2">
        <f t="shared" si="47"/>
        <v>0</v>
      </c>
      <c r="AA85" s="2">
        <f t="shared" si="48"/>
        <v>0</v>
      </c>
      <c r="AC85" s="2">
        <f t="shared" si="49"/>
        <v>0</v>
      </c>
      <c r="AD85" s="2">
        <f t="shared" si="50"/>
        <v>0</v>
      </c>
      <c r="AE85" s="2">
        <f t="shared" si="35"/>
        <v>0</v>
      </c>
      <c r="AF85" s="2">
        <f t="shared" si="36"/>
        <v>0</v>
      </c>
      <c r="AG85" s="2">
        <f t="shared" si="37"/>
        <v>1</v>
      </c>
      <c r="AH85" s="2">
        <f t="shared" si="38"/>
        <v>0</v>
      </c>
    </row>
    <row r="86" spans="1:34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R86" s="2">
        <f t="shared" si="39"/>
        <v>0</v>
      </c>
      <c r="S86" s="2">
        <f t="shared" si="40"/>
        <v>0</v>
      </c>
      <c r="T86" s="2">
        <f t="shared" si="41"/>
        <v>0</v>
      </c>
      <c r="U86" s="2">
        <f t="shared" si="42"/>
        <v>0</v>
      </c>
      <c r="V86" s="2">
        <f t="shared" si="43"/>
        <v>0</v>
      </c>
      <c r="W86" s="2">
        <f t="shared" si="44"/>
        <v>0</v>
      </c>
      <c r="X86" s="2">
        <f t="shared" si="45"/>
        <v>0</v>
      </c>
      <c r="Y86" s="2">
        <f t="shared" si="46"/>
        <v>0</v>
      </c>
      <c r="Z86" s="2">
        <f t="shared" si="47"/>
        <v>0</v>
      </c>
      <c r="AA86" s="2">
        <f t="shared" si="48"/>
        <v>0</v>
      </c>
      <c r="AC86" s="2">
        <f t="shared" si="49"/>
        <v>0</v>
      </c>
      <c r="AD86" s="2">
        <f t="shared" si="50"/>
        <v>0</v>
      </c>
      <c r="AE86" s="2">
        <f t="shared" si="35"/>
        <v>0</v>
      </c>
      <c r="AF86" s="2">
        <f t="shared" si="36"/>
        <v>0</v>
      </c>
      <c r="AG86" s="2">
        <f t="shared" si="37"/>
        <v>0</v>
      </c>
      <c r="AH86" s="2">
        <f t="shared" si="38"/>
        <v>1</v>
      </c>
    </row>
    <row r="87" spans="1:34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832</v>
      </c>
      <c r="G87" s="35" t="s">
        <v>542</v>
      </c>
      <c r="H87" s="35" t="s">
        <v>165</v>
      </c>
      <c r="I87" s="34" t="s">
        <v>543</v>
      </c>
      <c r="J87" s="34">
        <v>99</v>
      </c>
      <c r="K87" s="34" t="s">
        <v>330</v>
      </c>
      <c r="L87" s="34" t="s">
        <v>334</v>
      </c>
      <c r="M87" s="35" t="s">
        <v>745</v>
      </c>
      <c r="N87" s="35" t="s">
        <v>903</v>
      </c>
      <c r="O87" s="36"/>
      <c r="P87" s="36"/>
      <c r="R87" s="2">
        <f t="shared" si="39"/>
        <v>0</v>
      </c>
      <c r="S87" s="2">
        <f t="shared" si="40"/>
        <v>0</v>
      </c>
      <c r="T87" s="2">
        <f t="shared" si="41"/>
        <v>0</v>
      </c>
      <c r="U87" s="2">
        <f t="shared" si="42"/>
        <v>0</v>
      </c>
      <c r="V87" s="2">
        <f t="shared" si="43"/>
        <v>0</v>
      </c>
      <c r="W87" s="2">
        <f t="shared" si="44"/>
        <v>0</v>
      </c>
      <c r="X87" s="2">
        <f t="shared" si="45"/>
        <v>0</v>
      </c>
      <c r="Y87" s="2">
        <f t="shared" si="46"/>
        <v>0</v>
      </c>
      <c r="Z87" s="2">
        <f t="shared" si="47"/>
        <v>0</v>
      </c>
      <c r="AA87" s="2">
        <f t="shared" si="48"/>
        <v>0</v>
      </c>
      <c r="AC87" s="2">
        <f t="shared" si="49"/>
        <v>0</v>
      </c>
      <c r="AD87" s="2">
        <f t="shared" si="50"/>
        <v>0</v>
      </c>
      <c r="AE87" s="2">
        <f t="shared" si="35"/>
        <v>0</v>
      </c>
      <c r="AF87" s="2">
        <f t="shared" si="36"/>
        <v>0</v>
      </c>
      <c r="AG87" s="2">
        <f t="shared" si="37"/>
        <v>0</v>
      </c>
      <c r="AH87" s="2">
        <f t="shared" si="38"/>
        <v>1</v>
      </c>
    </row>
    <row r="88" spans="1:34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784</v>
      </c>
      <c r="N88" s="32" t="s">
        <v>910</v>
      </c>
      <c r="O88" s="33">
        <v>1</v>
      </c>
      <c r="P88" s="33"/>
      <c r="R88" s="2">
        <f t="shared" si="39"/>
        <v>1</v>
      </c>
      <c r="S88" s="2">
        <f t="shared" si="40"/>
        <v>0</v>
      </c>
      <c r="T88" s="2">
        <f t="shared" si="41"/>
        <v>0</v>
      </c>
      <c r="U88" s="2">
        <f t="shared" si="42"/>
        <v>0</v>
      </c>
      <c r="V88" s="2">
        <f t="shared" si="43"/>
        <v>0</v>
      </c>
      <c r="W88" s="2">
        <f t="shared" si="44"/>
        <v>0</v>
      </c>
      <c r="X88" s="2">
        <f t="shared" si="45"/>
        <v>0</v>
      </c>
      <c r="Y88" s="2">
        <f t="shared" si="46"/>
        <v>0</v>
      </c>
      <c r="Z88" s="2">
        <f t="shared" si="47"/>
        <v>0</v>
      </c>
      <c r="AA88" s="2">
        <f t="shared" si="48"/>
        <v>0</v>
      </c>
      <c r="AC88" s="2">
        <f t="shared" si="49"/>
        <v>0</v>
      </c>
      <c r="AD88" s="2">
        <f t="shared" si="50"/>
        <v>1</v>
      </c>
      <c r="AE88" s="2">
        <f t="shared" si="35"/>
        <v>0</v>
      </c>
      <c r="AF88" s="2">
        <f t="shared" si="36"/>
        <v>1</v>
      </c>
      <c r="AG88" s="2">
        <f t="shared" si="37"/>
        <v>0</v>
      </c>
      <c r="AH88" s="2">
        <f t="shared" si="38"/>
        <v>1</v>
      </c>
    </row>
    <row r="89" spans="1:34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R89" s="2">
        <f t="shared" si="39"/>
        <v>0</v>
      </c>
      <c r="S89" s="2">
        <f t="shared" si="40"/>
        <v>1</v>
      </c>
      <c r="T89" s="2">
        <f t="shared" si="41"/>
        <v>0</v>
      </c>
      <c r="U89" s="2">
        <f t="shared" si="42"/>
        <v>0</v>
      </c>
      <c r="V89" s="2">
        <f t="shared" si="43"/>
        <v>0</v>
      </c>
      <c r="W89" s="2">
        <f t="shared" si="44"/>
        <v>0</v>
      </c>
      <c r="X89" s="2">
        <f t="shared" si="45"/>
        <v>0</v>
      </c>
      <c r="Y89" s="2">
        <f t="shared" si="46"/>
        <v>0</v>
      </c>
      <c r="Z89" s="2">
        <f t="shared" si="47"/>
        <v>0</v>
      </c>
      <c r="AA89" s="2">
        <f t="shared" si="48"/>
        <v>0</v>
      </c>
      <c r="AC89" s="2">
        <f t="shared" si="49"/>
        <v>0</v>
      </c>
      <c r="AD89" s="2">
        <f t="shared" si="50"/>
        <v>0</v>
      </c>
      <c r="AE89" s="2">
        <f t="shared" si="35"/>
        <v>0</v>
      </c>
      <c r="AF89" s="2">
        <f t="shared" si="36"/>
        <v>0</v>
      </c>
      <c r="AG89" s="2">
        <f t="shared" si="37"/>
        <v>0</v>
      </c>
      <c r="AH89" s="2">
        <f t="shared" si="38"/>
        <v>1</v>
      </c>
    </row>
    <row r="90" spans="1:34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915</v>
      </c>
      <c r="O90" s="33">
        <v>1</v>
      </c>
      <c r="P90" s="33"/>
      <c r="R90" s="2">
        <f t="shared" si="39"/>
        <v>0</v>
      </c>
      <c r="S90" s="2">
        <f t="shared" si="40"/>
        <v>0</v>
      </c>
      <c r="T90" s="2">
        <f t="shared" si="41"/>
        <v>0</v>
      </c>
      <c r="U90" s="2">
        <f t="shared" si="42"/>
        <v>0</v>
      </c>
      <c r="V90" s="2">
        <f t="shared" si="43"/>
        <v>0</v>
      </c>
      <c r="W90" s="2">
        <f t="shared" si="44"/>
        <v>1</v>
      </c>
      <c r="X90" s="2">
        <f t="shared" si="45"/>
        <v>0</v>
      </c>
      <c r="Y90" s="2">
        <f t="shared" si="46"/>
        <v>0</v>
      </c>
      <c r="Z90" s="2">
        <f t="shared" si="47"/>
        <v>0</v>
      </c>
      <c r="AA90" s="2">
        <f t="shared" si="48"/>
        <v>0</v>
      </c>
      <c r="AC90" s="2">
        <f t="shared" si="49"/>
        <v>0</v>
      </c>
      <c r="AD90" s="2">
        <f t="shared" si="50"/>
        <v>1</v>
      </c>
      <c r="AE90" s="2">
        <f t="shared" si="35"/>
        <v>0</v>
      </c>
      <c r="AF90" s="2">
        <f t="shared" si="36"/>
        <v>1</v>
      </c>
      <c r="AG90" s="2">
        <f t="shared" si="37"/>
        <v>0</v>
      </c>
      <c r="AH90" s="2">
        <f t="shared" si="38"/>
        <v>1</v>
      </c>
    </row>
    <row r="91" spans="1:34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915</v>
      </c>
      <c r="O91" s="33">
        <v>1</v>
      </c>
      <c r="P91" s="33"/>
      <c r="R91" s="2">
        <f t="shared" si="39"/>
        <v>0</v>
      </c>
      <c r="S91" s="2">
        <f t="shared" si="40"/>
        <v>0</v>
      </c>
      <c r="T91" s="2">
        <f t="shared" si="41"/>
        <v>0</v>
      </c>
      <c r="U91" s="2">
        <f t="shared" si="42"/>
        <v>0</v>
      </c>
      <c r="V91" s="2">
        <f t="shared" si="43"/>
        <v>0</v>
      </c>
      <c r="W91" s="2">
        <f t="shared" si="44"/>
        <v>0</v>
      </c>
      <c r="X91" s="2">
        <f t="shared" si="45"/>
        <v>0</v>
      </c>
      <c r="Y91" s="2">
        <f t="shared" si="46"/>
        <v>0</v>
      </c>
      <c r="Z91" s="2">
        <f t="shared" si="47"/>
        <v>0</v>
      </c>
      <c r="AA91" s="2">
        <f t="shared" si="48"/>
        <v>1</v>
      </c>
      <c r="AC91" s="2">
        <f t="shared" si="49"/>
        <v>0</v>
      </c>
      <c r="AD91" s="2">
        <f t="shared" si="50"/>
        <v>1</v>
      </c>
      <c r="AE91" s="2">
        <f t="shared" si="35"/>
        <v>0</v>
      </c>
      <c r="AF91" s="2">
        <f t="shared" si="36"/>
        <v>0</v>
      </c>
      <c r="AG91" s="2">
        <f t="shared" si="37"/>
        <v>0</v>
      </c>
      <c r="AH91" s="2">
        <f t="shared" si="38"/>
        <v>0</v>
      </c>
    </row>
    <row r="92" spans="1:34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915</v>
      </c>
      <c r="O92" s="33">
        <v>1</v>
      </c>
      <c r="P92" s="33"/>
      <c r="R92" s="2">
        <f t="shared" si="39"/>
        <v>0</v>
      </c>
      <c r="S92" s="2">
        <f t="shared" si="40"/>
        <v>0</v>
      </c>
      <c r="T92" s="2">
        <f t="shared" si="41"/>
        <v>0</v>
      </c>
      <c r="U92" s="2">
        <f t="shared" si="42"/>
        <v>0</v>
      </c>
      <c r="V92" s="2">
        <f t="shared" si="43"/>
        <v>0</v>
      </c>
      <c r="W92" s="2">
        <f t="shared" si="44"/>
        <v>1</v>
      </c>
      <c r="X92" s="2">
        <f t="shared" si="45"/>
        <v>0</v>
      </c>
      <c r="Y92" s="2">
        <f t="shared" si="46"/>
        <v>0</v>
      </c>
      <c r="Z92" s="2">
        <f t="shared" si="47"/>
        <v>0</v>
      </c>
      <c r="AA92" s="2">
        <f t="shared" si="48"/>
        <v>0</v>
      </c>
      <c r="AC92" s="2">
        <f t="shared" si="49"/>
        <v>0</v>
      </c>
      <c r="AD92" s="2">
        <f t="shared" si="50"/>
        <v>1</v>
      </c>
      <c r="AE92" s="2">
        <f t="shared" si="35"/>
        <v>0</v>
      </c>
      <c r="AF92" s="2">
        <f t="shared" si="36"/>
        <v>0</v>
      </c>
      <c r="AG92" s="2">
        <f t="shared" si="37"/>
        <v>0</v>
      </c>
      <c r="AH92" s="2">
        <f t="shared" si="38"/>
        <v>0</v>
      </c>
    </row>
    <row r="93" spans="1:34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1" t="s">
        <v>672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915</v>
      </c>
      <c r="O93" s="33">
        <v>1</v>
      </c>
      <c r="P93" s="33"/>
      <c r="R93" s="2">
        <f t="shared" si="39"/>
        <v>0</v>
      </c>
      <c r="S93" s="2">
        <f t="shared" si="40"/>
        <v>0</v>
      </c>
      <c r="T93" s="2">
        <f t="shared" si="41"/>
        <v>0</v>
      </c>
      <c r="U93" s="2">
        <f t="shared" si="42"/>
        <v>0</v>
      </c>
      <c r="V93" s="2">
        <f t="shared" si="43"/>
        <v>0</v>
      </c>
      <c r="W93" s="2">
        <f t="shared" si="44"/>
        <v>0</v>
      </c>
      <c r="X93" s="2">
        <f t="shared" si="45"/>
        <v>0</v>
      </c>
      <c r="Y93" s="2">
        <f t="shared" si="46"/>
        <v>0</v>
      </c>
      <c r="Z93" s="2">
        <f t="shared" si="47"/>
        <v>0</v>
      </c>
      <c r="AA93" s="2">
        <f t="shared" si="48"/>
        <v>0</v>
      </c>
      <c r="AC93" s="2">
        <f t="shared" si="49"/>
        <v>0</v>
      </c>
      <c r="AD93" s="2">
        <f t="shared" si="50"/>
        <v>1</v>
      </c>
      <c r="AE93" s="2">
        <f t="shared" si="35"/>
        <v>0</v>
      </c>
      <c r="AF93" s="2">
        <f t="shared" si="36"/>
        <v>0</v>
      </c>
      <c r="AG93" s="2">
        <f t="shared" si="37"/>
        <v>0</v>
      </c>
      <c r="AH93" s="2">
        <f t="shared" si="38"/>
        <v>0</v>
      </c>
    </row>
    <row r="94" spans="1:34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915</v>
      </c>
      <c r="O94" s="33">
        <v>1</v>
      </c>
      <c r="P94" s="33"/>
      <c r="R94" s="2">
        <f t="shared" si="39"/>
        <v>0</v>
      </c>
      <c r="S94" s="2">
        <f t="shared" si="40"/>
        <v>0</v>
      </c>
      <c r="T94" s="2">
        <f t="shared" si="41"/>
        <v>0</v>
      </c>
      <c r="U94" s="2">
        <f t="shared" si="42"/>
        <v>0</v>
      </c>
      <c r="V94" s="2">
        <f t="shared" si="43"/>
        <v>0</v>
      </c>
      <c r="W94" s="2">
        <f t="shared" si="44"/>
        <v>0</v>
      </c>
      <c r="X94" s="2">
        <f t="shared" si="45"/>
        <v>0</v>
      </c>
      <c r="Y94" s="2">
        <f t="shared" si="46"/>
        <v>1</v>
      </c>
      <c r="Z94" s="2">
        <f t="shared" si="47"/>
        <v>0</v>
      </c>
      <c r="AA94" s="2">
        <f t="shared" si="48"/>
        <v>0</v>
      </c>
      <c r="AC94" s="2">
        <f t="shared" si="49"/>
        <v>0</v>
      </c>
      <c r="AD94" s="2">
        <f t="shared" si="50"/>
        <v>1</v>
      </c>
      <c r="AE94" s="2">
        <f t="shared" si="35"/>
        <v>0</v>
      </c>
      <c r="AF94" s="2">
        <f t="shared" si="36"/>
        <v>0</v>
      </c>
      <c r="AG94" s="2">
        <f t="shared" si="37"/>
        <v>0</v>
      </c>
      <c r="AH94" s="2">
        <f t="shared" si="38"/>
        <v>0</v>
      </c>
    </row>
    <row r="95" spans="1:34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915</v>
      </c>
      <c r="O95" s="33">
        <v>1</v>
      </c>
      <c r="P95" s="33"/>
      <c r="R95" s="2">
        <f t="shared" si="39"/>
        <v>0</v>
      </c>
      <c r="S95" s="2">
        <f t="shared" si="40"/>
        <v>0</v>
      </c>
      <c r="T95" s="2">
        <f t="shared" si="41"/>
        <v>0</v>
      </c>
      <c r="U95" s="2">
        <f t="shared" si="42"/>
        <v>0</v>
      </c>
      <c r="V95" s="2">
        <f t="shared" si="43"/>
        <v>0</v>
      </c>
      <c r="W95" s="2">
        <f t="shared" si="44"/>
        <v>0</v>
      </c>
      <c r="X95" s="2">
        <f t="shared" si="45"/>
        <v>0</v>
      </c>
      <c r="Y95" s="2">
        <f t="shared" si="46"/>
        <v>0</v>
      </c>
      <c r="Z95" s="2">
        <f t="shared" si="47"/>
        <v>0</v>
      </c>
      <c r="AA95" s="2">
        <f t="shared" si="48"/>
        <v>0</v>
      </c>
      <c r="AC95" s="2">
        <f t="shared" si="49"/>
        <v>0</v>
      </c>
      <c r="AD95" s="2">
        <f t="shared" si="50"/>
        <v>1</v>
      </c>
      <c r="AE95" s="2">
        <f t="shared" si="35"/>
        <v>0</v>
      </c>
      <c r="AF95" s="2">
        <f t="shared" si="36"/>
        <v>0</v>
      </c>
      <c r="AG95" s="2">
        <f t="shared" si="37"/>
        <v>0</v>
      </c>
      <c r="AH95" s="2">
        <f t="shared" si="38"/>
        <v>0</v>
      </c>
    </row>
    <row r="96" spans="1:34" ht="14.25" customHeight="1" x14ac:dyDescent="0.25">
      <c r="A96" s="28">
        <v>0</v>
      </c>
      <c r="B96" s="28">
        <v>1</v>
      </c>
      <c r="C96" s="28">
        <v>7</v>
      </c>
      <c r="D96" s="29" t="s">
        <v>571</v>
      </c>
      <c r="E96" s="29" t="s">
        <v>32</v>
      </c>
      <c r="F96" s="29" t="s">
        <v>586</v>
      </c>
      <c r="G96" s="29" t="s">
        <v>309</v>
      </c>
      <c r="H96" s="29" t="s">
        <v>165</v>
      </c>
      <c r="I96" s="28" t="s">
        <v>528</v>
      </c>
      <c r="J96" s="28">
        <v>1</v>
      </c>
      <c r="K96" s="28" t="s">
        <v>321</v>
      </c>
      <c r="L96" s="28" t="s">
        <v>40</v>
      </c>
      <c r="M96" s="29" t="s">
        <v>40</v>
      </c>
      <c r="N96" s="29"/>
      <c r="O96" s="30"/>
      <c r="P96" s="30">
        <v>1</v>
      </c>
      <c r="R96" s="2">
        <f t="shared" si="39"/>
        <v>1</v>
      </c>
      <c r="S96" s="2">
        <f t="shared" si="40"/>
        <v>0</v>
      </c>
      <c r="T96" s="2">
        <f t="shared" si="41"/>
        <v>0</v>
      </c>
      <c r="U96" s="2">
        <f t="shared" si="42"/>
        <v>0</v>
      </c>
      <c r="V96" s="2">
        <f t="shared" si="43"/>
        <v>0</v>
      </c>
      <c r="W96" s="2">
        <f t="shared" si="44"/>
        <v>0</v>
      </c>
      <c r="X96" s="2">
        <f t="shared" si="45"/>
        <v>0</v>
      </c>
      <c r="Y96" s="2">
        <f t="shared" si="46"/>
        <v>0</v>
      </c>
      <c r="Z96" s="2">
        <f t="shared" si="47"/>
        <v>0</v>
      </c>
      <c r="AA96" s="2">
        <f t="shared" si="48"/>
        <v>0</v>
      </c>
      <c r="AC96" s="2">
        <f t="shared" si="49"/>
        <v>0</v>
      </c>
      <c r="AD96" s="2">
        <f t="shared" si="50"/>
        <v>0</v>
      </c>
      <c r="AE96" s="2">
        <f t="shared" si="35"/>
        <v>0</v>
      </c>
      <c r="AF96" s="2">
        <f t="shared" si="36"/>
        <v>0</v>
      </c>
      <c r="AG96" s="2">
        <f t="shared" si="37"/>
        <v>1</v>
      </c>
      <c r="AH96" s="2">
        <f t="shared" si="38"/>
        <v>0</v>
      </c>
    </row>
    <row r="97" spans="1:34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911</v>
      </c>
      <c r="O97" s="33">
        <v>1</v>
      </c>
      <c r="P97" s="33"/>
      <c r="R97" s="2">
        <f t="shared" si="39"/>
        <v>0</v>
      </c>
      <c r="S97" s="2">
        <f t="shared" si="40"/>
        <v>0</v>
      </c>
      <c r="T97" s="2">
        <f t="shared" si="41"/>
        <v>1</v>
      </c>
      <c r="U97" s="2">
        <f t="shared" si="42"/>
        <v>0</v>
      </c>
      <c r="V97" s="2">
        <f t="shared" si="43"/>
        <v>0</v>
      </c>
      <c r="W97" s="2">
        <f t="shared" si="44"/>
        <v>0</v>
      </c>
      <c r="X97" s="2">
        <f t="shared" si="45"/>
        <v>0</v>
      </c>
      <c r="Y97" s="2">
        <f t="shared" si="46"/>
        <v>0</v>
      </c>
      <c r="Z97" s="2">
        <f t="shared" si="47"/>
        <v>0</v>
      </c>
      <c r="AA97" s="2">
        <f t="shared" si="48"/>
        <v>0</v>
      </c>
      <c r="AC97" s="2">
        <f t="shared" si="49"/>
        <v>0</v>
      </c>
      <c r="AD97" s="2">
        <f t="shared" si="50"/>
        <v>1</v>
      </c>
      <c r="AE97" s="2">
        <f t="shared" si="35"/>
        <v>0</v>
      </c>
      <c r="AF97" s="2">
        <f t="shared" si="36"/>
        <v>1</v>
      </c>
      <c r="AG97" s="2">
        <f t="shared" si="37"/>
        <v>0</v>
      </c>
      <c r="AH97" s="2">
        <f t="shared" si="38"/>
        <v>1</v>
      </c>
    </row>
    <row r="98" spans="1:34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1" t="s">
        <v>842</v>
      </c>
      <c r="J98" s="31">
        <v>1</v>
      </c>
      <c r="K98" s="31" t="s">
        <v>320</v>
      </c>
      <c r="L98" s="31" t="s">
        <v>343</v>
      </c>
      <c r="M98" s="32" t="s">
        <v>752</v>
      </c>
      <c r="N98" s="32" t="s">
        <v>904</v>
      </c>
      <c r="O98" s="33">
        <v>1</v>
      </c>
      <c r="P98" s="33"/>
      <c r="R98" s="2">
        <f t="shared" si="39"/>
        <v>1</v>
      </c>
      <c r="S98" s="2">
        <f t="shared" si="40"/>
        <v>0</v>
      </c>
      <c r="T98" s="2">
        <f t="shared" si="41"/>
        <v>0</v>
      </c>
      <c r="U98" s="2">
        <f t="shared" si="42"/>
        <v>0</v>
      </c>
      <c r="V98" s="2">
        <f t="shared" si="43"/>
        <v>0</v>
      </c>
      <c r="W98" s="2">
        <f t="shared" si="44"/>
        <v>0</v>
      </c>
      <c r="X98" s="2">
        <f t="shared" si="45"/>
        <v>0</v>
      </c>
      <c r="Y98" s="2">
        <f t="shared" si="46"/>
        <v>0</v>
      </c>
      <c r="Z98" s="2">
        <f t="shared" si="47"/>
        <v>0</v>
      </c>
      <c r="AA98" s="2">
        <f t="shared" si="48"/>
        <v>0</v>
      </c>
      <c r="AC98" s="2">
        <f t="shared" si="49"/>
        <v>0</v>
      </c>
      <c r="AD98" s="2">
        <f t="shared" si="50"/>
        <v>1</v>
      </c>
      <c r="AE98" s="2">
        <f t="shared" si="35"/>
        <v>0</v>
      </c>
      <c r="AF98" s="2">
        <f t="shared" si="36"/>
        <v>1</v>
      </c>
      <c r="AG98" s="2">
        <f t="shared" si="37"/>
        <v>0</v>
      </c>
      <c r="AH98" s="2">
        <f t="shared" si="38"/>
        <v>1</v>
      </c>
    </row>
    <row r="99" spans="1:34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752</v>
      </c>
      <c r="N99" s="32" t="s">
        <v>904</v>
      </c>
      <c r="O99" s="33">
        <v>1</v>
      </c>
      <c r="P99" s="33"/>
      <c r="R99" s="2">
        <f t="shared" si="39"/>
        <v>1</v>
      </c>
      <c r="S99" s="2">
        <f t="shared" si="40"/>
        <v>0</v>
      </c>
      <c r="T99" s="2">
        <f t="shared" si="41"/>
        <v>0</v>
      </c>
      <c r="U99" s="2">
        <f t="shared" si="42"/>
        <v>0</v>
      </c>
      <c r="V99" s="2">
        <f t="shared" si="43"/>
        <v>0</v>
      </c>
      <c r="W99" s="2">
        <f t="shared" si="44"/>
        <v>0</v>
      </c>
      <c r="X99" s="2">
        <f t="shared" si="45"/>
        <v>0</v>
      </c>
      <c r="Y99" s="2">
        <f t="shared" si="46"/>
        <v>0</v>
      </c>
      <c r="Z99" s="2">
        <f t="shared" si="47"/>
        <v>0</v>
      </c>
      <c r="AA99" s="2">
        <f t="shared" si="48"/>
        <v>0</v>
      </c>
      <c r="AC99" s="2">
        <f t="shared" si="49"/>
        <v>0</v>
      </c>
      <c r="AD99" s="2">
        <f t="shared" si="50"/>
        <v>1</v>
      </c>
      <c r="AE99" s="2">
        <f t="shared" si="35"/>
        <v>0</v>
      </c>
      <c r="AF99" s="2">
        <f t="shared" si="36"/>
        <v>0</v>
      </c>
      <c r="AG99" s="2">
        <f t="shared" si="37"/>
        <v>0</v>
      </c>
      <c r="AH99" s="2">
        <f t="shared" si="38"/>
        <v>0</v>
      </c>
    </row>
    <row r="100" spans="1:34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1" t="s">
        <v>485</v>
      </c>
      <c r="J100" s="31">
        <v>2</v>
      </c>
      <c r="K100" s="31" t="s">
        <v>320</v>
      </c>
      <c r="L100" s="31" t="s">
        <v>343</v>
      </c>
      <c r="M100" s="32" t="s">
        <v>752</v>
      </c>
      <c r="N100" s="32" t="s">
        <v>904</v>
      </c>
      <c r="O100" s="33">
        <v>1</v>
      </c>
      <c r="P100" s="33"/>
      <c r="R100" s="2">
        <f t="shared" si="39"/>
        <v>0</v>
      </c>
      <c r="S100" s="2">
        <f t="shared" si="40"/>
        <v>1</v>
      </c>
      <c r="T100" s="2">
        <f t="shared" si="41"/>
        <v>0</v>
      </c>
      <c r="U100" s="2">
        <f t="shared" si="42"/>
        <v>0</v>
      </c>
      <c r="V100" s="2">
        <f t="shared" si="43"/>
        <v>0</v>
      </c>
      <c r="W100" s="2">
        <f t="shared" si="44"/>
        <v>0</v>
      </c>
      <c r="X100" s="2">
        <f t="shared" si="45"/>
        <v>0</v>
      </c>
      <c r="Y100" s="2">
        <f t="shared" si="46"/>
        <v>0</v>
      </c>
      <c r="Z100" s="2">
        <f t="shared" si="47"/>
        <v>0</v>
      </c>
      <c r="AA100" s="2">
        <f t="shared" si="48"/>
        <v>0</v>
      </c>
      <c r="AC100" s="2">
        <f t="shared" si="49"/>
        <v>0</v>
      </c>
      <c r="AD100" s="2">
        <f t="shared" si="50"/>
        <v>1</v>
      </c>
      <c r="AE100" s="2">
        <f t="shared" si="35"/>
        <v>0</v>
      </c>
      <c r="AF100" s="2">
        <f t="shared" si="36"/>
        <v>0</v>
      </c>
      <c r="AG100" s="2">
        <f t="shared" si="37"/>
        <v>0</v>
      </c>
      <c r="AH100" s="2">
        <f t="shared" si="38"/>
        <v>0</v>
      </c>
    </row>
    <row r="101" spans="1:34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1" t="s">
        <v>658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896</v>
      </c>
      <c r="O101" s="33">
        <v>1</v>
      </c>
      <c r="P101" s="33">
        <v>1</v>
      </c>
      <c r="R101" s="2">
        <f t="shared" si="39"/>
        <v>0</v>
      </c>
      <c r="S101" s="2">
        <f t="shared" si="40"/>
        <v>0</v>
      </c>
      <c r="T101" s="2">
        <f t="shared" si="41"/>
        <v>1</v>
      </c>
      <c r="U101" s="2">
        <f t="shared" si="42"/>
        <v>0</v>
      </c>
      <c r="V101" s="2">
        <f t="shared" si="43"/>
        <v>0</v>
      </c>
      <c r="W101" s="2">
        <f t="shared" si="44"/>
        <v>0</v>
      </c>
      <c r="X101" s="2">
        <f t="shared" si="45"/>
        <v>0</v>
      </c>
      <c r="Y101" s="2">
        <f t="shared" si="46"/>
        <v>0</v>
      </c>
      <c r="Z101" s="2">
        <f t="shared" si="47"/>
        <v>0</v>
      </c>
      <c r="AA101" s="2">
        <f t="shared" si="48"/>
        <v>0</v>
      </c>
      <c r="AC101" s="2">
        <f t="shared" si="49"/>
        <v>1</v>
      </c>
      <c r="AD101" s="2">
        <f t="shared" si="50"/>
        <v>0</v>
      </c>
      <c r="AE101" s="2">
        <f t="shared" si="35"/>
        <v>1</v>
      </c>
      <c r="AF101" s="2">
        <f t="shared" si="36"/>
        <v>0</v>
      </c>
      <c r="AG101" s="2">
        <f t="shared" si="37"/>
        <v>1</v>
      </c>
      <c r="AH101" s="2">
        <f t="shared" si="38"/>
        <v>0</v>
      </c>
    </row>
    <row r="102" spans="1:34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1" t="s">
        <v>448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896</v>
      </c>
      <c r="O102" s="33">
        <v>1</v>
      </c>
      <c r="P102" s="33">
        <v>1</v>
      </c>
      <c r="R102" s="2">
        <f t="shared" si="39"/>
        <v>0</v>
      </c>
      <c r="S102" s="2">
        <f t="shared" si="40"/>
        <v>1</v>
      </c>
      <c r="T102" s="2">
        <f t="shared" si="41"/>
        <v>0</v>
      </c>
      <c r="U102" s="2">
        <f t="shared" si="42"/>
        <v>0</v>
      </c>
      <c r="V102" s="2">
        <f t="shared" si="43"/>
        <v>0</v>
      </c>
      <c r="W102" s="2">
        <f t="shared" si="44"/>
        <v>0</v>
      </c>
      <c r="X102" s="2">
        <f t="shared" si="45"/>
        <v>0</v>
      </c>
      <c r="Y102" s="2">
        <f t="shared" si="46"/>
        <v>0</v>
      </c>
      <c r="Z102" s="2">
        <f t="shared" si="47"/>
        <v>0</v>
      </c>
      <c r="AA102" s="2">
        <f t="shared" si="48"/>
        <v>0</v>
      </c>
      <c r="AC102" s="2">
        <f t="shared" si="49"/>
        <v>1</v>
      </c>
      <c r="AD102" s="2">
        <f t="shared" si="50"/>
        <v>0</v>
      </c>
      <c r="AE102" s="2">
        <f t="shared" si="35"/>
        <v>0</v>
      </c>
      <c r="AF102" s="2">
        <f t="shared" si="36"/>
        <v>0</v>
      </c>
      <c r="AG102" s="2">
        <f t="shared" si="37"/>
        <v>0</v>
      </c>
      <c r="AH102" s="2">
        <f t="shared" si="38"/>
        <v>0</v>
      </c>
    </row>
    <row r="103" spans="1:34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838</v>
      </c>
      <c r="G103" s="32" t="s">
        <v>124</v>
      </c>
      <c r="H103" s="32" t="s">
        <v>165</v>
      </c>
      <c r="I103" s="31" t="s">
        <v>852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896</v>
      </c>
      <c r="O103" s="33">
        <v>1</v>
      </c>
      <c r="P103" s="33">
        <v>1</v>
      </c>
      <c r="R103" s="2">
        <f t="shared" si="39"/>
        <v>0</v>
      </c>
      <c r="S103" s="2">
        <f t="shared" si="40"/>
        <v>0</v>
      </c>
      <c r="T103" s="2">
        <f t="shared" si="41"/>
        <v>0</v>
      </c>
      <c r="U103" s="2">
        <f t="shared" si="42"/>
        <v>0</v>
      </c>
      <c r="V103" s="2">
        <f t="shared" si="43"/>
        <v>0</v>
      </c>
      <c r="W103" s="2">
        <f t="shared" si="44"/>
        <v>0</v>
      </c>
      <c r="X103" s="2">
        <f t="shared" si="45"/>
        <v>0</v>
      </c>
      <c r="Y103" s="2">
        <f t="shared" si="46"/>
        <v>0</v>
      </c>
      <c r="Z103" s="2">
        <f t="shared" si="47"/>
        <v>0</v>
      </c>
      <c r="AA103" s="2">
        <f t="shared" si="48"/>
        <v>0</v>
      </c>
      <c r="AC103" s="2">
        <f t="shared" si="49"/>
        <v>1</v>
      </c>
      <c r="AD103" s="2">
        <f t="shared" si="50"/>
        <v>0</v>
      </c>
      <c r="AE103" s="2">
        <f t="shared" si="35"/>
        <v>0</v>
      </c>
      <c r="AF103" s="2">
        <f t="shared" si="36"/>
        <v>0</v>
      </c>
      <c r="AG103" s="2">
        <f t="shared" si="37"/>
        <v>0</v>
      </c>
      <c r="AH103" s="2">
        <f t="shared" si="38"/>
        <v>0</v>
      </c>
    </row>
    <row r="104" spans="1:34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839</v>
      </c>
      <c r="G104" s="32" t="s">
        <v>103</v>
      </c>
      <c r="H104" s="32" t="s">
        <v>165</v>
      </c>
      <c r="I104" s="31" t="s">
        <v>853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896</v>
      </c>
      <c r="O104" s="33">
        <v>1</v>
      </c>
      <c r="P104" s="33">
        <v>1</v>
      </c>
      <c r="R104" s="2">
        <f t="shared" si="39"/>
        <v>0</v>
      </c>
      <c r="S104" s="2">
        <f t="shared" si="40"/>
        <v>1</v>
      </c>
      <c r="T104" s="2">
        <f t="shared" si="41"/>
        <v>0</v>
      </c>
      <c r="U104" s="2">
        <f t="shared" si="42"/>
        <v>0</v>
      </c>
      <c r="V104" s="2">
        <f t="shared" si="43"/>
        <v>0</v>
      </c>
      <c r="W104" s="2">
        <f t="shared" si="44"/>
        <v>0</v>
      </c>
      <c r="X104" s="2">
        <f t="shared" si="45"/>
        <v>0</v>
      </c>
      <c r="Y104" s="2">
        <f t="shared" si="46"/>
        <v>0</v>
      </c>
      <c r="Z104" s="2">
        <f t="shared" si="47"/>
        <v>0</v>
      </c>
      <c r="AA104" s="2">
        <f t="shared" si="48"/>
        <v>0</v>
      </c>
      <c r="AC104" s="2">
        <f t="shared" si="49"/>
        <v>1</v>
      </c>
      <c r="AD104" s="2">
        <f t="shared" si="50"/>
        <v>0</v>
      </c>
      <c r="AE104" s="2">
        <f t="shared" si="35"/>
        <v>0</v>
      </c>
      <c r="AF104" s="2">
        <f t="shared" si="36"/>
        <v>0</v>
      </c>
      <c r="AG104" s="2">
        <f t="shared" si="37"/>
        <v>0</v>
      </c>
      <c r="AH104" s="2">
        <f t="shared" si="38"/>
        <v>0</v>
      </c>
    </row>
    <row r="105" spans="1:34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932</v>
      </c>
      <c r="O105" s="36"/>
      <c r="P105" s="36"/>
      <c r="R105" s="2">
        <f t="shared" si="39"/>
        <v>0</v>
      </c>
      <c r="S105" s="2">
        <f t="shared" si="40"/>
        <v>1</v>
      </c>
      <c r="T105" s="2">
        <f t="shared" si="41"/>
        <v>0</v>
      </c>
      <c r="U105" s="2">
        <f t="shared" si="42"/>
        <v>0</v>
      </c>
      <c r="V105" s="2">
        <f t="shared" si="43"/>
        <v>0</v>
      </c>
      <c r="W105" s="2">
        <f t="shared" si="44"/>
        <v>0</v>
      </c>
      <c r="X105" s="2">
        <f t="shared" si="45"/>
        <v>0</v>
      </c>
      <c r="Y105" s="2">
        <f t="shared" si="46"/>
        <v>0</v>
      </c>
      <c r="Z105" s="2">
        <f t="shared" si="47"/>
        <v>0</v>
      </c>
      <c r="AA105" s="2">
        <f t="shared" si="48"/>
        <v>0</v>
      </c>
      <c r="AC105" s="2">
        <f t="shared" si="49"/>
        <v>0</v>
      </c>
      <c r="AD105" s="2">
        <f t="shared" si="50"/>
        <v>0</v>
      </c>
      <c r="AE105" s="2">
        <f t="shared" si="35"/>
        <v>0</v>
      </c>
      <c r="AF105" s="2">
        <f t="shared" si="36"/>
        <v>0</v>
      </c>
      <c r="AG105" s="2">
        <f t="shared" si="37"/>
        <v>0</v>
      </c>
      <c r="AH105" s="2">
        <f t="shared" si="38"/>
        <v>1</v>
      </c>
    </row>
    <row r="106" spans="1:34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932</v>
      </c>
      <c r="O106" s="36"/>
      <c r="P106" s="36"/>
      <c r="R106" s="2">
        <f t="shared" si="39"/>
        <v>0</v>
      </c>
      <c r="S106" s="2">
        <f t="shared" si="40"/>
        <v>0</v>
      </c>
      <c r="T106" s="2">
        <f t="shared" si="41"/>
        <v>0</v>
      </c>
      <c r="U106" s="2">
        <f t="shared" si="42"/>
        <v>0</v>
      </c>
      <c r="V106" s="2">
        <f t="shared" si="43"/>
        <v>0</v>
      </c>
      <c r="W106" s="2">
        <f t="shared" si="44"/>
        <v>0</v>
      </c>
      <c r="X106" s="2">
        <f t="shared" si="45"/>
        <v>0</v>
      </c>
      <c r="Y106" s="2">
        <f t="shared" si="46"/>
        <v>0</v>
      </c>
      <c r="Z106" s="2">
        <f t="shared" si="47"/>
        <v>0</v>
      </c>
      <c r="AA106" s="2">
        <f t="shared" si="48"/>
        <v>0</v>
      </c>
      <c r="AC106" s="2">
        <f t="shared" si="49"/>
        <v>0</v>
      </c>
      <c r="AD106" s="2">
        <f t="shared" si="50"/>
        <v>0</v>
      </c>
      <c r="AE106" s="2">
        <f t="shared" si="35"/>
        <v>0</v>
      </c>
      <c r="AF106" s="2">
        <f t="shared" si="36"/>
        <v>0</v>
      </c>
      <c r="AG106" s="2">
        <f t="shared" si="37"/>
        <v>0</v>
      </c>
      <c r="AH106" s="2">
        <f t="shared" si="38"/>
        <v>0</v>
      </c>
    </row>
    <row r="107" spans="1:34" ht="14.25" customHeight="1" x14ac:dyDescent="0.25">
      <c r="A107" s="20">
        <v>0</v>
      </c>
      <c r="B107" s="20">
        <v>1</v>
      </c>
      <c r="C107" s="20">
        <v>7</v>
      </c>
      <c r="D107" s="21" t="s">
        <v>950</v>
      </c>
      <c r="E107" s="21" t="s">
        <v>32</v>
      </c>
      <c r="F107" s="21" t="s">
        <v>951</v>
      </c>
      <c r="G107" s="21"/>
      <c r="H107" s="21" t="s">
        <v>165</v>
      </c>
      <c r="I107" s="20" t="s">
        <v>952</v>
      </c>
      <c r="J107" s="20"/>
      <c r="K107" s="20" t="s">
        <v>378</v>
      </c>
      <c r="L107" s="20">
        <v>30</v>
      </c>
      <c r="M107" s="21" t="s">
        <v>953</v>
      </c>
      <c r="N107" s="21"/>
      <c r="O107" s="7"/>
      <c r="P107" s="7"/>
      <c r="R107" s="2">
        <f t="shared" si="39"/>
        <v>0</v>
      </c>
      <c r="S107" s="2">
        <f t="shared" si="40"/>
        <v>0</v>
      </c>
      <c r="T107" s="2">
        <f t="shared" si="41"/>
        <v>0</v>
      </c>
      <c r="U107" s="2">
        <f t="shared" si="42"/>
        <v>0</v>
      </c>
      <c r="V107" s="2">
        <f t="shared" si="43"/>
        <v>0</v>
      </c>
      <c r="W107" s="2">
        <f t="shared" si="44"/>
        <v>0</v>
      </c>
      <c r="X107" s="2">
        <f t="shared" si="45"/>
        <v>0</v>
      </c>
      <c r="Y107" s="2">
        <f t="shared" si="46"/>
        <v>0</v>
      </c>
      <c r="Z107" s="2">
        <f t="shared" si="47"/>
        <v>0</v>
      </c>
      <c r="AA107" s="2">
        <f t="shared" si="48"/>
        <v>0</v>
      </c>
      <c r="AC107" s="2">
        <f t="shared" si="49"/>
        <v>0</v>
      </c>
      <c r="AD107" s="2">
        <f t="shared" si="50"/>
        <v>0</v>
      </c>
      <c r="AE107" s="2">
        <f t="shared" si="35"/>
        <v>0</v>
      </c>
      <c r="AF107" s="2">
        <f t="shared" si="36"/>
        <v>0</v>
      </c>
      <c r="AG107" s="2">
        <f t="shared" si="37"/>
        <v>0</v>
      </c>
      <c r="AH107" s="2">
        <f t="shared" si="38"/>
        <v>1</v>
      </c>
    </row>
    <row r="108" spans="1:34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4" t="s">
        <v>694</v>
      </c>
      <c r="J108" s="34">
        <v>1</v>
      </c>
      <c r="K108" s="34" t="s">
        <v>320</v>
      </c>
      <c r="L108" s="34" t="s">
        <v>335</v>
      </c>
      <c r="M108" s="35" t="s">
        <v>648</v>
      </c>
      <c r="N108" s="35" t="s">
        <v>898</v>
      </c>
      <c r="O108" s="36"/>
      <c r="P108" s="36"/>
      <c r="R108" s="2">
        <f t="shared" si="39"/>
        <v>1</v>
      </c>
      <c r="S108" s="2">
        <f t="shared" si="40"/>
        <v>0</v>
      </c>
      <c r="T108" s="2">
        <f t="shared" si="41"/>
        <v>0</v>
      </c>
      <c r="U108" s="2">
        <f t="shared" si="42"/>
        <v>0</v>
      </c>
      <c r="V108" s="2">
        <f t="shared" si="43"/>
        <v>0</v>
      </c>
      <c r="W108" s="2">
        <f t="shared" si="44"/>
        <v>0</v>
      </c>
      <c r="X108" s="2">
        <f t="shared" si="45"/>
        <v>0</v>
      </c>
      <c r="Y108" s="2">
        <f t="shared" si="46"/>
        <v>0</v>
      </c>
      <c r="Z108" s="2">
        <f t="shared" si="47"/>
        <v>0</v>
      </c>
      <c r="AA108" s="2">
        <f t="shared" si="48"/>
        <v>0</v>
      </c>
      <c r="AC108" s="2">
        <f t="shared" si="49"/>
        <v>0</v>
      </c>
      <c r="AD108" s="2">
        <f t="shared" si="50"/>
        <v>0</v>
      </c>
      <c r="AE108" s="2">
        <f t="shared" si="35"/>
        <v>0</v>
      </c>
      <c r="AF108" s="2">
        <f t="shared" si="36"/>
        <v>0</v>
      </c>
      <c r="AG108" s="2">
        <f t="shared" si="37"/>
        <v>0</v>
      </c>
      <c r="AH108" s="2">
        <f t="shared" si="38"/>
        <v>1</v>
      </c>
    </row>
    <row r="109" spans="1:34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1" t="s">
        <v>551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916</v>
      </c>
      <c r="O109" s="33">
        <v>1</v>
      </c>
      <c r="P109" s="33"/>
      <c r="R109" s="2">
        <f t="shared" si="39"/>
        <v>0</v>
      </c>
      <c r="S109" s="2">
        <f t="shared" si="40"/>
        <v>0</v>
      </c>
      <c r="T109" s="2">
        <f t="shared" si="41"/>
        <v>0</v>
      </c>
      <c r="U109" s="2">
        <f t="shared" si="42"/>
        <v>0</v>
      </c>
      <c r="V109" s="2">
        <f t="shared" si="43"/>
        <v>0</v>
      </c>
      <c r="W109" s="2">
        <f t="shared" si="44"/>
        <v>0</v>
      </c>
      <c r="X109" s="2">
        <f t="shared" si="45"/>
        <v>0</v>
      </c>
      <c r="Y109" s="2">
        <f t="shared" si="46"/>
        <v>0</v>
      </c>
      <c r="Z109" s="2">
        <f t="shared" si="47"/>
        <v>0</v>
      </c>
      <c r="AA109" s="2">
        <f t="shared" si="48"/>
        <v>0</v>
      </c>
      <c r="AC109" s="2">
        <f t="shared" si="49"/>
        <v>0</v>
      </c>
      <c r="AD109" s="2">
        <f t="shared" si="50"/>
        <v>1</v>
      </c>
      <c r="AE109" s="2">
        <f t="shared" si="35"/>
        <v>0</v>
      </c>
      <c r="AF109" s="2">
        <f t="shared" si="36"/>
        <v>1</v>
      </c>
      <c r="AG109" s="2">
        <f t="shared" si="37"/>
        <v>0</v>
      </c>
      <c r="AH109" s="2">
        <f t="shared" si="38"/>
        <v>1</v>
      </c>
    </row>
    <row r="110" spans="1:34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1" t="s">
        <v>695</v>
      </c>
      <c r="J110" s="31"/>
      <c r="K110" s="31" t="s">
        <v>320</v>
      </c>
      <c r="L110" s="31">
        <v>30</v>
      </c>
      <c r="M110" s="32" t="s">
        <v>298</v>
      </c>
      <c r="N110" s="32" t="s">
        <v>916</v>
      </c>
      <c r="O110" s="33">
        <v>1</v>
      </c>
      <c r="P110" s="33"/>
      <c r="R110" s="2">
        <f t="shared" si="39"/>
        <v>0</v>
      </c>
      <c r="S110" s="2">
        <f t="shared" si="40"/>
        <v>0</v>
      </c>
      <c r="T110" s="2">
        <f t="shared" si="41"/>
        <v>0</v>
      </c>
      <c r="U110" s="2">
        <f t="shared" si="42"/>
        <v>0</v>
      </c>
      <c r="V110" s="2">
        <f t="shared" si="43"/>
        <v>0</v>
      </c>
      <c r="W110" s="2">
        <f t="shared" si="44"/>
        <v>0</v>
      </c>
      <c r="X110" s="2">
        <f t="shared" si="45"/>
        <v>0</v>
      </c>
      <c r="Y110" s="2">
        <f t="shared" si="46"/>
        <v>0</v>
      </c>
      <c r="Z110" s="2">
        <f t="shared" si="47"/>
        <v>0</v>
      </c>
      <c r="AA110" s="2">
        <f t="shared" si="48"/>
        <v>0</v>
      </c>
      <c r="AC110" s="2">
        <f t="shared" si="49"/>
        <v>0</v>
      </c>
      <c r="AD110" s="2">
        <f t="shared" si="50"/>
        <v>1</v>
      </c>
      <c r="AE110" s="2">
        <f t="shared" si="35"/>
        <v>0</v>
      </c>
      <c r="AF110" s="2">
        <f t="shared" si="36"/>
        <v>0</v>
      </c>
      <c r="AG110" s="2">
        <f t="shared" si="37"/>
        <v>0</v>
      </c>
      <c r="AH110" s="2">
        <f t="shared" si="38"/>
        <v>0</v>
      </c>
    </row>
    <row r="111" spans="1:34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1" t="s">
        <v>620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896</v>
      </c>
      <c r="O111" s="33">
        <v>1</v>
      </c>
      <c r="P111" s="33">
        <v>1</v>
      </c>
      <c r="R111" s="2">
        <f t="shared" si="39"/>
        <v>0</v>
      </c>
      <c r="S111" s="2">
        <f t="shared" si="40"/>
        <v>0</v>
      </c>
      <c r="T111" s="2">
        <f t="shared" si="41"/>
        <v>0</v>
      </c>
      <c r="U111" s="2">
        <f t="shared" si="42"/>
        <v>0</v>
      </c>
      <c r="V111" s="2">
        <f t="shared" si="43"/>
        <v>0</v>
      </c>
      <c r="W111" s="2">
        <f t="shared" si="44"/>
        <v>0</v>
      </c>
      <c r="X111" s="2">
        <f t="shared" si="45"/>
        <v>0</v>
      </c>
      <c r="Y111" s="2">
        <f t="shared" si="46"/>
        <v>0</v>
      </c>
      <c r="Z111" s="2">
        <f t="shared" si="47"/>
        <v>0</v>
      </c>
      <c r="AA111" s="2">
        <f t="shared" si="48"/>
        <v>0</v>
      </c>
      <c r="AC111" s="2">
        <f t="shared" si="49"/>
        <v>1</v>
      </c>
      <c r="AD111" s="2">
        <f t="shared" si="50"/>
        <v>0</v>
      </c>
      <c r="AE111" s="2">
        <f t="shared" si="35"/>
        <v>1</v>
      </c>
      <c r="AF111" s="2">
        <f t="shared" si="36"/>
        <v>0</v>
      </c>
      <c r="AG111" s="2">
        <f t="shared" si="37"/>
        <v>1</v>
      </c>
      <c r="AH111" s="2">
        <f t="shared" si="38"/>
        <v>0</v>
      </c>
    </row>
    <row r="112" spans="1:34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1" t="s">
        <v>620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896</v>
      </c>
      <c r="O112" s="33">
        <v>1</v>
      </c>
      <c r="P112" s="33">
        <v>1</v>
      </c>
      <c r="R112" s="2">
        <f t="shared" si="39"/>
        <v>1</v>
      </c>
      <c r="S112" s="2">
        <f t="shared" si="40"/>
        <v>0</v>
      </c>
      <c r="T112" s="2">
        <f t="shared" si="41"/>
        <v>0</v>
      </c>
      <c r="U112" s="2">
        <f t="shared" si="42"/>
        <v>0</v>
      </c>
      <c r="V112" s="2">
        <f t="shared" si="43"/>
        <v>0</v>
      </c>
      <c r="W112" s="2">
        <f t="shared" si="44"/>
        <v>0</v>
      </c>
      <c r="X112" s="2">
        <f t="shared" si="45"/>
        <v>0</v>
      </c>
      <c r="Y112" s="2">
        <f t="shared" si="46"/>
        <v>0</v>
      </c>
      <c r="Z112" s="2">
        <f t="shared" si="47"/>
        <v>0</v>
      </c>
      <c r="AA112" s="2">
        <f t="shared" si="48"/>
        <v>0</v>
      </c>
      <c r="AC112" s="2">
        <f t="shared" si="49"/>
        <v>1</v>
      </c>
      <c r="AD112" s="2">
        <f t="shared" si="50"/>
        <v>0</v>
      </c>
      <c r="AE112" s="2">
        <f t="shared" si="35"/>
        <v>0</v>
      </c>
      <c r="AF112" s="2">
        <f t="shared" si="36"/>
        <v>0</v>
      </c>
      <c r="AG112" s="2">
        <f t="shared" si="37"/>
        <v>0</v>
      </c>
      <c r="AH112" s="2">
        <f t="shared" si="38"/>
        <v>0</v>
      </c>
    </row>
    <row r="113" spans="1:34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0" t="s">
        <v>797</v>
      </c>
      <c r="J113" s="20">
        <v>99</v>
      </c>
      <c r="K113" s="20" t="s">
        <v>378</v>
      </c>
      <c r="L113" s="20">
        <v>6</v>
      </c>
      <c r="M113" s="21" t="s">
        <v>946</v>
      </c>
      <c r="N113" s="21"/>
      <c r="O113" s="7"/>
      <c r="P113" s="7"/>
      <c r="R113" s="2">
        <f t="shared" si="39"/>
        <v>0</v>
      </c>
      <c r="S113" s="2">
        <f t="shared" si="40"/>
        <v>0</v>
      </c>
      <c r="T113" s="2">
        <f t="shared" si="41"/>
        <v>0</v>
      </c>
      <c r="U113" s="2">
        <f t="shared" si="42"/>
        <v>0</v>
      </c>
      <c r="V113" s="2">
        <f t="shared" si="43"/>
        <v>0</v>
      </c>
      <c r="W113" s="2">
        <f t="shared" si="44"/>
        <v>0</v>
      </c>
      <c r="X113" s="2">
        <f t="shared" si="45"/>
        <v>0</v>
      </c>
      <c r="Y113" s="2">
        <f t="shared" si="46"/>
        <v>0</v>
      </c>
      <c r="Z113" s="2">
        <f t="shared" si="47"/>
        <v>0</v>
      </c>
      <c r="AA113" s="2">
        <f t="shared" si="48"/>
        <v>0</v>
      </c>
      <c r="AC113" s="2">
        <f t="shared" si="49"/>
        <v>0</v>
      </c>
      <c r="AD113" s="2">
        <f t="shared" si="50"/>
        <v>0</v>
      </c>
      <c r="AE113" s="2">
        <f t="shared" si="35"/>
        <v>0</v>
      </c>
      <c r="AF113" s="2">
        <f t="shared" si="36"/>
        <v>0</v>
      </c>
      <c r="AG113" s="2">
        <f t="shared" si="37"/>
        <v>0</v>
      </c>
      <c r="AH113" s="2">
        <f t="shared" si="38"/>
        <v>1</v>
      </c>
    </row>
    <row r="114" spans="1:34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1" t="s">
        <v>792</v>
      </c>
      <c r="J114" s="31">
        <v>2</v>
      </c>
      <c r="K114" s="31" t="s">
        <v>321</v>
      </c>
      <c r="L114" s="31">
        <v>15</v>
      </c>
      <c r="M114" s="32" t="s">
        <v>865</v>
      </c>
      <c r="N114" s="32" t="s">
        <v>896</v>
      </c>
      <c r="O114" s="33">
        <v>1</v>
      </c>
      <c r="P114" s="33">
        <v>1</v>
      </c>
      <c r="R114" s="2">
        <f t="shared" si="39"/>
        <v>0</v>
      </c>
      <c r="S114" s="2">
        <f t="shared" si="40"/>
        <v>1</v>
      </c>
      <c r="T114" s="2">
        <f t="shared" si="41"/>
        <v>0</v>
      </c>
      <c r="U114" s="2">
        <f t="shared" si="42"/>
        <v>0</v>
      </c>
      <c r="V114" s="2">
        <f t="shared" si="43"/>
        <v>0</v>
      </c>
      <c r="W114" s="2">
        <f t="shared" si="44"/>
        <v>0</v>
      </c>
      <c r="X114" s="2">
        <f t="shared" si="45"/>
        <v>0</v>
      </c>
      <c r="Y114" s="2">
        <f t="shared" si="46"/>
        <v>0</v>
      </c>
      <c r="Z114" s="2">
        <f t="shared" si="47"/>
        <v>0</v>
      </c>
      <c r="AA114" s="2">
        <f t="shared" si="48"/>
        <v>0</v>
      </c>
      <c r="AC114" s="2">
        <f t="shared" si="49"/>
        <v>1</v>
      </c>
      <c r="AD114" s="2">
        <f t="shared" si="50"/>
        <v>0</v>
      </c>
      <c r="AE114" s="2">
        <f t="shared" si="35"/>
        <v>1</v>
      </c>
      <c r="AF114" s="2">
        <f t="shared" si="36"/>
        <v>0</v>
      </c>
      <c r="AG114" s="2">
        <f t="shared" si="37"/>
        <v>1</v>
      </c>
      <c r="AH114" s="2">
        <f t="shared" si="38"/>
        <v>0</v>
      </c>
    </row>
    <row r="115" spans="1:34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1" t="s">
        <v>538</v>
      </c>
      <c r="J115" s="31">
        <v>99</v>
      </c>
      <c r="K115" s="31" t="s">
        <v>318</v>
      </c>
      <c r="L115" s="31">
        <v>13</v>
      </c>
      <c r="M115" s="32" t="s">
        <v>865</v>
      </c>
      <c r="N115" s="32" t="s">
        <v>896</v>
      </c>
      <c r="O115" s="33">
        <v>1</v>
      </c>
      <c r="P115" s="33">
        <v>1</v>
      </c>
      <c r="R115" s="2">
        <f t="shared" si="39"/>
        <v>0</v>
      </c>
      <c r="S115" s="2">
        <f t="shared" si="40"/>
        <v>0</v>
      </c>
      <c r="T115" s="2">
        <f t="shared" si="41"/>
        <v>0</v>
      </c>
      <c r="U115" s="2">
        <f t="shared" si="42"/>
        <v>0</v>
      </c>
      <c r="V115" s="2">
        <f t="shared" si="43"/>
        <v>0</v>
      </c>
      <c r="W115" s="2">
        <f t="shared" si="44"/>
        <v>0</v>
      </c>
      <c r="X115" s="2">
        <f t="shared" si="45"/>
        <v>0</v>
      </c>
      <c r="Y115" s="2">
        <f t="shared" si="46"/>
        <v>0</v>
      </c>
      <c r="Z115" s="2">
        <f t="shared" si="47"/>
        <v>0</v>
      </c>
      <c r="AA115" s="2">
        <f t="shared" si="48"/>
        <v>0</v>
      </c>
      <c r="AC115" s="2">
        <f t="shared" si="49"/>
        <v>1</v>
      </c>
      <c r="AD115" s="2">
        <f t="shared" si="50"/>
        <v>0</v>
      </c>
      <c r="AE115" s="2">
        <f t="shared" si="35"/>
        <v>1</v>
      </c>
      <c r="AF115" s="2">
        <f t="shared" si="36"/>
        <v>0</v>
      </c>
      <c r="AG115" s="2">
        <f t="shared" si="37"/>
        <v>1</v>
      </c>
      <c r="AH115" s="2">
        <f t="shared" si="38"/>
        <v>0</v>
      </c>
    </row>
    <row r="116" spans="1:34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1" t="s">
        <v>533</v>
      </c>
      <c r="J116" s="31">
        <v>2</v>
      </c>
      <c r="K116" s="31" t="s">
        <v>318</v>
      </c>
      <c r="L116" s="31">
        <v>13</v>
      </c>
      <c r="M116" s="32" t="s">
        <v>866</v>
      </c>
      <c r="N116" s="32" t="s">
        <v>896</v>
      </c>
      <c r="O116" s="33">
        <v>1</v>
      </c>
      <c r="P116" s="33">
        <v>1</v>
      </c>
      <c r="R116" s="2">
        <f t="shared" si="39"/>
        <v>0</v>
      </c>
      <c r="S116" s="2">
        <f t="shared" si="40"/>
        <v>1</v>
      </c>
      <c r="T116" s="2">
        <f t="shared" si="41"/>
        <v>0</v>
      </c>
      <c r="U116" s="2">
        <f t="shared" si="42"/>
        <v>0</v>
      </c>
      <c r="V116" s="2">
        <f t="shared" si="43"/>
        <v>0</v>
      </c>
      <c r="W116" s="2">
        <f t="shared" si="44"/>
        <v>0</v>
      </c>
      <c r="X116" s="2">
        <f t="shared" si="45"/>
        <v>0</v>
      </c>
      <c r="Y116" s="2">
        <f t="shared" si="46"/>
        <v>0</v>
      </c>
      <c r="Z116" s="2">
        <f t="shared" si="47"/>
        <v>0</v>
      </c>
      <c r="AA116" s="2">
        <f t="shared" si="48"/>
        <v>0</v>
      </c>
      <c r="AC116" s="2">
        <f t="shared" si="49"/>
        <v>1</v>
      </c>
      <c r="AD116" s="2">
        <f t="shared" si="50"/>
        <v>0</v>
      </c>
      <c r="AE116" s="2">
        <f t="shared" si="35"/>
        <v>0</v>
      </c>
      <c r="AF116" s="2">
        <f t="shared" si="36"/>
        <v>0</v>
      </c>
      <c r="AG116" s="2">
        <f t="shared" si="37"/>
        <v>0</v>
      </c>
      <c r="AH116" s="2">
        <f t="shared" si="38"/>
        <v>0</v>
      </c>
    </row>
    <row r="117" spans="1:34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1" t="s">
        <v>539</v>
      </c>
      <c r="J117" s="31">
        <v>99</v>
      </c>
      <c r="K117" s="31" t="s">
        <v>318</v>
      </c>
      <c r="L117" s="31">
        <v>13</v>
      </c>
      <c r="M117" s="32" t="s">
        <v>867</v>
      </c>
      <c r="N117" s="32" t="s">
        <v>896</v>
      </c>
      <c r="O117" s="33">
        <v>1</v>
      </c>
      <c r="P117" s="33">
        <v>1</v>
      </c>
      <c r="R117" s="2">
        <f t="shared" si="39"/>
        <v>0</v>
      </c>
      <c r="S117" s="2">
        <f t="shared" si="40"/>
        <v>0</v>
      </c>
      <c r="T117" s="2">
        <f t="shared" si="41"/>
        <v>0</v>
      </c>
      <c r="U117" s="2">
        <f t="shared" si="42"/>
        <v>0</v>
      </c>
      <c r="V117" s="2">
        <f t="shared" si="43"/>
        <v>0</v>
      </c>
      <c r="W117" s="2">
        <f t="shared" si="44"/>
        <v>0</v>
      </c>
      <c r="X117" s="2">
        <f t="shared" si="45"/>
        <v>0</v>
      </c>
      <c r="Y117" s="2">
        <f t="shared" si="46"/>
        <v>0</v>
      </c>
      <c r="Z117" s="2">
        <f t="shared" si="47"/>
        <v>0</v>
      </c>
      <c r="AA117" s="2">
        <f t="shared" si="48"/>
        <v>0</v>
      </c>
      <c r="AC117" s="2">
        <f t="shared" si="49"/>
        <v>1</v>
      </c>
      <c r="AD117" s="2">
        <f t="shared" si="50"/>
        <v>0</v>
      </c>
      <c r="AE117" s="2">
        <f t="shared" si="35"/>
        <v>0</v>
      </c>
      <c r="AF117" s="2">
        <f t="shared" si="36"/>
        <v>0</v>
      </c>
      <c r="AG117" s="2">
        <f t="shared" si="37"/>
        <v>0</v>
      </c>
      <c r="AH117" s="2">
        <f t="shared" si="38"/>
        <v>0</v>
      </c>
    </row>
    <row r="118" spans="1:34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868</v>
      </c>
      <c r="N118" s="32" t="s">
        <v>896</v>
      </c>
      <c r="O118" s="33">
        <v>1</v>
      </c>
      <c r="P118" s="33">
        <v>1</v>
      </c>
      <c r="R118" s="2">
        <f t="shared" si="39"/>
        <v>0</v>
      </c>
      <c r="S118" s="2">
        <f t="shared" si="40"/>
        <v>0</v>
      </c>
      <c r="T118" s="2">
        <f t="shared" si="41"/>
        <v>0</v>
      </c>
      <c r="U118" s="2">
        <f t="shared" si="42"/>
        <v>0</v>
      </c>
      <c r="V118" s="2">
        <f t="shared" si="43"/>
        <v>0</v>
      </c>
      <c r="W118" s="2">
        <f t="shared" si="44"/>
        <v>0</v>
      </c>
      <c r="X118" s="2">
        <f t="shared" si="45"/>
        <v>0</v>
      </c>
      <c r="Y118" s="2">
        <f t="shared" si="46"/>
        <v>0</v>
      </c>
      <c r="Z118" s="2">
        <f t="shared" si="47"/>
        <v>0</v>
      </c>
      <c r="AA118" s="2">
        <f t="shared" si="48"/>
        <v>0</v>
      </c>
      <c r="AC118" s="2">
        <f t="shared" si="49"/>
        <v>1</v>
      </c>
      <c r="AD118" s="2">
        <f t="shared" si="50"/>
        <v>0</v>
      </c>
      <c r="AE118" s="2">
        <f t="shared" si="35"/>
        <v>0</v>
      </c>
      <c r="AF118" s="2">
        <f t="shared" si="36"/>
        <v>0</v>
      </c>
      <c r="AG118" s="2">
        <f t="shared" si="37"/>
        <v>0</v>
      </c>
      <c r="AH118" s="2">
        <f t="shared" si="38"/>
        <v>0</v>
      </c>
    </row>
    <row r="119" spans="1:34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1" t="s">
        <v>538</v>
      </c>
      <c r="J119" s="31">
        <v>3</v>
      </c>
      <c r="K119" s="31" t="s">
        <v>318</v>
      </c>
      <c r="L119" s="31">
        <v>13</v>
      </c>
      <c r="M119" s="32" t="s">
        <v>869</v>
      </c>
      <c r="N119" s="32" t="s">
        <v>896</v>
      </c>
      <c r="O119" s="33">
        <v>1</v>
      </c>
      <c r="P119" s="33">
        <v>1</v>
      </c>
      <c r="R119" s="2">
        <f t="shared" si="39"/>
        <v>0</v>
      </c>
      <c r="S119" s="2">
        <f t="shared" si="40"/>
        <v>0</v>
      </c>
      <c r="T119" s="2">
        <f t="shared" si="41"/>
        <v>1</v>
      </c>
      <c r="U119" s="2">
        <f t="shared" si="42"/>
        <v>0</v>
      </c>
      <c r="V119" s="2">
        <f t="shared" si="43"/>
        <v>0</v>
      </c>
      <c r="W119" s="2">
        <f t="shared" si="44"/>
        <v>0</v>
      </c>
      <c r="X119" s="2">
        <f t="shared" si="45"/>
        <v>0</v>
      </c>
      <c r="Y119" s="2">
        <f t="shared" si="46"/>
        <v>0</v>
      </c>
      <c r="Z119" s="2">
        <f t="shared" si="47"/>
        <v>0</v>
      </c>
      <c r="AA119" s="2">
        <f t="shared" si="48"/>
        <v>0</v>
      </c>
      <c r="AC119" s="2">
        <f t="shared" si="49"/>
        <v>1</v>
      </c>
      <c r="AD119" s="2">
        <f t="shared" si="50"/>
        <v>0</v>
      </c>
      <c r="AE119" s="2">
        <f t="shared" si="35"/>
        <v>0</v>
      </c>
      <c r="AF119" s="2">
        <f t="shared" si="36"/>
        <v>0</v>
      </c>
      <c r="AG119" s="2">
        <f t="shared" si="37"/>
        <v>0</v>
      </c>
      <c r="AH119" s="2">
        <f t="shared" si="38"/>
        <v>0</v>
      </c>
    </row>
    <row r="120" spans="1:34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1" t="s">
        <v>636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902</v>
      </c>
      <c r="O120" s="33">
        <v>1</v>
      </c>
      <c r="P120" s="33"/>
      <c r="R120" s="2">
        <f t="shared" si="39"/>
        <v>0</v>
      </c>
      <c r="S120" s="2">
        <f t="shared" si="40"/>
        <v>0</v>
      </c>
      <c r="T120" s="2">
        <f t="shared" si="41"/>
        <v>0</v>
      </c>
      <c r="U120" s="2">
        <f t="shared" si="42"/>
        <v>0</v>
      </c>
      <c r="V120" s="2">
        <f t="shared" si="43"/>
        <v>0</v>
      </c>
      <c r="W120" s="2">
        <f t="shared" si="44"/>
        <v>0</v>
      </c>
      <c r="X120" s="2">
        <f t="shared" si="45"/>
        <v>0</v>
      </c>
      <c r="Y120" s="2">
        <f t="shared" si="46"/>
        <v>0</v>
      </c>
      <c r="Z120" s="2">
        <f t="shared" si="47"/>
        <v>0</v>
      </c>
      <c r="AA120" s="2">
        <f t="shared" si="48"/>
        <v>0</v>
      </c>
      <c r="AC120" s="2">
        <f t="shared" si="49"/>
        <v>0</v>
      </c>
      <c r="AD120" s="2">
        <f t="shared" si="50"/>
        <v>1</v>
      </c>
      <c r="AE120" s="2">
        <f t="shared" si="35"/>
        <v>0</v>
      </c>
      <c r="AF120" s="2">
        <f t="shared" si="36"/>
        <v>1</v>
      </c>
      <c r="AG120" s="2">
        <f t="shared" si="37"/>
        <v>0</v>
      </c>
      <c r="AH120" s="2">
        <f t="shared" si="38"/>
        <v>1</v>
      </c>
    </row>
    <row r="121" spans="1:34" ht="14.25" customHeight="1" x14ac:dyDescent="0.25">
      <c r="A121" s="31">
        <v>0</v>
      </c>
      <c r="B121" s="31">
        <v>2</v>
      </c>
      <c r="C121" s="31">
        <v>1</v>
      </c>
      <c r="D121" s="32" t="s">
        <v>939</v>
      </c>
      <c r="E121" s="32" t="s">
        <v>470</v>
      </c>
      <c r="F121" s="32" t="s">
        <v>940</v>
      </c>
      <c r="G121" s="32" t="s">
        <v>38</v>
      </c>
      <c r="H121" s="32" t="s">
        <v>165</v>
      </c>
      <c r="I121" s="31" t="s">
        <v>941</v>
      </c>
      <c r="J121" s="31">
        <v>1</v>
      </c>
      <c r="K121" s="31" t="s">
        <v>378</v>
      </c>
      <c r="L121" s="31"/>
      <c r="M121" s="32"/>
      <c r="N121" s="32" t="s">
        <v>896</v>
      </c>
      <c r="O121" s="33">
        <v>1</v>
      </c>
      <c r="P121" s="33">
        <v>1</v>
      </c>
      <c r="R121" s="2">
        <f t="shared" si="39"/>
        <v>1</v>
      </c>
      <c r="S121" s="2">
        <f t="shared" si="40"/>
        <v>0</v>
      </c>
      <c r="T121" s="2">
        <f t="shared" si="41"/>
        <v>0</v>
      </c>
      <c r="U121" s="2">
        <f t="shared" si="42"/>
        <v>0</v>
      </c>
      <c r="V121" s="2">
        <f t="shared" si="43"/>
        <v>0</v>
      </c>
      <c r="W121" s="2">
        <f t="shared" si="44"/>
        <v>0</v>
      </c>
      <c r="X121" s="2">
        <f t="shared" si="45"/>
        <v>0</v>
      </c>
      <c r="Y121" s="2">
        <f t="shared" si="46"/>
        <v>0</v>
      </c>
      <c r="Z121" s="2">
        <f t="shared" si="47"/>
        <v>0</v>
      </c>
      <c r="AA121" s="2">
        <f t="shared" si="48"/>
        <v>0</v>
      </c>
      <c r="AC121" s="2">
        <f t="shared" si="49"/>
        <v>1</v>
      </c>
      <c r="AD121" s="2">
        <f t="shared" si="50"/>
        <v>0</v>
      </c>
      <c r="AE121" s="2">
        <f t="shared" si="35"/>
        <v>1</v>
      </c>
      <c r="AF121" s="2">
        <f t="shared" si="36"/>
        <v>0</v>
      </c>
      <c r="AG121" s="2">
        <f t="shared" si="37"/>
        <v>1</v>
      </c>
      <c r="AH121" s="2">
        <f t="shared" si="38"/>
        <v>0</v>
      </c>
    </row>
    <row r="122" spans="1:34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1" t="s">
        <v>763</v>
      </c>
      <c r="J122" s="31">
        <v>99</v>
      </c>
      <c r="K122" s="31" t="s">
        <v>320</v>
      </c>
      <c r="L122" s="31"/>
      <c r="M122" s="32" t="s">
        <v>708</v>
      </c>
      <c r="N122" s="32" t="s">
        <v>896</v>
      </c>
      <c r="O122" s="33">
        <v>1</v>
      </c>
      <c r="P122" s="33">
        <v>1</v>
      </c>
      <c r="R122" s="2">
        <f t="shared" si="39"/>
        <v>0</v>
      </c>
      <c r="S122" s="2">
        <f t="shared" si="40"/>
        <v>0</v>
      </c>
      <c r="T122" s="2">
        <f t="shared" si="41"/>
        <v>0</v>
      </c>
      <c r="U122" s="2">
        <f t="shared" si="42"/>
        <v>0</v>
      </c>
      <c r="V122" s="2">
        <f t="shared" si="43"/>
        <v>0</v>
      </c>
      <c r="W122" s="2">
        <f t="shared" si="44"/>
        <v>0</v>
      </c>
      <c r="X122" s="2">
        <f t="shared" si="45"/>
        <v>0</v>
      </c>
      <c r="Y122" s="2">
        <f t="shared" si="46"/>
        <v>0</v>
      </c>
      <c r="Z122" s="2">
        <f t="shared" si="47"/>
        <v>0</v>
      </c>
      <c r="AA122" s="2">
        <f t="shared" si="48"/>
        <v>0</v>
      </c>
      <c r="AC122" s="2">
        <f t="shared" si="49"/>
        <v>1</v>
      </c>
      <c r="AD122" s="2">
        <f t="shared" si="50"/>
        <v>0</v>
      </c>
      <c r="AE122" s="2">
        <f t="shared" si="35"/>
        <v>1</v>
      </c>
      <c r="AF122" s="2">
        <f t="shared" si="36"/>
        <v>0</v>
      </c>
      <c r="AG122" s="2">
        <f t="shared" si="37"/>
        <v>1</v>
      </c>
      <c r="AH122" s="2">
        <f t="shared" si="38"/>
        <v>0</v>
      </c>
    </row>
    <row r="123" spans="1:34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486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896</v>
      </c>
      <c r="O123" s="33">
        <v>1</v>
      </c>
      <c r="P123" s="33">
        <v>1</v>
      </c>
      <c r="R123" s="2">
        <f t="shared" si="39"/>
        <v>0</v>
      </c>
      <c r="S123" s="2">
        <f t="shared" si="40"/>
        <v>0</v>
      </c>
      <c r="T123" s="2">
        <f t="shared" si="41"/>
        <v>1</v>
      </c>
      <c r="U123" s="2">
        <f t="shared" si="42"/>
        <v>0</v>
      </c>
      <c r="V123" s="2">
        <f t="shared" si="43"/>
        <v>0</v>
      </c>
      <c r="W123" s="2">
        <f t="shared" si="44"/>
        <v>0</v>
      </c>
      <c r="X123" s="2">
        <f t="shared" si="45"/>
        <v>0</v>
      </c>
      <c r="Y123" s="2">
        <f t="shared" si="46"/>
        <v>0</v>
      </c>
      <c r="Z123" s="2">
        <f t="shared" si="47"/>
        <v>0</v>
      </c>
      <c r="AA123" s="2">
        <f t="shared" si="48"/>
        <v>0</v>
      </c>
      <c r="AC123" s="2">
        <f t="shared" si="49"/>
        <v>1</v>
      </c>
      <c r="AD123" s="2">
        <f t="shared" si="50"/>
        <v>0</v>
      </c>
      <c r="AE123" s="2">
        <f t="shared" si="35"/>
        <v>1</v>
      </c>
      <c r="AF123" s="2">
        <f t="shared" si="36"/>
        <v>0</v>
      </c>
      <c r="AG123" s="2">
        <f t="shared" si="37"/>
        <v>1</v>
      </c>
      <c r="AH123" s="2">
        <f t="shared" si="38"/>
        <v>0</v>
      </c>
    </row>
    <row r="124" spans="1:34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1" t="s">
        <v>652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896</v>
      </c>
      <c r="O124" s="33">
        <v>1</v>
      </c>
      <c r="P124" s="33">
        <v>1</v>
      </c>
      <c r="R124" s="2">
        <f t="shared" si="39"/>
        <v>0</v>
      </c>
      <c r="S124" s="2">
        <f t="shared" si="40"/>
        <v>1</v>
      </c>
      <c r="T124" s="2">
        <f t="shared" si="41"/>
        <v>0</v>
      </c>
      <c r="U124" s="2">
        <f t="shared" si="42"/>
        <v>0</v>
      </c>
      <c r="V124" s="2">
        <f t="shared" si="43"/>
        <v>0</v>
      </c>
      <c r="W124" s="2">
        <f t="shared" si="44"/>
        <v>0</v>
      </c>
      <c r="X124" s="2">
        <f t="shared" si="45"/>
        <v>0</v>
      </c>
      <c r="Y124" s="2">
        <f t="shared" si="46"/>
        <v>0</v>
      </c>
      <c r="Z124" s="2">
        <f t="shared" si="47"/>
        <v>0</v>
      </c>
      <c r="AA124" s="2">
        <f t="shared" si="48"/>
        <v>0</v>
      </c>
      <c r="AC124" s="2">
        <f t="shared" si="49"/>
        <v>1</v>
      </c>
      <c r="AD124" s="2">
        <f t="shared" si="50"/>
        <v>0</v>
      </c>
      <c r="AE124" s="2">
        <f t="shared" si="35"/>
        <v>0</v>
      </c>
      <c r="AF124" s="2">
        <f t="shared" si="36"/>
        <v>0</v>
      </c>
      <c r="AG124" s="2">
        <f t="shared" si="37"/>
        <v>0</v>
      </c>
      <c r="AH124" s="2">
        <f t="shared" si="38"/>
        <v>0</v>
      </c>
    </row>
    <row r="125" spans="1:34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1" t="s">
        <v>653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896</v>
      </c>
      <c r="O125" s="33">
        <v>1</v>
      </c>
      <c r="P125" s="33">
        <v>1</v>
      </c>
      <c r="R125" s="2">
        <f t="shared" si="39"/>
        <v>0</v>
      </c>
      <c r="S125" s="2">
        <f t="shared" si="40"/>
        <v>0</v>
      </c>
      <c r="T125" s="2">
        <f t="shared" si="41"/>
        <v>0</v>
      </c>
      <c r="U125" s="2">
        <f t="shared" si="42"/>
        <v>1</v>
      </c>
      <c r="V125" s="2">
        <f t="shared" si="43"/>
        <v>0</v>
      </c>
      <c r="W125" s="2">
        <f t="shared" si="44"/>
        <v>0</v>
      </c>
      <c r="X125" s="2">
        <f t="shared" si="45"/>
        <v>0</v>
      </c>
      <c r="Y125" s="2">
        <f t="shared" si="46"/>
        <v>0</v>
      </c>
      <c r="Z125" s="2">
        <f t="shared" si="47"/>
        <v>0</v>
      </c>
      <c r="AA125" s="2">
        <f t="shared" si="48"/>
        <v>0</v>
      </c>
      <c r="AC125" s="2">
        <f t="shared" si="49"/>
        <v>1</v>
      </c>
      <c r="AD125" s="2">
        <f t="shared" si="50"/>
        <v>0</v>
      </c>
      <c r="AE125" s="2">
        <f t="shared" si="35"/>
        <v>0</v>
      </c>
      <c r="AF125" s="2">
        <f t="shared" si="36"/>
        <v>0</v>
      </c>
      <c r="AG125" s="2">
        <f t="shared" si="37"/>
        <v>0</v>
      </c>
      <c r="AH125" s="2">
        <f t="shared" si="38"/>
        <v>0</v>
      </c>
    </row>
    <row r="126" spans="1:34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932</v>
      </c>
      <c r="O126" s="36"/>
      <c r="P126" s="36"/>
      <c r="R126" s="2">
        <f t="shared" si="39"/>
        <v>0</v>
      </c>
      <c r="S126" s="2">
        <f t="shared" si="40"/>
        <v>0</v>
      </c>
      <c r="T126" s="2">
        <f t="shared" si="41"/>
        <v>0</v>
      </c>
      <c r="U126" s="2">
        <f t="shared" si="42"/>
        <v>0</v>
      </c>
      <c r="V126" s="2">
        <f t="shared" si="43"/>
        <v>0</v>
      </c>
      <c r="W126" s="2">
        <f t="shared" si="44"/>
        <v>0</v>
      </c>
      <c r="X126" s="2">
        <f t="shared" si="45"/>
        <v>0</v>
      </c>
      <c r="Y126" s="2">
        <f t="shared" si="46"/>
        <v>0</v>
      </c>
      <c r="Z126" s="2">
        <f t="shared" si="47"/>
        <v>0</v>
      </c>
      <c r="AA126" s="2">
        <f t="shared" si="48"/>
        <v>0</v>
      </c>
      <c r="AC126" s="2">
        <f t="shared" si="49"/>
        <v>0</v>
      </c>
      <c r="AD126" s="2">
        <f t="shared" si="50"/>
        <v>0</v>
      </c>
      <c r="AE126" s="2">
        <f t="shared" si="35"/>
        <v>0</v>
      </c>
      <c r="AF126" s="2">
        <f t="shared" si="36"/>
        <v>0</v>
      </c>
      <c r="AG126" s="2">
        <f t="shared" si="37"/>
        <v>0</v>
      </c>
      <c r="AH126" s="2">
        <f t="shared" si="38"/>
        <v>1</v>
      </c>
    </row>
    <row r="127" spans="1:34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R127" s="2">
        <f t="shared" si="39"/>
        <v>0</v>
      </c>
      <c r="S127" s="2">
        <f t="shared" si="40"/>
        <v>0</v>
      </c>
      <c r="T127" s="2">
        <f t="shared" si="41"/>
        <v>0</v>
      </c>
      <c r="U127" s="2">
        <f t="shared" si="42"/>
        <v>1</v>
      </c>
      <c r="V127" s="2">
        <f t="shared" si="43"/>
        <v>0</v>
      </c>
      <c r="W127" s="2">
        <f t="shared" si="44"/>
        <v>0</v>
      </c>
      <c r="X127" s="2">
        <f t="shared" si="45"/>
        <v>0</v>
      </c>
      <c r="Y127" s="2">
        <f t="shared" si="46"/>
        <v>0</v>
      </c>
      <c r="Z127" s="2">
        <f t="shared" si="47"/>
        <v>0</v>
      </c>
      <c r="AA127" s="2">
        <f t="shared" si="48"/>
        <v>0</v>
      </c>
      <c r="AC127" s="2">
        <f t="shared" si="49"/>
        <v>0</v>
      </c>
      <c r="AD127" s="2">
        <f t="shared" si="50"/>
        <v>0</v>
      </c>
      <c r="AE127" s="2">
        <f t="shared" si="35"/>
        <v>0</v>
      </c>
      <c r="AF127" s="2">
        <f t="shared" si="36"/>
        <v>0</v>
      </c>
      <c r="AG127" s="2">
        <f t="shared" si="37"/>
        <v>0</v>
      </c>
      <c r="AH127" s="2">
        <f t="shared" si="38"/>
        <v>1</v>
      </c>
    </row>
    <row r="128" spans="1:34" ht="14.25" customHeight="1" x14ac:dyDescent="0.25">
      <c r="A128" s="31">
        <v>0</v>
      </c>
      <c r="B128" s="31">
        <v>2</v>
      </c>
      <c r="C128" s="31">
        <v>1</v>
      </c>
      <c r="D128" s="32" t="s">
        <v>943</v>
      </c>
      <c r="E128" s="32" t="s">
        <v>944</v>
      </c>
      <c r="F128" s="32" t="s">
        <v>945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896</v>
      </c>
      <c r="O128" s="33">
        <v>1</v>
      </c>
      <c r="P128" s="33">
        <v>1</v>
      </c>
      <c r="R128" s="2">
        <f t="shared" si="39"/>
        <v>0</v>
      </c>
      <c r="S128" s="2">
        <f t="shared" si="40"/>
        <v>0</v>
      </c>
      <c r="T128" s="2">
        <f t="shared" si="41"/>
        <v>0</v>
      </c>
      <c r="U128" s="2">
        <f t="shared" si="42"/>
        <v>0</v>
      </c>
      <c r="V128" s="2">
        <f t="shared" si="43"/>
        <v>0</v>
      </c>
      <c r="W128" s="2">
        <f t="shared" si="44"/>
        <v>0</v>
      </c>
      <c r="X128" s="2">
        <f t="shared" si="45"/>
        <v>0</v>
      </c>
      <c r="Y128" s="2">
        <f t="shared" si="46"/>
        <v>0</v>
      </c>
      <c r="Z128" s="2">
        <f t="shared" si="47"/>
        <v>0</v>
      </c>
      <c r="AA128" s="2">
        <f t="shared" si="48"/>
        <v>0</v>
      </c>
      <c r="AC128" s="2">
        <f t="shared" si="49"/>
        <v>1</v>
      </c>
      <c r="AD128" s="2">
        <f t="shared" si="50"/>
        <v>0</v>
      </c>
      <c r="AE128" s="2">
        <f t="shared" si="35"/>
        <v>1</v>
      </c>
      <c r="AF128" s="2">
        <f t="shared" si="36"/>
        <v>0</v>
      </c>
      <c r="AG128" s="2">
        <f t="shared" si="37"/>
        <v>1</v>
      </c>
      <c r="AH128" s="2">
        <f t="shared" si="38"/>
        <v>0</v>
      </c>
    </row>
    <row r="129" spans="1:34" ht="14.25" customHeight="1" x14ac:dyDescent="0.25">
      <c r="A129" s="31">
        <v>0</v>
      </c>
      <c r="B129" s="31">
        <v>2</v>
      </c>
      <c r="C129" s="31">
        <v>1</v>
      </c>
      <c r="D129" s="32" t="s">
        <v>917</v>
      </c>
      <c r="E129" s="32" t="s">
        <v>35</v>
      </c>
      <c r="F129" s="32" t="s">
        <v>918</v>
      </c>
      <c r="G129" s="32"/>
      <c r="H129" s="32" t="s">
        <v>165</v>
      </c>
      <c r="I129" s="31" t="s">
        <v>919</v>
      </c>
      <c r="J129" s="31">
        <v>99</v>
      </c>
      <c r="K129" s="31" t="s">
        <v>378</v>
      </c>
      <c r="L129" s="31"/>
      <c r="M129" s="32"/>
      <c r="N129" s="32" t="s">
        <v>896</v>
      </c>
      <c r="O129" s="33">
        <v>1</v>
      </c>
      <c r="P129" s="33">
        <v>1</v>
      </c>
      <c r="R129" s="2">
        <f t="shared" si="39"/>
        <v>0</v>
      </c>
      <c r="S129" s="2">
        <f t="shared" si="40"/>
        <v>0</v>
      </c>
      <c r="T129" s="2">
        <f t="shared" si="41"/>
        <v>0</v>
      </c>
      <c r="U129" s="2">
        <f t="shared" si="42"/>
        <v>0</v>
      </c>
      <c r="V129" s="2">
        <f t="shared" si="43"/>
        <v>0</v>
      </c>
      <c r="W129" s="2">
        <f t="shared" si="44"/>
        <v>0</v>
      </c>
      <c r="X129" s="2">
        <f t="shared" si="45"/>
        <v>0</v>
      </c>
      <c r="Y129" s="2">
        <f t="shared" si="46"/>
        <v>0</v>
      </c>
      <c r="Z129" s="2">
        <f t="shared" si="47"/>
        <v>0</v>
      </c>
      <c r="AA129" s="2">
        <f t="shared" si="48"/>
        <v>0</v>
      </c>
      <c r="AC129" s="2">
        <f t="shared" si="49"/>
        <v>1</v>
      </c>
      <c r="AD129" s="2">
        <f t="shared" si="50"/>
        <v>0</v>
      </c>
      <c r="AE129" s="2">
        <f t="shared" si="35"/>
        <v>1</v>
      </c>
      <c r="AF129" s="2">
        <f t="shared" si="36"/>
        <v>0</v>
      </c>
      <c r="AG129" s="2">
        <f t="shared" si="37"/>
        <v>1</v>
      </c>
      <c r="AH129" s="2">
        <f t="shared" si="38"/>
        <v>0</v>
      </c>
    </row>
    <row r="130" spans="1:34" ht="14.25" customHeight="1" x14ac:dyDescent="0.25">
      <c r="A130" s="28">
        <v>0</v>
      </c>
      <c r="B130" s="28">
        <v>2</v>
      </c>
      <c r="C130" s="28">
        <v>1</v>
      </c>
      <c r="D130" s="29" t="s">
        <v>552</v>
      </c>
      <c r="E130" s="29" t="s">
        <v>211</v>
      </c>
      <c r="F130" s="29" t="s">
        <v>553</v>
      </c>
      <c r="G130" s="29" t="s">
        <v>554</v>
      </c>
      <c r="H130" s="29" t="s">
        <v>165</v>
      </c>
      <c r="I130" s="28" t="s">
        <v>33</v>
      </c>
      <c r="J130" s="28">
        <v>99</v>
      </c>
      <c r="K130" s="28" t="s">
        <v>321</v>
      </c>
      <c r="L130" s="28">
        <v>8</v>
      </c>
      <c r="M130" s="29" t="s">
        <v>865</v>
      </c>
      <c r="N130" s="29"/>
      <c r="O130" s="30"/>
      <c r="P130" s="30">
        <v>1</v>
      </c>
      <c r="R130" s="2">
        <f t="shared" si="39"/>
        <v>0</v>
      </c>
      <c r="S130" s="2">
        <f t="shared" si="40"/>
        <v>0</v>
      </c>
      <c r="T130" s="2">
        <f t="shared" si="41"/>
        <v>0</v>
      </c>
      <c r="U130" s="2">
        <f t="shared" si="42"/>
        <v>0</v>
      </c>
      <c r="V130" s="2">
        <f t="shared" si="43"/>
        <v>0</v>
      </c>
      <c r="W130" s="2">
        <f t="shared" si="44"/>
        <v>0</v>
      </c>
      <c r="X130" s="2">
        <f t="shared" si="45"/>
        <v>0</v>
      </c>
      <c r="Y130" s="2">
        <f t="shared" si="46"/>
        <v>0</v>
      </c>
      <c r="Z130" s="2">
        <f t="shared" si="47"/>
        <v>0</v>
      </c>
      <c r="AA130" s="2">
        <f t="shared" si="48"/>
        <v>0</v>
      </c>
      <c r="AC130" s="2">
        <f t="shared" si="49"/>
        <v>0</v>
      </c>
      <c r="AD130" s="2">
        <f t="shared" si="50"/>
        <v>0</v>
      </c>
      <c r="AE130" s="2">
        <f t="shared" si="35"/>
        <v>0</v>
      </c>
      <c r="AF130" s="2">
        <f t="shared" si="36"/>
        <v>0</v>
      </c>
      <c r="AG130" s="2">
        <f t="shared" si="37"/>
        <v>1</v>
      </c>
      <c r="AH130" s="2">
        <f t="shared" si="38"/>
        <v>0</v>
      </c>
    </row>
    <row r="131" spans="1:34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825</v>
      </c>
      <c r="G131" s="29" t="s">
        <v>130</v>
      </c>
      <c r="H131" s="29" t="s">
        <v>165</v>
      </c>
      <c r="I131" s="28" t="s">
        <v>226</v>
      </c>
      <c r="J131" s="28">
        <v>10</v>
      </c>
      <c r="K131" s="28" t="s">
        <v>321</v>
      </c>
      <c r="L131" s="28">
        <v>5</v>
      </c>
      <c r="M131" s="29" t="s">
        <v>269</v>
      </c>
      <c r="N131" s="29"/>
      <c r="O131" s="30"/>
      <c r="P131" s="30">
        <v>1</v>
      </c>
      <c r="R131" s="2">
        <f t="shared" si="39"/>
        <v>0</v>
      </c>
      <c r="S131" s="2">
        <f t="shared" si="40"/>
        <v>0</v>
      </c>
      <c r="T131" s="2">
        <f t="shared" si="41"/>
        <v>0</v>
      </c>
      <c r="U131" s="2">
        <f t="shared" si="42"/>
        <v>0</v>
      </c>
      <c r="V131" s="2">
        <f t="shared" si="43"/>
        <v>0</v>
      </c>
      <c r="W131" s="2">
        <f t="shared" si="44"/>
        <v>0</v>
      </c>
      <c r="X131" s="2">
        <f t="shared" si="45"/>
        <v>0</v>
      </c>
      <c r="Y131" s="2">
        <f t="shared" si="46"/>
        <v>0</v>
      </c>
      <c r="Z131" s="2">
        <f t="shared" si="47"/>
        <v>0</v>
      </c>
      <c r="AA131" s="2">
        <f t="shared" si="48"/>
        <v>1</v>
      </c>
      <c r="AC131" s="2">
        <f t="shared" si="49"/>
        <v>0</v>
      </c>
      <c r="AD131" s="2">
        <f t="shared" si="50"/>
        <v>0</v>
      </c>
      <c r="AE131" s="2">
        <f t="shared" si="35"/>
        <v>0</v>
      </c>
      <c r="AF131" s="2">
        <f t="shared" si="36"/>
        <v>0</v>
      </c>
      <c r="AG131" s="2">
        <f t="shared" si="37"/>
        <v>1</v>
      </c>
      <c r="AH131" s="2">
        <f t="shared" si="38"/>
        <v>0</v>
      </c>
    </row>
    <row r="132" spans="1:34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1" t="s">
        <v>488</v>
      </c>
      <c r="J132" s="31">
        <v>9</v>
      </c>
      <c r="K132" s="31" t="s">
        <v>320</v>
      </c>
      <c r="L132" s="31">
        <v>11</v>
      </c>
      <c r="M132" s="32" t="s">
        <v>870</v>
      </c>
      <c r="N132" s="32" t="s">
        <v>902</v>
      </c>
      <c r="O132" s="33">
        <v>1</v>
      </c>
      <c r="P132" s="33"/>
      <c r="R132" s="2">
        <f t="shared" si="39"/>
        <v>0</v>
      </c>
      <c r="S132" s="2">
        <f t="shared" si="40"/>
        <v>0</v>
      </c>
      <c r="T132" s="2">
        <f t="shared" si="41"/>
        <v>0</v>
      </c>
      <c r="U132" s="2">
        <f t="shared" si="42"/>
        <v>0</v>
      </c>
      <c r="V132" s="2">
        <f t="shared" si="43"/>
        <v>0</v>
      </c>
      <c r="W132" s="2">
        <f t="shared" si="44"/>
        <v>0</v>
      </c>
      <c r="X132" s="2">
        <f t="shared" si="45"/>
        <v>0</v>
      </c>
      <c r="Y132" s="2">
        <f t="shared" si="46"/>
        <v>0</v>
      </c>
      <c r="Z132" s="2">
        <f t="shared" si="47"/>
        <v>1</v>
      </c>
      <c r="AA132" s="2">
        <f t="shared" si="48"/>
        <v>0</v>
      </c>
      <c r="AC132" s="2">
        <f t="shared" si="49"/>
        <v>0</v>
      </c>
      <c r="AD132" s="2">
        <f t="shared" si="50"/>
        <v>1</v>
      </c>
      <c r="AE132" s="2">
        <f t="shared" si="35"/>
        <v>0</v>
      </c>
      <c r="AF132" s="2">
        <f t="shared" si="36"/>
        <v>1</v>
      </c>
      <c r="AG132" s="2">
        <f t="shared" si="37"/>
        <v>0</v>
      </c>
      <c r="AH132" s="2">
        <f t="shared" si="38"/>
        <v>1</v>
      </c>
    </row>
    <row r="133" spans="1:34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1" t="s">
        <v>556</v>
      </c>
      <c r="J133" s="31">
        <v>99</v>
      </c>
      <c r="K133" s="31" t="s">
        <v>320</v>
      </c>
      <c r="L133" s="31">
        <v>11</v>
      </c>
      <c r="M133" s="32" t="s">
        <v>871</v>
      </c>
      <c r="N133" s="32" t="s">
        <v>902</v>
      </c>
      <c r="O133" s="33">
        <v>1</v>
      </c>
      <c r="P133" s="33"/>
      <c r="R133" s="2">
        <f t="shared" si="39"/>
        <v>0</v>
      </c>
      <c r="S133" s="2">
        <f t="shared" si="40"/>
        <v>0</v>
      </c>
      <c r="T133" s="2">
        <f t="shared" si="41"/>
        <v>0</v>
      </c>
      <c r="U133" s="2">
        <f t="shared" si="42"/>
        <v>0</v>
      </c>
      <c r="V133" s="2">
        <f t="shared" si="43"/>
        <v>0</v>
      </c>
      <c r="W133" s="2">
        <f t="shared" si="44"/>
        <v>0</v>
      </c>
      <c r="X133" s="2">
        <f t="shared" si="45"/>
        <v>0</v>
      </c>
      <c r="Y133" s="2">
        <f t="shared" si="46"/>
        <v>0</v>
      </c>
      <c r="Z133" s="2">
        <f t="shared" si="47"/>
        <v>0</v>
      </c>
      <c r="AA133" s="2">
        <f t="shared" si="48"/>
        <v>0</v>
      </c>
      <c r="AC133" s="2">
        <f t="shared" si="49"/>
        <v>0</v>
      </c>
      <c r="AD133" s="2">
        <f t="shared" si="50"/>
        <v>1</v>
      </c>
      <c r="AE133" s="2">
        <f t="shared" si="35"/>
        <v>0</v>
      </c>
      <c r="AF133" s="2">
        <f t="shared" si="36"/>
        <v>0</v>
      </c>
      <c r="AG133" s="2">
        <f t="shared" si="37"/>
        <v>0</v>
      </c>
      <c r="AH133" s="2">
        <f t="shared" si="38"/>
        <v>0</v>
      </c>
    </row>
    <row r="134" spans="1:34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896</v>
      </c>
      <c r="O134" s="33">
        <v>1</v>
      </c>
      <c r="P134" s="33">
        <v>1</v>
      </c>
      <c r="R134" s="2">
        <f t="shared" si="39"/>
        <v>0</v>
      </c>
      <c r="S134" s="2">
        <f t="shared" si="40"/>
        <v>0</v>
      </c>
      <c r="T134" s="2">
        <f t="shared" si="41"/>
        <v>0</v>
      </c>
      <c r="U134" s="2">
        <f t="shared" si="42"/>
        <v>0</v>
      </c>
      <c r="V134" s="2">
        <f t="shared" si="43"/>
        <v>0</v>
      </c>
      <c r="W134" s="2">
        <f t="shared" si="44"/>
        <v>0</v>
      </c>
      <c r="X134" s="2">
        <f t="shared" si="45"/>
        <v>0</v>
      </c>
      <c r="Y134" s="2">
        <f t="shared" si="46"/>
        <v>1</v>
      </c>
      <c r="Z134" s="2">
        <f t="shared" si="47"/>
        <v>0</v>
      </c>
      <c r="AA134" s="2">
        <f t="shared" si="48"/>
        <v>0</v>
      </c>
      <c r="AC134" s="2">
        <f t="shared" si="49"/>
        <v>1</v>
      </c>
      <c r="AD134" s="2">
        <f t="shared" si="50"/>
        <v>0</v>
      </c>
      <c r="AE134" s="2">
        <f t="shared" si="35"/>
        <v>1</v>
      </c>
      <c r="AF134" s="2">
        <f t="shared" si="36"/>
        <v>0</v>
      </c>
      <c r="AG134" s="2">
        <f t="shared" si="37"/>
        <v>1</v>
      </c>
      <c r="AH134" s="2">
        <f t="shared" si="38"/>
        <v>0</v>
      </c>
    </row>
    <row r="135" spans="1:34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497</v>
      </c>
      <c r="N135" s="32" t="s">
        <v>896</v>
      </c>
      <c r="O135" s="33">
        <v>1</v>
      </c>
      <c r="P135" s="33">
        <v>1</v>
      </c>
      <c r="R135" s="2">
        <f t="shared" si="39"/>
        <v>1</v>
      </c>
      <c r="S135" s="2">
        <f t="shared" si="40"/>
        <v>0</v>
      </c>
      <c r="T135" s="2">
        <f t="shared" si="41"/>
        <v>0</v>
      </c>
      <c r="U135" s="2">
        <f t="shared" si="42"/>
        <v>0</v>
      </c>
      <c r="V135" s="2">
        <f t="shared" si="43"/>
        <v>0</v>
      </c>
      <c r="W135" s="2">
        <f t="shared" si="44"/>
        <v>0</v>
      </c>
      <c r="X135" s="2">
        <f t="shared" si="45"/>
        <v>0</v>
      </c>
      <c r="Y135" s="2">
        <f t="shared" si="46"/>
        <v>0</v>
      </c>
      <c r="Z135" s="2">
        <f t="shared" si="47"/>
        <v>0</v>
      </c>
      <c r="AA135" s="2">
        <f t="shared" si="48"/>
        <v>0</v>
      </c>
      <c r="AC135" s="2">
        <f t="shared" si="49"/>
        <v>1</v>
      </c>
      <c r="AD135" s="2">
        <f t="shared" si="50"/>
        <v>0</v>
      </c>
      <c r="AE135" s="2">
        <f t="shared" si="35"/>
        <v>1</v>
      </c>
      <c r="AF135" s="2">
        <f t="shared" si="36"/>
        <v>0</v>
      </c>
      <c r="AG135" s="2">
        <f t="shared" si="37"/>
        <v>1</v>
      </c>
      <c r="AH135" s="2">
        <f t="shared" si="38"/>
        <v>0</v>
      </c>
    </row>
    <row r="136" spans="1:34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497</v>
      </c>
      <c r="N136" s="32" t="s">
        <v>896</v>
      </c>
      <c r="O136" s="33">
        <v>1</v>
      </c>
      <c r="P136" s="33">
        <v>1</v>
      </c>
      <c r="R136" s="2">
        <f t="shared" si="39"/>
        <v>0</v>
      </c>
      <c r="S136" s="2">
        <f t="shared" si="40"/>
        <v>0</v>
      </c>
      <c r="T136" s="2">
        <f t="shared" si="41"/>
        <v>1</v>
      </c>
      <c r="U136" s="2">
        <f t="shared" si="42"/>
        <v>0</v>
      </c>
      <c r="V136" s="2">
        <f t="shared" si="43"/>
        <v>0</v>
      </c>
      <c r="W136" s="2">
        <f t="shared" si="44"/>
        <v>0</v>
      </c>
      <c r="X136" s="2">
        <f t="shared" si="45"/>
        <v>0</v>
      </c>
      <c r="Y136" s="2">
        <f t="shared" si="46"/>
        <v>0</v>
      </c>
      <c r="Z136" s="2">
        <f t="shared" si="47"/>
        <v>0</v>
      </c>
      <c r="AA136" s="2">
        <f t="shared" si="48"/>
        <v>0</v>
      </c>
      <c r="AC136" s="2">
        <f t="shared" si="49"/>
        <v>1</v>
      </c>
      <c r="AD136" s="2">
        <f t="shared" si="50"/>
        <v>0</v>
      </c>
      <c r="AE136" s="2">
        <f t="shared" si="35"/>
        <v>1</v>
      </c>
      <c r="AF136" s="2">
        <f t="shared" si="36"/>
        <v>0</v>
      </c>
      <c r="AG136" s="2">
        <f t="shared" si="37"/>
        <v>1</v>
      </c>
      <c r="AH136" s="2">
        <f t="shared" si="38"/>
        <v>0</v>
      </c>
    </row>
    <row r="137" spans="1:34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830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916</v>
      </c>
      <c r="O137" s="33">
        <v>1</v>
      </c>
      <c r="P137" s="33"/>
      <c r="R137" s="2">
        <f t="shared" si="39"/>
        <v>0</v>
      </c>
      <c r="S137" s="2">
        <f t="shared" si="40"/>
        <v>0</v>
      </c>
      <c r="T137" s="2">
        <f t="shared" si="41"/>
        <v>0</v>
      </c>
      <c r="U137" s="2">
        <f t="shared" si="42"/>
        <v>0</v>
      </c>
      <c r="V137" s="2">
        <f t="shared" si="43"/>
        <v>0</v>
      </c>
      <c r="W137" s="2">
        <f t="shared" si="44"/>
        <v>0</v>
      </c>
      <c r="X137" s="2">
        <f t="shared" si="45"/>
        <v>0</v>
      </c>
      <c r="Y137" s="2">
        <f t="shared" si="46"/>
        <v>1</v>
      </c>
      <c r="Z137" s="2">
        <f t="shared" si="47"/>
        <v>0</v>
      </c>
      <c r="AA137" s="2">
        <f t="shared" si="48"/>
        <v>0</v>
      </c>
      <c r="AC137" s="2">
        <f t="shared" si="49"/>
        <v>0</v>
      </c>
      <c r="AD137" s="2">
        <f t="shared" si="50"/>
        <v>1</v>
      </c>
      <c r="AE137" s="2">
        <f t="shared" si="35"/>
        <v>0</v>
      </c>
      <c r="AF137" s="2">
        <f t="shared" si="36"/>
        <v>1</v>
      </c>
      <c r="AG137" s="2">
        <f t="shared" si="37"/>
        <v>0</v>
      </c>
      <c r="AH137" s="2">
        <f t="shared" si="38"/>
        <v>1</v>
      </c>
    </row>
    <row r="138" spans="1:34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492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916</v>
      </c>
      <c r="O138" s="33">
        <v>1</v>
      </c>
      <c r="P138" s="33"/>
      <c r="R138" s="2">
        <f t="shared" si="39"/>
        <v>0</v>
      </c>
      <c r="S138" s="2">
        <f t="shared" si="40"/>
        <v>0</v>
      </c>
      <c r="T138" s="2">
        <f t="shared" si="41"/>
        <v>1</v>
      </c>
      <c r="U138" s="2">
        <f t="shared" si="42"/>
        <v>0</v>
      </c>
      <c r="V138" s="2">
        <f t="shared" si="43"/>
        <v>0</v>
      </c>
      <c r="W138" s="2">
        <f t="shared" si="44"/>
        <v>0</v>
      </c>
      <c r="X138" s="2">
        <f t="shared" si="45"/>
        <v>0</v>
      </c>
      <c r="Y138" s="2">
        <f t="shared" si="46"/>
        <v>0</v>
      </c>
      <c r="Z138" s="2">
        <f t="shared" si="47"/>
        <v>0</v>
      </c>
      <c r="AA138" s="2">
        <f t="shared" si="48"/>
        <v>0</v>
      </c>
      <c r="AC138" s="2">
        <f t="shared" si="49"/>
        <v>0</v>
      </c>
      <c r="AD138" s="2">
        <f t="shared" si="50"/>
        <v>1</v>
      </c>
      <c r="AE138" s="2">
        <f t="shared" si="35"/>
        <v>0</v>
      </c>
      <c r="AF138" s="2">
        <f t="shared" si="36"/>
        <v>0</v>
      </c>
      <c r="AG138" s="2">
        <f t="shared" si="37"/>
        <v>0</v>
      </c>
      <c r="AH138" s="2">
        <f t="shared" si="38"/>
        <v>0</v>
      </c>
    </row>
    <row r="139" spans="1:34" ht="14.25" customHeight="1" x14ac:dyDescent="0.25">
      <c r="A139" s="31">
        <v>0</v>
      </c>
      <c r="B139" s="31">
        <v>2</v>
      </c>
      <c r="C139" s="31">
        <v>1</v>
      </c>
      <c r="D139" s="32" t="s">
        <v>924</v>
      </c>
      <c r="E139" s="32" t="s">
        <v>35</v>
      </c>
      <c r="F139" s="32" t="s">
        <v>925</v>
      </c>
      <c r="G139" s="32" t="s">
        <v>132</v>
      </c>
      <c r="H139" s="32" t="s">
        <v>165</v>
      </c>
      <c r="I139" s="31" t="s">
        <v>926</v>
      </c>
      <c r="J139" s="31">
        <v>99</v>
      </c>
      <c r="K139" s="31" t="s">
        <v>378</v>
      </c>
      <c r="L139" s="31"/>
      <c r="M139" s="32"/>
      <c r="N139" s="32" t="s">
        <v>896</v>
      </c>
      <c r="O139" s="33">
        <v>1</v>
      </c>
      <c r="P139" s="33">
        <v>1</v>
      </c>
      <c r="R139" s="2">
        <f t="shared" si="39"/>
        <v>0</v>
      </c>
      <c r="S139" s="2">
        <f t="shared" si="40"/>
        <v>0</v>
      </c>
      <c r="T139" s="2">
        <f t="shared" si="41"/>
        <v>0</v>
      </c>
      <c r="U139" s="2">
        <f t="shared" si="42"/>
        <v>0</v>
      </c>
      <c r="V139" s="2">
        <f t="shared" si="43"/>
        <v>0</v>
      </c>
      <c r="W139" s="2">
        <f t="shared" si="44"/>
        <v>0</v>
      </c>
      <c r="X139" s="2">
        <f t="shared" si="45"/>
        <v>0</v>
      </c>
      <c r="Y139" s="2">
        <f t="shared" si="46"/>
        <v>0</v>
      </c>
      <c r="Z139" s="2">
        <f t="shared" si="47"/>
        <v>0</v>
      </c>
      <c r="AA139" s="2">
        <f t="shared" si="48"/>
        <v>0</v>
      </c>
      <c r="AC139" s="2">
        <f t="shared" si="49"/>
        <v>1</v>
      </c>
      <c r="AD139" s="2">
        <f t="shared" si="50"/>
        <v>0</v>
      </c>
      <c r="AE139" s="2">
        <f t="shared" si="35"/>
        <v>1</v>
      </c>
      <c r="AF139" s="2">
        <f t="shared" si="36"/>
        <v>0</v>
      </c>
      <c r="AG139" s="2">
        <f t="shared" si="37"/>
        <v>1</v>
      </c>
      <c r="AH139" s="2">
        <f t="shared" si="38"/>
        <v>0</v>
      </c>
    </row>
    <row r="140" spans="1:34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1" t="s">
        <v>459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896</v>
      </c>
      <c r="O140" s="33">
        <v>1</v>
      </c>
      <c r="P140" s="33">
        <v>1</v>
      </c>
      <c r="R140" s="2">
        <f t="shared" si="39"/>
        <v>0</v>
      </c>
      <c r="S140" s="2">
        <f t="shared" si="40"/>
        <v>0</v>
      </c>
      <c r="T140" s="2">
        <f t="shared" si="41"/>
        <v>0</v>
      </c>
      <c r="U140" s="2">
        <f t="shared" si="42"/>
        <v>0</v>
      </c>
      <c r="V140" s="2">
        <f t="shared" si="43"/>
        <v>0</v>
      </c>
      <c r="W140" s="2">
        <f t="shared" si="44"/>
        <v>0</v>
      </c>
      <c r="X140" s="2">
        <f t="shared" si="45"/>
        <v>0</v>
      </c>
      <c r="Y140" s="2">
        <f t="shared" si="46"/>
        <v>0</v>
      </c>
      <c r="Z140" s="2">
        <f t="shared" si="47"/>
        <v>0</v>
      </c>
      <c r="AA140" s="2">
        <f t="shared" si="48"/>
        <v>0</v>
      </c>
      <c r="AC140" s="2">
        <f t="shared" si="49"/>
        <v>1</v>
      </c>
      <c r="AD140" s="2">
        <f t="shared" si="50"/>
        <v>0</v>
      </c>
      <c r="AE140" s="2">
        <f t="shared" si="35"/>
        <v>1</v>
      </c>
      <c r="AF140" s="2">
        <f t="shared" si="36"/>
        <v>0</v>
      </c>
      <c r="AG140" s="2">
        <f t="shared" si="37"/>
        <v>1</v>
      </c>
      <c r="AH140" s="2">
        <f t="shared" si="38"/>
        <v>0</v>
      </c>
    </row>
    <row r="141" spans="1:34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833</v>
      </c>
      <c r="G141" s="32" t="s">
        <v>519</v>
      </c>
      <c r="H141" s="32" t="s">
        <v>165</v>
      </c>
      <c r="I141" s="31" t="s">
        <v>561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902</v>
      </c>
      <c r="O141" s="33">
        <v>1</v>
      </c>
      <c r="P141" s="33"/>
      <c r="R141" s="2">
        <f t="shared" si="39"/>
        <v>0</v>
      </c>
      <c r="S141" s="2">
        <f t="shared" si="40"/>
        <v>0</v>
      </c>
      <c r="T141" s="2">
        <f t="shared" si="41"/>
        <v>0</v>
      </c>
      <c r="U141" s="2">
        <f t="shared" si="42"/>
        <v>0</v>
      </c>
      <c r="V141" s="2">
        <f t="shared" si="43"/>
        <v>0</v>
      </c>
      <c r="W141" s="2">
        <f t="shared" si="44"/>
        <v>0</v>
      </c>
      <c r="X141" s="2">
        <f t="shared" si="45"/>
        <v>0</v>
      </c>
      <c r="Y141" s="2">
        <f t="shared" si="46"/>
        <v>0</v>
      </c>
      <c r="Z141" s="2">
        <f t="shared" si="47"/>
        <v>0</v>
      </c>
      <c r="AA141" s="2">
        <f t="shared" si="48"/>
        <v>0</v>
      </c>
      <c r="AC141" s="2">
        <f t="shared" si="49"/>
        <v>0</v>
      </c>
      <c r="AD141" s="2">
        <f t="shared" si="50"/>
        <v>1</v>
      </c>
      <c r="AE141" s="2">
        <f t="shared" ref="AE141:AE204" si="51">+O141*P141*(1-A141)</f>
        <v>0</v>
      </c>
      <c r="AF141" s="2">
        <f t="shared" ref="AF141:AF204" si="52">O141*(1-P141)*(1-A141)</f>
        <v>1</v>
      </c>
      <c r="AG141" s="2">
        <f t="shared" ref="AG141:AG204" si="53">+P141*(1-A141)</f>
        <v>0</v>
      </c>
      <c r="AH141" s="2">
        <f t="shared" ref="AH141:AH204" si="54">+(1-A141)*(1-P141)</f>
        <v>1</v>
      </c>
    </row>
    <row r="142" spans="1:34" ht="14.25" customHeight="1" x14ac:dyDescent="0.25">
      <c r="A142" s="20">
        <v>0</v>
      </c>
      <c r="B142" s="20">
        <v>2</v>
      </c>
      <c r="C142" s="20">
        <v>1</v>
      </c>
      <c r="D142" s="21" t="s">
        <v>392</v>
      </c>
      <c r="E142" s="21" t="s">
        <v>37</v>
      </c>
      <c r="F142" s="21" t="s">
        <v>483</v>
      </c>
      <c r="G142" s="21" t="s">
        <v>130</v>
      </c>
      <c r="H142" s="21" t="s">
        <v>165</v>
      </c>
      <c r="I142" s="20" t="s">
        <v>393</v>
      </c>
      <c r="J142" s="20">
        <v>10</v>
      </c>
      <c r="K142" s="20" t="s">
        <v>319</v>
      </c>
      <c r="L142" s="20">
        <v>5</v>
      </c>
      <c r="M142" s="21" t="s">
        <v>269</v>
      </c>
      <c r="N142" s="21"/>
      <c r="O142" s="7"/>
      <c r="P142" s="7"/>
      <c r="R142" s="2">
        <f t="shared" si="39"/>
        <v>0</v>
      </c>
      <c r="S142" s="2">
        <f t="shared" si="40"/>
        <v>0</v>
      </c>
      <c r="T142" s="2">
        <f t="shared" si="41"/>
        <v>0</v>
      </c>
      <c r="U142" s="2">
        <f t="shared" si="42"/>
        <v>0</v>
      </c>
      <c r="V142" s="2">
        <f t="shared" si="43"/>
        <v>0</v>
      </c>
      <c r="W142" s="2">
        <f t="shared" si="44"/>
        <v>0</v>
      </c>
      <c r="X142" s="2">
        <f t="shared" si="45"/>
        <v>0</v>
      </c>
      <c r="Y142" s="2">
        <f t="shared" si="46"/>
        <v>0</v>
      </c>
      <c r="Z142" s="2">
        <f t="shared" si="47"/>
        <v>0</v>
      </c>
      <c r="AA142" s="2">
        <f t="shared" si="48"/>
        <v>1</v>
      </c>
      <c r="AC142" s="2">
        <f t="shared" si="49"/>
        <v>0</v>
      </c>
      <c r="AD142" s="2">
        <f t="shared" si="50"/>
        <v>0</v>
      </c>
      <c r="AE142" s="2">
        <f t="shared" si="51"/>
        <v>0</v>
      </c>
      <c r="AF142" s="2">
        <f t="shared" si="52"/>
        <v>0</v>
      </c>
      <c r="AG142" s="2">
        <f t="shared" si="53"/>
        <v>0</v>
      </c>
      <c r="AH142" s="2">
        <f t="shared" si="54"/>
        <v>1</v>
      </c>
    </row>
    <row r="143" spans="1:34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902</v>
      </c>
      <c r="O143" s="33">
        <v>1</v>
      </c>
      <c r="P143" s="33"/>
      <c r="R143" s="2">
        <f t="shared" si="39"/>
        <v>0</v>
      </c>
      <c r="S143" s="2">
        <f t="shared" si="40"/>
        <v>0</v>
      </c>
      <c r="T143" s="2">
        <f t="shared" si="41"/>
        <v>0</v>
      </c>
      <c r="U143" s="2">
        <f t="shared" si="42"/>
        <v>0</v>
      </c>
      <c r="V143" s="2">
        <f t="shared" si="43"/>
        <v>0</v>
      </c>
      <c r="W143" s="2">
        <f t="shared" si="44"/>
        <v>0</v>
      </c>
      <c r="X143" s="2">
        <f t="shared" si="45"/>
        <v>0</v>
      </c>
      <c r="Y143" s="2">
        <f t="shared" si="46"/>
        <v>0</v>
      </c>
      <c r="Z143" s="2">
        <f t="shared" si="47"/>
        <v>0</v>
      </c>
      <c r="AA143" s="2">
        <f t="shared" si="48"/>
        <v>0</v>
      </c>
      <c r="AC143" s="2">
        <f t="shared" si="49"/>
        <v>0</v>
      </c>
      <c r="AD143" s="2">
        <f t="shared" si="50"/>
        <v>1</v>
      </c>
      <c r="AE143" s="2">
        <f t="shared" si="51"/>
        <v>0</v>
      </c>
      <c r="AF143" s="2">
        <f t="shared" si="52"/>
        <v>1</v>
      </c>
      <c r="AG143" s="2">
        <f t="shared" si="53"/>
        <v>0</v>
      </c>
      <c r="AH143" s="2">
        <f t="shared" si="54"/>
        <v>1</v>
      </c>
    </row>
    <row r="144" spans="1:34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0" t="s">
        <v>726</v>
      </c>
      <c r="J144" s="20">
        <v>3</v>
      </c>
      <c r="K144" s="20" t="s">
        <v>319</v>
      </c>
      <c r="L144" s="20">
        <v>35</v>
      </c>
      <c r="M144" s="21" t="s">
        <v>886</v>
      </c>
      <c r="N144" s="21"/>
      <c r="O144" s="7"/>
      <c r="P144" s="7"/>
      <c r="R144" s="2">
        <f t="shared" si="39"/>
        <v>0</v>
      </c>
      <c r="S144" s="2">
        <f t="shared" si="40"/>
        <v>0</v>
      </c>
      <c r="T144" s="2">
        <f t="shared" si="41"/>
        <v>1</v>
      </c>
      <c r="U144" s="2">
        <f t="shared" si="42"/>
        <v>0</v>
      </c>
      <c r="V144" s="2">
        <f t="shared" si="43"/>
        <v>0</v>
      </c>
      <c r="W144" s="2">
        <f t="shared" si="44"/>
        <v>0</v>
      </c>
      <c r="X144" s="2">
        <f t="shared" si="45"/>
        <v>0</v>
      </c>
      <c r="Y144" s="2">
        <f t="shared" si="46"/>
        <v>0</v>
      </c>
      <c r="Z144" s="2">
        <f t="shared" si="47"/>
        <v>0</v>
      </c>
      <c r="AA144" s="2">
        <f t="shared" si="48"/>
        <v>0</v>
      </c>
      <c r="AC144" s="2">
        <f t="shared" si="49"/>
        <v>0</v>
      </c>
      <c r="AD144" s="2">
        <f t="shared" si="50"/>
        <v>0</v>
      </c>
      <c r="AE144" s="2">
        <f t="shared" si="51"/>
        <v>0</v>
      </c>
      <c r="AF144" s="2">
        <f t="shared" si="52"/>
        <v>0</v>
      </c>
      <c r="AG144" s="2">
        <f t="shared" si="53"/>
        <v>0</v>
      </c>
      <c r="AH144" s="2">
        <f t="shared" si="54"/>
        <v>1</v>
      </c>
    </row>
    <row r="145" spans="1:34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1" t="s">
        <v>505</v>
      </c>
      <c r="J145" s="31">
        <v>1</v>
      </c>
      <c r="K145" s="31" t="s">
        <v>318</v>
      </c>
      <c r="L145" s="31">
        <v>45</v>
      </c>
      <c r="M145" s="32" t="s">
        <v>887</v>
      </c>
      <c r="N145" s="32" t="s">
        <v>902</v>
      </c>
      <c r="O145" s="33">
        <v>1</v>
      </c>
      <c r="P145" s="33"/>
      <c r="R145" s="2">
        <f t="shared" ref="R145:R208" si="55">IF(J145=$R$7,1,0)</f>
        <v>1</v>
      </c>
      <c r="S145" s="2">
        <f t="shared" ref="S145:S208" si="56">IF(J145=$S$7,1,0)</f>
        <v>0</v>
      </c>
      <c r="T145" s="2">
        <f t="shared" ref="T145:T208" si="57">IF(J145=$T$7,1,0)</f>
        <v>0</v>
      </c>
      <c r="U145" s="2">
        <f t="shared" ref="U145:U208" si="58">IF(J145=$U$7,1,0)</f>
        <v>0</v>
      </c>
      <c r="V145" s="2">
        <f t="shared" ref="V145:V208" si="59">IF(J145=$V$7,1,0)</f>
        <v>0</v>
      </c>
      <c r="W145" s="2">
        <f t="shared" ref="W145:W208" si="60">IF(J145=$W$7,1,0)</f>
        <v>0</v>
      </c>
      <c r="X145" s="2">
        <f t="shared" ref="X145:X208" si="61">IF(J145=$X$7,1,0)</f>
        <v>0</v>
      </c>
      <c r="Y145" s="2">
        <f t="shared" ref="Y145:Y208" si="62">IF(J145=$Y$7,1,0)</f>
        <v>0</v>
      </c>
      <c r="Z145" s="2">
        <f t="shared" ref="Z145:Z208" si="63">IF(J145=$Z$7,1,0)</f>
        <v>0</v>
      </c>
      <c r="AA145" s="2">
        <f t="shared" ref="AA145:AA208" si="64">IF(J145=$AA$7,1,0)</f>
        <v>0</v>
      </c>
      <c r="AC145" s="2">
        <f t="shared" ref="AC145:AC208" si="65">+O145*P145</f>
        <v>0</v>
      </c>
      <c r="AD145" s="2">
        <f t="shared" ref="AD145:AD208" si="66">O145*(1-P145)</f>
        <v>1</v>
      </c>
      <c r="AE145" s="2">
        <f t="shared" si="51"/>
        <v>0</v>
      </c>
      <c r="AF145" s="2">
        <f t="shared" si="52"/>
        <v>1</v>
      </c>
      <c r="AG145" s="2">
        <f t="shared" si="53"/>
        <v>0</v>
      </c>
      <c r="AH145" s="2">
        <f t="shared" si="54"/>
        <v>1</v>
      </c>
    </row>
    <row r="146" spans="1:34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800</v>
      </c>
      <c r="N146" s="35" t="s">
        <v>932</v>
      </c>
      <c r="O146" s="36"/>
      <c r="P146" s="36"/>
      <c r="R146" s="2">
        <f t="shared" si="55"/>
        <v>1</v>
      </c>
      <c r="S146" s="2">
        <f t="shared" si="56"/>
        <v>0</v>
      </c>
      <c r="T146" s="2">
        <f t="shared" si="57"/>
        <v>0</v>
      </c>
      <c r="U146" s="2">
        <f t="shared" si="58"/>
        <v>0</v>
      </c>
      <c r="V146" s="2">
        <f t="shared" si="59"/>
        <v>0</v>
      </c>
      <c r="W146" s="2">
        <f t="shared" si="60"/>
        <v>0</v>
      </c>
      <c r="X146" s="2">
        <f t="shared" si="61"/>
        <v>0</v>
      </c>
      <c r="Y146" s="2">
        <f t="shared" si="62"/>
        <v>0</v>
      </c>
      <c r="Z146" s="2">
        <f t="shared" si="63"/>
        <v>0</v>
      </c>
      <c r="AA146" s="2">
        <f t="shared" si="64"/>
        <v>0</v>
      </c>
      <c r="AC146" s="2">
        <f t="shared" si="65"/>
        <v>0</v>
      </c>
      <c r="AD146" s="2">
        <f t="shared" si="66"/>
        <v>0</v>
      </c>
      <c r="AE146" s="2">
        <f t="shared" si="51"/>
        <v>0</v>
      </c>
      <c r="AF146" s="2">
        <f t="shared" si="52"/>
        <v>0</v>
      </c>
      <c r="AG146" s="2">
        <f t="shared" si="53"/>
        <v>0</v>
      </c>
      <c r="AH146" s="2">
        <f t="shared" si="54"/>
        <v>1</v>
      </c>
    </row>
    <row r="147" spans="1:34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729</v>
      </c>
      <c r="N147" s="32" t="s">
        <v>902</v>
      </c>
      <c r="O147" s="33">
        <v>1</v>
      </c>
      <c r="P147" s="33"/>
      <c r="R147" s="2">
        <f t="shared" si="55"/>
        <v>0</v>
      </c>
      <c r="S147" s="2">
        <f t="shared" si="56"/>
        <v>0</v>
      </c>
      <c r="T147" s="2">
        <f t="shared" si="57"/>
        <v>0</v>
      </c>
      <c r="U147" s="2">
        <f t="shared" si="58"/>
        <v>0</v>
      </c>
      <c r="V147" s="2">
        <f t="shared" si="59"/>
        <v>0</v>
      </c>
      <c r="W147" s="2">
        <f t="shared" si="60"/>
        <v>0</v>
      </c>
      <c r="X147" s="2">
        <f t="shared" si="61"/>
        <v>0</v>
      </c>
      <c r="Y147" s="2">
        <f t="shared" si="62"/>
        <v>0</v>
      </c>
      <c r="Z147" s="2">
        <f t="shared" si="63"/>
        <v>0</v>
      </c>
      <c r="AA147" s="2">
        <f t="shared" si="64"/>
        <v>0</v>
      </c>
      <c r="AC147" s="2">
        <f t="shared" si="65"/>
        <v>0</v>
      </c>
      <c r="AD147" s="2">
        <f t="shared" si="66"/>
        <v>1</v>
      </c>
      <c r="AE147" s="2">
        <f t="shared" si="51"/>
        <v>0</v>
      </c>
      <c r="AF147" s="2">
        <f t="shared" si="52"/>
        <v>1</v>
      </c>
      <c r="AG147" s="2">
        <f t="shared" si="53"/>
        <v>0</v>
      </c>
      <c r="AH147" s="2">
        <f t="shared" si="54"/>
        <v>1</v>
      </c>
    </row>
    <row r="148" spans="1:34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896</v>
      </c>
      <c r="O148" s="33">
        <v>1</v>
      </c>
      <c r="P148" s="33">
        <v>1</v>
      </c>
      <c r="R148" s="2">
        <f t="shared" si="55"/>
        <v>0</v>
      </c>
      <c r="S148" s="2">
        <f t="shared" si="56"/>
        <v>0</v>
      </c>
      <c r="T148" s="2">
        <f t="shared" si="57"/>
        <v>0</v>
      </c>
      <c r="U148" s="2">
        <f t="shared" si="58"/>
        <v>0</v>
      </c>
      <c r="V148" s="2">
        <f t="shared" si="59"/>
        <v>0</v>
      </c>
      <c r="W148" s="2">
        <f t="shared" si="60"/>
        <v>0</v>
      </c>
      <c r="X148" s="2">
        <f t="shared" si="61"/>
        <v>0</v>
      </c>
      <c r="Y148" s="2">
        <f t="shared" si="62"/>
        <v>0</v>
      </c>
      <c r="Z148" s="2">
        <f t="shared" si="63"/>
        <v>0</v>
      </c>
      <c r="AA148" s="2">
        <f t="shared" si="64"/>
        <v>0</v>
      </c>
      <c r="AC148" s="2">
        <f t="shared" si="65"/>
        <v>1</v>
      </c>
      <c r="AD148" s="2">
        <f t="shared" si="66"/>
        <v>0</v>
      </c>
      <c r="AE148" s="2">
        <f t="shared" si="51"/>
        <v>1</v>
      </c>
      <c r="AF148" s="2">
        <f t="shared" si="52"/>
        <v>0</v>
      </c>
      <c r="AG148" s="2">
        <f t="shared" si="53"/>
        <v>1</v>
      </c>
      <c r="AH148" s="2">
        <f t="shared" si="54"/>
        <v>0</v>
      </c>
    </row>
    <row r="149" spans="1:34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896</v>
      </c>
      <c r="O149" s="33">
        <v>1</v>
      </c>
      <c r="P149" s="33">
        <v>1</v>
      </c>
      <c r="R149" s="2">
        <f t="shared" si="55"/>
        <v>0</v>
      </c>
      <c r="S149" s="2">
        <f t="shared" si="56"/>
        <v>0</v>
      </c>
      <c r="T149" s="2">
        <f t="shared" si="57"/>
        <v>0</v>
      </c>
      <c r="U149" s="2">
        <f t="shared" si="58"/>
        <v>0</v>
      </c>
      <c r="V149" s="2">
        <f t="shared" si="59"/>
        <v>0</v>
      </c>
      <c r="W149" s="2">
        <f t="shared" si="60"/>
        <v>0</v>
      </c>
      <c r="X149" s="2">
        <f t="shared" si="61"/>
        <v>0</v>
      </c>
      <c r="Y149" s="2">
        <f t="shared" si="62"/>
        <v>0</v>
      </c>
      <c r="Z149" s="2">
        <f t="shared" si="63"/>
        <v>0</v>
      </c>
      <c r="AA149" s="2">
        <f t="shared" si="64"/>
        <v>0</v>
      </c>
      <c r="AC149" s="2">
        <f t="shared" si="65"/>
        <v>1</v>
      </c>
      <c r="AD149" s="2">
        <f t="shared" si="66"/>
        <v>0</v>
      </c>
      <c r="AE149" s="2">
        <f t="shared" si="51"/>
        <v>0</v>
      </c>
      <c r="AF149" s="2">
        <f t="shared" si="52"/>
        <v>0</v>
      </c>
      <c r="AG149" s="2">
        <f t="shared" si="53"/>
        <v>0</v>
      </c>
      <c r="AH149" s="2">
        <f t="shared" si="54"/>
        <v>0</v>
      </c>
    </row>
    <row r="150" spans="1:34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914</v>
      </c>
      <c r="O150" s="33">
        <v>1</v>
      </c>
      <c r="P150" s="33"/>
      <c r="R150" s="2">
        <f t="shared" si="55"/>
        <v>0</v>
      </c>
      <c r="S150" s="2">
        <f t="shared" si="56"/>
        <v>0</v>
      </c>
      <c r="T150" s="2">
        <f t="shared" si="57"/>
        <v>0</v>
      </c>
      <c r="U150" s="2">
        <f t="shared" si="58"/>
        <v>1</v>
      </c>
      <c r="V150" s="2">
        <f t="shared" si="59"/>
        <v>0</v>
      </c>
      <c r="W150" s="2">
        <f t="shared" si="60"/>
        <v>0</v>
      </c>
      <c r="X150" s="2">
        <f t="shared" si="61"/>
        <v>0</v>
      </c>
      <c r="Y150" s="2">
        <f t="shared" si="62"/>
        <v>0</v>
      </c>
      <c r="Z150" s="2">
        <f t="shared" si="63"/>
        <v>0</v>
      </c>
      <c r="AA150" s="2">
        <f t="shared" si="64"/>
        <v>0</v>
      </c>
      <c r="AC150" s="2">
        <f t="shared" si="65"/>
        <v>0</v>
      </c>
      <c r="AD150" s="2">
        <f t="shared" si="66"/>
        <v>1</v>
      </c>
      <c r="AE150" s="2">
        <f t="shared" si="51"/>
        <v>0</v>
      </c>
      <c r="AF150" s="2">
        <f t="shared" si="52"/>
        <v>1</v>
      </c>
      <c r="AG150" s="2">
        <f t="shared" si="53"/>
        <v>0</v>
      </c>
      <c r="AH150" s="2">
        <f t="shared" si="54"/>
        <v>1</v>
      </c>
    </row>
    <row r="151" spans="1:34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914</v>
      </c>
      <c r="O151" s="33">
        <v>1</v>
      </c>
      <c r="P151" s="33"/>
      <c r="R151" s="2">
        <f t="shared" si="55"/>
        <v>0</v>
      </c>
      <c r="S151" s="2">
        <f t="shared" si="56"/>
        <v>0</v>
      </c>
      <c r="T151" s="2">
        <f t="shared" si="57"/>
        <v>0</v>
      </c>
      <c r="U151" s="2">
        <f t="shared" si="58"/>
        <v>0</v>
      </c>
      <c r="V151" s="2">
        <f t="shared" si="59"/>
        <v>0</v>
      </c>
      <c r="W151" s="2">
        <f t="shared" si="60"/>
        <v>0</v>
      </c>
      <c r="X151" s="2">
        <f t="shared" si="61"/>
        <v>0</v>
      </c>
      <c r="Y151" s="2">
        <f t="shared" si="62"/>
        <v>0</v>
      </c>
      <c r="Z151" s="2">
        <f t="shared" si="63"/>
        <v>0</v>
      </c>
      <c r="AA151" s="2">
        <f t="shared" si="64"/>
        <v>0</v>
      </c>
      <c r="AC151" s="2">
        <f t="shared" si="65"/>
        <v>0</v>
      </c>
      <c r="AD151" s="2">
        <f t="shared" si="66"/>
        <v>1</v>
      </c>
      <c r="AE151" s="2">
        <f t="shared" si="51"/>
        <v>0</v>
      </c>
      <c r="AF151" s="2">
        <f t="shared" si="52"/>
        <v>0</v>
      </c>
      <c r="AG151" s="2">
        <f t="shared" si="53"/>
        <v>0</v>
      </c>
      <c r="AH151" s="2">
        <f t="shared" si="54"/>
        <v>0</v>
      </c>
    </row>
    <row r="152" spans="1:34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746</v>
      </c>
      <c r="N152" s="32" t="s">
        <v>904</v>
      </c>
      <c r="O152" s="33">
        <v>1</v>
      </c>
      <c r="P152" s="33"/>
      <c r="R152" s="2">
        <f t="shared" si="55"/>
        <v>0</v>
      </c>
      <c r="S152" s="2">
        <f t="shared" si="56"/>
        <v>0</v>
      </c>
      <c r="T152" s="2">
        <f t="shared" si="57"/>
        <v>0</v>
      </c>
      <c r="U152" s="2">
        <f t="shared" si="58"/>
        <v>0</v>
      </c>
      <c r="V152" s="2">
        <f t="shared" si="59"/>
        <v>0</v>
      </c>
      <c r="W152" s="2">
        <f t="shared" si="60"/>
        <v>1</v>
      </c>
      <c r="X152" s="2">
        <f t="shared" si="61"/>
        <v>0</v>
      </c>
      <c r="Y152" s="2">
        <f t="shared" si="62"/>
        <v>0</v>
      </c>
      <c r="Z152" s="2">
        <f t="shared" si="63"/>
        <v>0</v>
      </c>
      <c r="AA152" s="2">
        <f t="shared" si="64"/>
        <v>0</v>
      </c>
      <c r="AC152" s="2">
        <f t="shared" si="65"/>
        <v>0</v>
      </c>
      <c r="AD152" s="2">
        <f t="shared" si="66"/>
        <v>1</v>
      </c>
      <c r="AE152" s="2">
        <f t="shared" si="51"/>
        <v>0</v>
      </c>
      <c r="AF152" s="2">
        <f t="shared" si="52"/>
        <v>1</v>
      </c>
      <c r="AG152" s="2">
        <f t="shared" si="53"/>
        <v>0</v>
      </c>
      <c r="AH152" s="2">
        <f t="shared" si="54"/>
        <v>1</v>
      </c>
    </row>
    <row r="153" spans="1:34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958</v>
      </c>
      <c r="G153" s="35" t="s">
        <v>580</v>
      </c>
      <c r="H153" s="35" t="s">
        <v>165</v>
      </c>
      <c r="I153" s="34" t="s">
        <v>594</v>
      </c>
      <c r="J153" s="34">
        <v>99</v>
      </c>
      <c r="K153" s="34" t="s">
        <v>378</v>
      </c>
      <c r="L153" s="34">
        <v>35</v>
      </c>
      <c r="M153" s="35" t="s">
        <v>600</v>
      </c>
      <c r="N153" s="35" t="s">
        <v>903</v>
      </c>
      <c r="O153" s="36"/>
      <c r="P153" s="36"/>
      <c r="R153" s="2">
        <f t="shared" si="55"/>
        <v>0</v>
      </c>
      <c r="S153" s="2">
        <f t="shared" si="56"/>
        <v>0</v>
      </c>
      <c r="T153" s="2">
        <f t="shared" si="57"/>
        <v>0</v>
      </c>
      <c r="U153" s="2">
        <f t="shared" si="58"/>
        <v>0</v>
      </c>
      <c r="V153" s="2">
        <f t="shared" si="59"/>
        <v>0</v>
      </c>
      <c r="W153" s="2">
        <f t="shared" si="60"/>
        <v>0</v>
      </c>
      <c r="X153" s="2">
        <f t="shared" si="61"/>
        <v>0</v>
      </c>
      <c r="Y153" s="2">
        <f t="shared" si="62"/>
        <v>0</v>
      </c>
      <c r="Z153" s="2">
        <f t="shared" si="63"/>
        <v>0</v>
      </c>
      <c r="AA153" s="2">
        <f t="shared" si="64"/>
        <v>0</v>
      </c>
      <c r="AC153" s="2">
        <f t="shared" si="65"/>
        <v>0</v>
      </c>
      <c r="AD153" s="2">
        <f t="shared" si="66"/>
        <v>0</v>
      </c>
      <c r="AE153" s="2">
        <f t="shared" si="51"/>
        <v>0</v>
      </c>
      <c r="AF153" s="2">
        <f t="shared" si="52"/>
        <v>0</v>
      </c>
      <c r="AG153" s="2">
        <f t="shared" si="53"/>
        <v>0</v>
      </c>
      <c r="AH153" s="2">
        <f t="shared" si="54"/>
        <v>1</v>
      </c>
    </row>
    <row r="154" spans="1:34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8" t="s">
        <v>566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R154" s="2">
        <f t="shared" si="55"/>
        <v>0</v>
      </c>
      <c r="S154" s="2">
        <f t="shared" si="56"/>
        <v>0</v>
      </c>
      <c r="T154" s="2">
        <f t="shared" si="57"/>
        <v>0</v>
      </c>
      <c r="U154" s="2">
        <f t="shared" si="58"/>
        <v>0</v>
      </c>
      <c r="V154" s="2">
        <f t="shared" si="59"/>
        <v>0</v>
      </c>
      <c r="W154" s="2">
        <f t="shared" si="60"/>
        <v>0</v>
      </c>
      <c r="X154" s="2">
        <f t="shared" si="61"/>
        <v>0</v>
      </c>
      <c r="Y154" s="2">
        <f t="shared" si="62"/>
        <v>0</v>
      </c>
      <c r="Z154" s="2">
        <f t="shared" si="63"/>
        <v>0</v>
      </c>
      <c r="AA154" s="2">
        <f t="shared" si="64"/>
        <v>0</v>
      </c>
      <c r="AC154" s="2">
        <f t="shared" si="65"/>
        <v>0</v>
      </c>
      <c r="AD154" s="2">
        <f t="shared" si="66"/>
        <v>0</v>
      </c>
      <c r="AE154" s="2">
        <f t="shared" si="51"/>
        <v>0</v>
      </c>
      <c r="AF154" s="2">
        <f t="shared" si="52"/>
        <v>0</v>
      </c>
      <c r="AG154" s="2">
        <f t="shared" si="53"/>
        <v>1</v>
      </c>
      <c r="AH154" s="2">
        <f t="shared" si="54"/>
        <v>0</v>
      </c>
    </row>
    <row r="155" spans="1:34" ht="14.25" customHeight="1" x14ac:dyDescent="0.25">
      <c r="A155" s="28">
        <v>0</v>
      </c>
      <c r="B155" s="28">
        <v>2</v>
      </c>
      <c r="C155" s="28">
        <v>2</v>
      </c>
      <c r="D155" s="29" t="s">
        <v>947</v>
      </c>
      <c r="E155" s="29" t="s">
        <v>948</v>
      </c>
      <c r="F155" s="29" t="s">
        <v>96</v>
      </c>
      <c r="G155" s="29"/>
      <c r="H155" s="29" t="s">
        <v>165</v>
      </c>
      <c r="I155" s="28" t="s">
        <v>949</v>
      </c>
      <c r="J155" s="28"/>
      <c r="K155" s="28" t="s">
        <v>378</v>
      </c>
      <c r="L155" s="28"/>
      <c r="M155" s="29"/>
      <c r="N155" s="29"/>
      <c r="O155" s="30"/>
      <c r="P155" s="30">
        <v>1</v>
      </c>
      <c r="R155" s="2">
        <f t="shared" si="55"/>
        <v>0</v>
      </c>
      <c r="S155" s="2">
        <f t="shared" si="56"/>
        <v>0</v>
      </c>
      <c r="T155" s="2">
        <f t="shared" si="57"/>
        <v>0</v>
      </c>
      <c r="U155" s="2">
        <f t="shared" si="58"/>
        <v>0</v>
      </c>
      <c r="V155" s="2">
        <f t="shared" si="59"/>
        <v>0</v>
      </c>
      <c r="W155" s="2">
        <f t="shared" si="60"/>
        <v>0</v>
      </c>
      <c r="X155" s="2">
        <f t="shared" si="61"/>
        <v>0</v>
      </c>
      <c r="Y155" s="2">
        <f t="shared" si="62"/>
        <v>0</v>
      </c>
      <c r="Z155" s="2">
        <f t="shared" si="63"/>
        <v>0</v>
      </c>
      <c r="AA155" s="2">
        <f t="shared" si="64"/>
        <v>0</v>
      </c>
      <c r="AC155" s="2">
        <f t="shared" si="65"/>
        <v>0</v>
      </c>
      <c r="AD155" s="2">
        <f t="shared" si="66"/>
        <v>0</v>
      </c>
      <c r="AE155" s="2">
        <f t="shared" si="51"/>
        <v>0</v>
      </c>
      <c r="AF155" s="2">
        <f t="shared" si="52"/>
        <v>0</v>
      </c>
      <c r="AG155" s="2">
        <f t="shared" si="53"/>
        <v>1</v>
      </c>
      <c r="AH155" s="2">
        <f t="shared" si="54"/>
        <v>0</v>
      </c>
    </row>
    <row r="156" spans="1:34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4" t="s">
        <v>717</v>
      </c>
      <c r="J156" s="34">
        <v>99</v>
      </c>
      <c r="K156" s="34" t="s">
        <v>320</v>
      </c>
      <c r="L156" s="34" t="s">
        <v>335</v>
      </c>
      <c r="M156" s="35" t="s">
        <v>718</v>
      </c>
      <c r="N156" s="35" t="s">
        <v>899</v>
      </c>
      <c r="O156" s="36"/>
      <c r="P156" s="36"/>
      <c r="R156" s="2">
        <f t="shared" si="55"/>
        <v>0</v>
      </c>
      <c r="S156" s="2">
        <f t="shared" si="56"/>
        <v>0</v>
      </c>
      <c r="T156" s="2">
        <f t="shared" si="57"/>
        <v>0</v>
      </c>
      <c r="U156" s="2">
        <f t="shared" si="58"/>
        <v>0</v>
      </c>
      <c r="V156" s="2">
        <f t="shared" si="59"/>
        <v>0</v>
      </c>
      <c r="W156" s="2">
        <f t="shared" si="60"/>
        <v>0</v>
      </c>
      <c r="X156" s="2">
        <f t="shared" si="61"/>
        <v>0</v>
      </c>
      <c r="Y156" s="2">
        <f t="shared" si="62"/>
        <v>0</v>
      </c>
      <c r="Z156" s="2">
        <f t="shared" si="63"/>
        <v>0</v>
      </c>
      <c r="AA156" s="2">
        <f t="shared" si="64"/>
        <v>0</v>
      </c>
      <c r="AC156" s="2">
        <f t="shared" si="65"/>
        <v>0</v>
      </c>
      <c r="AD156" s="2">
        <f t="shared" si="66"/>
        <v>0</v>
      </c>
      <c r="AE156" s="2">
        <f t="shared" si="51"/>
        <v>0</v>
      </c>
      <c r="AF156" s="2">
        <f t="shared" si="52"/>
        <v>0</v>
      </c>
      <c r="AG156" s="2">
        <f t="shared" si="53"/>
        <v>0</v>
      </c>
      <c r="AH156" s="2">
        <f t="shared" si="54"/>
        <v>1</v>
      </c>
    </row>
    <row r="157" spans="1:34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1" t="s">
        <v>444</v>
      </c>
      <c r="J157" s="31">
        <v>8</v>
      </c>
      <c r="K157" s="31" t="s">
        <v>318</v>
      </c>
      <c r="L157" s="31">
        <v>40</v>
      </c>
      <c r="M157" s="32" t="s">
        <v>888</v>
      </c>
      <c r="N157" s="32" t="s">
        <v>910</v>
      </c>
      <c r="O157" s="33">
        <v>1</v>
      </c>
      <c r="P157" s="33"/>
      <c r="R157" s="2">
        <f t="shared" si="55"/>
        <v>0</v>
      </c>
      <c r="S157" s="2">
        <f t="shared" si="56"/>
        <v>0</v>
      </c>
      <c r="T157" s="2">
        <f t="shared" si="57"/>
        <v>0</v>
      </c>
      <c r="U157" s="2">
        <f t="shared" si="58"/>
        <v>0</v>
      </c>
      <c r="V157" s="2">
        <f t="shared" si="59"/>
        <v>0</v>
      </c>
      <c r="W157" s="2">
        <f t="shared" si="60"/>
        <v>0</v>
      </c>
      <c r="X157" s="2">
        <f t="shared" si="61"/>
        <v>0</v>
      </c>
      <c r="Y157" s="2">
        <f t="shared" si="62"/>
        <v>1</v>
      </c>
      <c r="Z157" s="2">
        <f t="shared" si="63"/>
        <v>0</v>
      </c>
      <c r="AA157" s="2">
        <f t="shared" si="64"/>
        <v>0</v>
      </c>
      <c r="AC157" s="2">
        <f t="shared" si="65"/>
        <v>0</v>
      </c>
      <c r="AD157" s="2">
        <f t="shared" si="66"/>
        <v>1</v>
      </c>
      <c r="AE157" s="2">
        <f t="shared" si="51"/>
        <v>0</v>
      </c>
      <c r="AF157" s="2">
        <f t="shared" si="52"/>
        <v>1</v>
      </c>
      <c r="AG157" s="2">
        <f t="shared" si="53"/>
        <v>0</v>
      </c>
      <c r="AH157" s="2">
        <f t="shared" si="54"/>
        <v>1</v>
      </c>
    </row>
    <row r="158" spans="1:34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4" t="s">
        <v>793</v>
      </c>
      <c r="J158" s="34">
        <v>99</v>
      </c>
      <c r="K158" s="34" t="s">
        <v>319</v>
      </c>
      <c r="L158" s="34">
        <v>20</v>
      </c>
      <c r="M158" s="35" t="s">
        <v>901</v>
      </c>
      <c r="N158" s="35" t="s">
        <v>903</v>
      </c>
      <c r="O158" s="36"/>
      <c r="P158" s="36"/>
      <c r="R158" s="2">
        <f t="shared" si="55"/>
        <v>0</v>
      </c>
      <c r="S158" s="2">
        <f t="shared" si="56"/>
        <v>0</v>
      </c>
      <c r="T158" s="2">
        <f t="shared" si="57"/>
        <v>0</v>
      </c>
      <c r="U158" s="2">
        <f t="shared" si="58"/>
        <v>0</v>
      </c>
      <c r="V158" s="2">
        <f t="shared" si="59"/>
        <v>0</v>
      </c>
      <c r="W158" s="2">
        <f t="shared" si="60"/>
        <v>0</v>
      </c>
      <c r="X158" s="2">
        <f t="shared" si="61"/>
        <v>0</v>
      </c>
      <c r="Y158" s="2">
        <f t="shared" si="62"/>
        <v>0</v>
      </c>
      <c r="Z158" s="2">
        <f t="shared" si="63"/>
        <v>0</v>
      </c>
      <c r="AA158" s="2">
        <f t="shared" si="64"/>
        <v>0</v>
      </c>
      <c r="AC158" s="2">
        <f t="shared" si="65"/>
        <v>0</v>
      </c>
      <c r="AD158" s="2">
        <f t="shared" si="66"/>
        <v>0</v>
      </c>
      <c r="AE158" s="2">
        <f t="shared" si="51"/>
        <v>0</v>
      </c>
      <c r="AF158" s="2">
        <f t="shared" si="52"/>
        <v>0</v>
      </c>
      <c r="AG158" s="2">
        <f t="shared" si="53"/>
        <v>0</v>
      </c>
      <c r="AH158" s="2">
        <f t="shared" si="54"/>
        <v>1</v>
      </c>
    </row>
    <row r="159" spans="1:34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834</v>
      </c>
      <c r="G159" s="35" t="s">
        <v>137</v>
      </c>
      <c r="H159" s="35" t="s">
        <v>165</v>
      </c>
      <c r="I159" s="34" t="s">
        <v>723</v>
      </c>
      <c r="J159" s="34">
        <v>1</v>
      </c>
      <c r="K159" s="34" t="s">
        <v>318</v>
      </c>
      <c r="L159" s="34">
        <v>40</v>
      </c>
      <c r="M159" s="35" t="s">
        <v>889</v>
      </c>
      <c r="N159" s="35" t="s">
        <v>898</v>
      </c>
      <c r="O159" s="36"/>
      <c r="P159" s="36"/>
      <c r="R159" s="2">
        <f t="shared" si="55"/>
        <v>1</v>
      </c>
      <c r="S159" s="2">
        <f t="shared" si="56"/>
        <v>0</v>
      </c>
      <c r="T159" s="2">
        <f t="shared" si="57"/>
        <v>0</v>
      </c>
      <c r="U159" s="2">
        <f t="shared" si="58"/>
        <v>0</v>
      </c>
      <c r="V159" s="2">
        <f t="shared" si="59"/>
        <v>0</v>
      </c>
      <c r="W159" s="2">
        <f t="shared" si="60"/>
        <v>0</v>
      </c>
      <c r="X159" s="2">
        <f t="shared" si="61"/>
        <v>0</v>
      </c>
      <c r="Y159" s="2">
        <f t="shared" si="62"/>
        <v>0</v>
      </c>
      <c r="Z159" s="2">
        <f t="shared" si="63"/>
        <v>0</v>
      </c>
      <c r="AA159" s="2">
        <f t="shared" si="64"/>
        <v>0</v>
      </c>
      <c r="AC159" s="2">
        <f t="shared" si="65"/>
        <v>0</v>
      </c>
      <c r="AD159" s="2">
        <f t="shared" si="66"/>
        <v>0</v>
      </c>
      <c r="AE159" s="2">
        <f t="shared" si="51"/>
        <v>0</v>
      </c>
      <c r="AF159" s="2">
        <f t="shared" si="52"/>
        <v>0</v>
      </c>
      <c r="AG159" s="2">
        <f t="shared" si="53"/>
        <v>0</v>
      </c>
      <c r="AH159" s="2">
        <f t="shared" si="54"/>
        <v>1</v>
      </c>
    </row>
    <row r="160" spans="1:34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R160" s="2">
        <f t="shared" si="55"/>
        <v>1</v>
      </c>
      <c r="S160" s="2">
        <f t="shared" si="56"/>
        <v>0</v>
      </c>
      <c r="T160" s="2">
        <f t="shared" si="57"/>
        <v>0</v>
      </c>
      <c r="U160" s="2">
        <f t="shared" si="58"/>
        <v>0</v>
      </c>
      <c r="V160" s="2">
        <f t="shared" si="59"/>
        <v>0</v>
      </c>
      <c r="W160" s="2">
        <f t="shared" si="60"/>
        <v>0</v>
      </c>
      <c r="X160" s="2">
        <f t="shared" si="61"/>
        <v>0</v>
      </c>
      <c r="Y160" s="2">
        <f t="shared" si="62"/>
        <v>0</v>
      </c>
      <c r="Z160" s="2">
        <f t="shared" si="63"/>
        <v>0</v>
      </c>
      <c r="AA160" s="2">
        <f t="shared" si="64"/>
        <v>0</v>
      </c>
      <c r="AC160" s="2">
        <f t="shared" si="65"/>
        <v>0</v>
      </c>
      <c r="AD160" s="2">
        <f t="shared" si="66"/>
        <v>0</v>
      </c>
      <c r="AE160" s="2">
        <f t="shared" si="51"/>
        <v>0</v>
      </c>
      <c r="AF160" s="2">
        <f t="shared" si="52"/>
        <v>0</v>
      </c>
      <c r="AG160" s="2">
        <f t="shared" si="53"/>
        <v>1</v>
      </c>
      <c r="AH160" s="2">
        <f t="shared" si="54"/>
        <v>0</v>
      </c>
    </row>
    <row r="161" spans="1:34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896</v>
      </c>
      <c r="O161" s="33">
        <v>1</v>
      </c>
      <c r="P161" s="33">
        <v>1</v>
      </c>
      <c r="R161" s="2">
        <f t="shared" si="55"/>
        <v>0</v>
      </c>
      <c r="S161" s="2">
        <f t="shared" si="56"/>
        <v>0</v>
      </c>
      <c r="T161" s="2">
        <f t="shared" si="57"/>
        <v>0</v>
      </c>
      <c r="U161" s="2">
        <f t="shared" si="58"/>
        <v>0</v>
      </c>
      <c r="V161" s="2">
        <f t="shared" si="59"/>
        <v>0</v>
      </c>
      <c r="W161" s="2">
        <f t="shared" si="60"/>
        <v>0</v>
      </c>
      <c r="X161" s="2">
        <f t="shared" si="61"/>
        <v>0</v>
      </c>
      <c r="Y161" s="2">
        <f t="shared" si="62"/>
        <v>0</v>
      </c>
      <c r="Z161" s="2">
        <f t="shared" si="63"/>
        <v>0</v>
      </c>
      <c r="AA161" s="2">
        <f t="shared" si="64"/>
        <v>0</v>
      </c>
      <c r="AC161" s="2">
        <f t="shared" si="65"/>
        <v>1</v>
      </c>
      <c r="AD161" s="2">
        <f t="shared" si="66"/>
        <v>0</v>
      </c>
      <c r="AE161" s="2">
        <f t="shared" si="51"/>
        <v>1</v>
      </c>
      <c r="AF161" s="2">
        <f t="shared" si="52"/>
        <v>0</v>
      </c>
      <c r="AG161" s="2">
        <f t="shared" si="53"/>
        <v>1</v>
      </c>
      <c r="AH161" s="2">
        <f t="shared" si="54"/>
        <v>0</v>
      </c>
    </row>
    <row r="162" spans="1:34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942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896</v>
      </c>
      <c r="O162" s="33">
        <v>1</v>
      </c>
      <c r="P162" s="33">
        <v>1</v>
      </c>
      <c r="R162" s="2">
        <f t="shared" si="55"/>
        <v>1</v>
      </c>
      <c r="S162" s="2">
        <f t="shared" si="56"/>
        <v>0</v>
      </c>
      <c r="T162" s="2">
        <f t="shared" si="57"/>
        <v>0</v>
      </c>
      <c r="U162" s="2">
        <f t="shared" si="58"/>
        <v>0</v>
      </c>
      <c r="V162" s="2">
        <f t="shared" si="59"/>
        <v>0</v>
      </c>
      <c r="W162" s="2">
        <f t="shared" si="60"/>
        <v>0</v>
      </c>
      <c r="X162" s="2">
        <f t="shared" si="61"/>
        <v>0</v>
      </c>
      <c r="Y162" s="2">
        <f t="shared" si="62"/>
        <v>0</v>
      </c>
      <c r="Z162" s="2">
        <f t="shared" si="63"/>
        <v>0</v>
      </c>
      <c r="AA162" s="2">
        <f t="shared" si="64"/>
        <v>0</v>
      </c>
      <c r="AC162" s="2">
        <f t="shared" si="65"/>
        <v>1</v>
      </c>
      <c r="AD162" s="2">
        <f t="shared" si="66"/>
        <v>0</v>
      </c>
      <c r="AE162" s="2">
        <f t="shared" si="51"/>
        <v>1</v>
      </c>
      <c r="AF162" s="2">
        <f t="shared" si="52"/>
        <v>0</v>
      </c>
      <c r="AG162" s="2">
        <f t="shared" si="53"/>
        <v>1</v>
      </c>
      <c r="AH162" s="2">
        <f t="shared" si="54"/>
        <v>0</v>
      </c>
    </row>
    <row r="163" spans="1:34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1" t="s">
        <v>502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896</v>
      </c>
      <c r="O163" s="33">
        <v>1</v>
      </c>
      <c r="P163" s="33">
        <v>1</v>
      </c>
      <c r="R163" s="2">
        <f t="shared" si="55"/>
        <v>1</v>
      </c>
      <c r="S163" s="2">
        <f t="shared" si="56"/>
        <v>0</v>
      </c>
      <c r="T163" s="2">
        <f t="shared" si="57"/>
        <v>0</v>
      </c>
      <c r="U163" s="2">
        <f t="shared" si="58"/>
        <v>0</v>
      </c>
      <c r="V163" s="2">
        <f t="shared" si="59"/>
        <v>0</v>
      </c>
      <c r="W163" s="2">
        <f t="shared" si="60"/>
        <v>0</v>
      </c>
      <c r="X163" s="2">
        <f t="shared" si="61"/>
        <v>0</v>
      </c>
      <c r="Y163" s="2">
        <f t="shared" si="62"/>
        <v>0</v>
      </c>
      <c r="Z163" s="2">
        <f t="shared" si="63"/>
        <v>0</v>
      </c>
      <c r="AA163" s="2">
        <f t="shared" si="64"/>
        <v>0</v>
      </c>
      <c r="AC163" s="2">
        <f t="shared" si="65"/>
        <v>1</v>
      </c>
      <c r="AD163" s="2">
        <f t="shared" si="66"/>
        <v>0</v>
      </c>
      <c r="AE163" s="2">
        <f t="shared" si="51"/>
        <v>0</v>
      </c>
      <c r="AF163" s="2">
        <f t="shared" si="52"/>
        <v>0</v>
      </c>
      <c r="AG163" s="2">
        <f t="shared" si="53"/>
        <v>0</v>
      </c>
      <c r="AH163" s="2">
        <f t="shared" si="54"/>
        <v>0</v>
      </c>
    </row>
    <row r="164" spans="1:34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0" t="s">
        <v>452</v>
      </c>
      <c r="J164" s="20">
        <v>99</v>
      </c>
      <c r="K164" s="20" t="s">
        <v>378</v>
      </c>
      <c r="L164" s="20">
        <v>10</v>
      </c>
      <c r="M164" s="21" t="s">
        <v>601</v>
      </c>
      <c r="N164" s="21"/>
      <c r="O164" s="7"/>
      <c r="P164" s="7"/>
      <c r="R164" s="2">
        <f t="shared" si="55"/>
        <v>0</v>
      </c>
      <c r="S164" s="2">
        <f t="shared" si="56"/>
        <v>0</v>
      </c>
      <c r="T164" s="2">
        <f t="shared" si="57"/>
        <v>0</v>
      </c>
      <c r="U164" s="2">
        <f t="shared" si="58"/>
        <v>0</v>
      </c>
      <c r="V164" s="2">
        <f t="shared" si="59"/>
        <v>0</v>
      </c>
      <c r="W164" s="2">
        <f t="shared" si="60"/>
        <v>0</v>
      </c>
      <c r="X164" s="2">
        <f t="shared" si="61"/>
        <v>0</v>
      </c>
      <c r="Y164" s="2">
        <f t="shared" si="62"/>
        <v>0</v>
      </c>
      <c r="Z164" s="2">
        <f t="shared" si="63"/>
        <v>0</v>
      </c>
      <c r="AA164" s="2">
        <f t="shared" si="64"/>
        <v>0</v>
      </c>
      <c r="AC164" s="2">
        <f t="shared" si="65"/>
        <v>0</v>
      </c>
      <c r="AD164" s="2">
        <f t="shared" si="66"/>
        <v>0</v>
      </c>
      <c r="AE164" s="2">
        <f t="shared" si="51"/>
        <v>0</v>
      </c>
      <c r="AF164" s="2">
        <f t="shared" si="52"/>
        <v>0</v>
      </c>
      <c r="AG164" s="2">
        <f t="shared" si="53"/>
        <v>0</v>
      </c>
      <c r="AH164" s="2">
        <f t="shared" si="54"/>
        <v>1</v>
      </c>
    </row>
    <row r="165" spans="1:34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896</v>
      </c>
      <c r="O165" s="33">
        <v>1</v>
      </c>
      <c r="P165" s="33">
        <v>1</v>
      </c>
      <c r="R165" s="2">
        <f t="shared" si="55"/>
        <v>0</v>
      </c>
      <c r="S165" s="2">
        <f t="shared" si="56"/>
        <v>0</v>
      </c>
      <c r="T165" s="2">
        <f t="shared" si="57"/>
        <v>1</v>
      </c>
      <c r="U165" s="2">
        <f t="shared" si="58"/>
        <v>0</v>
      </c>
      <c r="V165" s="2">
        <f t="shared" si="59"/>
        <v>0</v>
      </c>
      <c r="W165" s="2">
        <f t="shared" si="60"/>
        <v>0</v>
      </c>
      <c r="X165" s="2">
        <f t="shared" si="61"/>
        <v>0</v>
      </c>
      <c r="Y165" s="2">
        <f t="shared" si="62"/>
        <v>0</v>
      </c>
      <c r="Z165" s="2">
        <f t="shared" si="63"/>
        <v>0</v>
      </c>
      <c r="AA165" s="2">
        <f t="shared" si="64"/>
        <v>0</v>
      </c>
      <c r="AC165" s="2">
        <f t="shared" si="65"/>
        <v>1</v>
      </c>
      <c r="AD165" s="2">
        <f t="shared" si="66"/>
        <v>0</v>
      </c>
      <c r="AE165" s="2">
        <f t="shared" si="51"/>
        <v>1</v>
      </c>
      <c r="AF165" s="2">
        <f t="shared" si="52"/>
        <v>0</v>
      </c>
      <c r="AG165" s="2">
        <f t="shared" si="53"/>
        <v>1</v>
      </c>
      <c r="AH165" s="2">
        <f t="shared" si="54"/>
        <v>0</v>
      </c>
    </row>
    <row r="166" spans="1:34" ht="14.25" customHeight="1" x14ac:dyDescent="0.25">
      <c r="A166" s="31">
        <v>0</v>
      </c>
      <c r="B166" s="31">
        <v>2</v>
      </c>
      <c r="C166" s="31">
        <v>3</v>
      </c>
      <c r="D166" s="32" t="s">
        <v>934</v>
      </c>
      <c r="E166" s="32"/>
      <c r="F166" s="32" t="s">
        <v>935</v>
      </c>
      <c r="G166" s="32"/>
      <c r="H166" s="32" t="s">
        <v>165</v>
      </c>
      <c r="I166" s="31" t="s">
        <v>936</v>
      </c>
      <c r="J166" s="31"/>
      <c r="K166" s="31" t="s">
        <v>378</v>
      </c>
      <c r="L166" s="31"/>
      <c r="M166" s="32"/>
      <c r="N166" s="32" t="s">
        <v>896</v>
      </c>
      <c r="O166" s="33">
        <v>1</v>
      </c>
      <c r="P166" s="33">
        <v>1</v>
      </c>
      <c r="R166" s="2">
        <f t="shared" si="55"/>
        <v>0</v>
      </c>
      <c r="S166" s="2">
        <f t="shared" si="56"/>
        <v>0</v>
      </c>
      <c r="T166" s="2">
        <f t="shared" si="57"/>
        <v>0</v>
      </c>
      <c r="U166" s="2">
        <f t="shared" si="58"/>
        <v>0</v>
      </c>
      <c r="V166" s="2">
        <f t="shared" si="59"/>
        <v>0</v>
      </c>
      <c r="W166" s="2">
        <f t="shared" si="60"/>
        <v>0</v>
      </c>
      <c r="X166" s="2">
        <f t="shared" si="61"/>
        <v>0</v>
      </c>
      <c r="Y166" s="2">
        <f t="shared" si="62"/>
        <v>0</v>
      </c>
      <c r="Z166" s="2">
        <f t="shared" si="63"/>
        <v>0</v>
      </c>
      <c r="AA166" s="2">
        <f t="shared" si="64"/>
        <v>0</v>
      </c>
      <c r="AC166" s="2">
        <f t="shared" si="65"/>
        <v>1</v>
      </c>
      <c r="AD166" s="2">
        <f t="shared" si="66"/>
        <v>0</v>
      </c>
      <c r="AE166" s="2">
        <f t="shared" si="51"/>
        <v>1</v>
      </c>
      <c r="AF166" s="2">
        <f t="shared" si="52"/>
        <v>0</v>
      </c>
      <c r="AG166" s="2">
        <f t="shared" si="53"/>
        <v>1</v>
      </c>
      <c r="AH166" s="2">
        <f t="shared" si="54"/>
        <v>0</v>
      </c>
    </row>
    <row r="167" spans="1:34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0" t="s">
        <v>656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R167" s="2">
        <f t="shared" si="55"/>
        <v>1</v>
      </c>
      <c r="S167" s="2">
        <f t="shared" si="56"/>
        <v>0</v>
      </c>
      <c r="T167" s="2">
        <f t="shared" si="57"/>
        <v>0</v>
      </c>
      <c r="U167" s="2">
        <f t="shared" si="58"/>
        <v>0</v>
      </c>
      <c r="V167" s="2">
        <f t="shared" si="59"/>
        <v>0</v>
      </c>
      <c r="W167" s="2">
        <f t="shared" si="60"/>
        <v>0</v>
      </c>
      <c r="X167" s="2">
        <f t="shared" si="61"/>
        <v>0</v>
      </c>
      <c r="Y167" s="2">
        <f t="shared" si="62"/>
        <v>0</v>
      </c>
      <c r="Z167" s="2">
        <f t="shared" si="63"/>
        <v>0</v>
      </c>
      <c r="AA167" s="2">
        <f t="shared" si="64"/>
        <v>0</v>
      </c>
      <c r="AC167" s="2">
        <f t="shared" si="65"/>
        <v>0</v>
      </c>
      <c r="AD167" s="2">
        <f t="shared" si="66"/>
        <v>0</v>
      </c>
      <c r="AE167" s="2">
        <f t="shared" si="51"/>
        <v>0</v>
      </c>
      <c r="AF167" s="2">
        <f t="shared" si="52"/>
        <v>0</v>
      </c>
      <c r="AG167" s="2">
        <f t="shared" si="53"/>
        <v>0</v>
      </c>
      <c r="AH167" s="2">
        <f t="shared" si="54"/>
        <v>1</v>
      </c>
    </row>
    <row r="168" spans="1:34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547</v>
      </c>
      <c r="J168" s="34">
        <v>99</v>
      </c>
      <c r="K168" s="34" t="s">
        <v>378</v>
      </c>
      <c r="L168" s="34">
        <v>35</v>
      </c>
      <c r="M168" s="35" t="s">
        <v>929</v>
      </c>
      <c r="N168" s="35" t="s">
        <v>931</v>
      </c>
      <c r="O168" s="36"/>
      <c r="P168" s="36"/>
      <c r="R168" s="2">
        <f t="shared" si="55"/>
        <v>0</v>
      </c>
      <c r="S168" s="2">
        <f t="shared" si="56"/>
        <v>0</v>
      </c>
      <c r="T168" s="2">
        <f t="shared" si="57"/>
        <v>0</v>
      </c>
      <c r="U168" s="2">
        <f t="shared" si="58"/>
        <v>0</v>
      </c>
      <c r="V168" s="2">
        <f t="shared" si="59"/>
        <v>0</v>
      </c>
      <c r="W168" s="2">
        <f t="shared" si="60"/>
        <v>0</v>
      </c>
      <c r="X168" s="2">
        <f t="shared" si="61"/>
        <v>0</v>
      </c>
      <c r="Y168" s="2">
        <f t="shared" si="62"/>
        <v>0</v>
      </c>
      <c r="Z168" s="2">
        <f t="shared" si="63"/>
        <v>0</v>
      </c>
      <c r="AA168" s="2">
        <f t="shared" si="64"/>
        <v>0</v>
      </c>
      <c r="AC168" s="2">
        <f t="shared" si="65"/>
        <v>0</v>
      </c>
      <c r="AD168" s="2">
        <f t="shared" si="66"/>
        <v>0</v>
      </c>
      <c r="AE168" s="2">
        <f t="shared" si="51"/>
        <v>0</v>
      </c>
      <c r="AF168" s="2">
        <f t="shared" si="52"/>
        <v>0</v>
      </c>
      <c r="AG168" s="2">
        <f t="shared" si="53"/>
        <v>0</v>
      </c>
      <c r="AH168" s="2">
        <f t="shared" si="54"/>
        <v>1</v>
      </c>
    </row>
    <row r="169" spans="1:34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856</v>
      </c>
      <c r="M169" s="35" t="s">
        <v>747</v>
      </c>
      <c r="N169" s="35" t="s">
        <v>932</v>
      </c>
      <c r="O169" s="36"/>
      <c r="P169" s="36"/>
      <c r="R169" s="2">
        <f t="shared" si="55"/>
        <v>0</v>
      </c>
      <c r="S169" s="2">
        <f t="shared" si="56"/>
        <v>0</v>
      </c>
      <c r="T169" s="2">
        <f t="shared" si="57"/>
        <v>0</v>
      </c>
      <c r="U169" s="2">
        <f t="shared" si="58"/>
        <v>1</v>
      </c>
      <c r="V169" s="2">
        <f t="shared" si="59"/>
        <v>0</v>
      </c>
      <c r="W169" s="2">
        <f t="shared" si="60"/>
        <v>0</v>
      </c>
      <c r="X169" s="2">
        <f t="shared" si="61"/>
        <v>0</v>
      </c>
      <c r="Y169" s="2">
        <f t="shared" si="62"/>
        <v>0</v>
      </c>
      <c r="Z169" s="2">
        <f t="shared" si="63"/>
        <v>0</v>
      </c>
      <c r="AA169" s="2">
        <f t="shared" si="64"/>
        <v>0</v>
      </c>
      <c r="AC169" s="2">
        <f t="shared" si="65"/>
        <v>0</v>
      </c>
      <c r="AD169" s="2">
        <f t="shared" si="66"/>
        <v>0</v>
      </c>
      <c r="AE169" s="2">
        <f t="shared" si="51"/>
        <v>0</v>
      </c>
      <c r="AF169" s="2">
        <f t="shared" si="52"/>
        <v>0</v>
      </c>
      <c r="AG169" s="2">
        <f t="shared" si="53"/>
        <v>0</v>
      </c>
      <c r="AH169" s="2">
        <f t="shared" si="54"/>
        <v>1</v>
      </c>
    </row>
    <row r="170" spans="1:34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898</v>
      </c>
      <c r="O170" s="36"/>
      <c r="P170" s="36"/>
      <c r="R170" s="2">
        <f t="shared" si="55"/>
        <v>0</v>
      </c>
      <c r="S170" s="2">
        <f t="shared" si="56"/>
        <v>0</v>
      </c>
      <c r="T170" s="2">
        <f t="shared" si="57"/>
        <v>0</v>
      </c>
      <c r="U170" s="2">
        <f t="shared" si="58"/>
        <v>0</v>
      </c>
      <c r="V170" s="2">
        <f t="shared" si="59"/>
        <v>0</v>
      </c>
      <c r="W170" s="2">
        <f t="shared" si="60"/>
        <v>0</v>
      </c>
      <c r="X170" s="2">
        <f t="shared" si="61"/>
        <v>0</v>
      </c>
      <c r="Y170" s="2">
        <f t="shared" si="62"/>
        <v>0</v>
      </c>
      <c r="Z170" s="2">
        <f t="shared" si="63"/>
        <v>0</v>
      </c>
      <c r="AA170" s="2">
        <f t="shared" si="64"/>
        <v>0</v>
      </c>
      <c r="AC170" s="2">
        <f t="shared" si="65"/>
        <v>0</v>
      </c>
      <c r="AD170" s="2">
        <f t="shared" si="66"/>
        <v>0</v>
      </c>
      <c r="AE170" s="2">
        <f t="shared" si="51"/>
        <v>0</v>
      </c>
      <c r="AF170" s="2">
        <f t="shared" si="52"/>
        <v>0</v>
      </c>
      <c r="AG170" s="2">
        <f t="shared" si="53"/>
        <v>0</v>
      </c>
      <c r="AH170" s="2">
        <f t="shared" si="54"/>
        <v>1</v>
      </c>
    </row>
    <row r="171" spans="1:34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857</v>
      </c>
      <c r="M171" s="35" t="s">
        <v>748</v>
      </c>
      <c r="N171" s="35" t="s">
        <v>932</v>
      </c>
      <c r="O171" s="36"/>
      <c r="P171" s="36"/>
      <c r="R171" s="2">
        <f t="shared" si="55"/>
        <v>0</v>
      </c>
      <c r="S171" s="2">
        <f t="shared" si="56"/>
        <v>0</v>
      </c>
      <c r="T171" s="2">
        <f t="shared" si="57"/>
        <v>0</v>
      </c>
      <c r="U171" s="2">
        <f t="shared" si="58"/>
        <v>1</v>
      </c>
      <c r="V171" s="2">
        <f t="shared" si="59"/>
        <v>0</v>
      </c>
      <c r="W171" s="2">
        <f t="shared" si="60"/>
        <v>0</v>
      </c>
      <c r="X171" s="2">
        <f t="shared" si="61"/>
        <v>0</v>
      </c>
      <c r="Y171" s="2">
        <f t="shared" si="62"/>
        <v>0</v>
      </c>
      <c r="Z171" s="2">
        <f t="shared" si="63"/>
        <v>0</v>
      </c>
      <c r="AA171" s="2">
        <f t="shared" si="64"/>
        <v>0</v>
      </c>
      <c r="AC171" s="2">
        <f t="shared" si="65"/>
        <v>0</v>
      </c>
      <c r="AD171" s="2">
        <f t="shared" si="66"/>
        <v>0</v>
      </c>
      <c r="AE171" s="2">
        <f t="shared" si="51"/>
        <v>0</v>
      </c>
      <c r="AF171" s="2">
        <f t="shared" si="52"/>
        <v>0</v>
      </c>
      <c r="AG171" s="2">
        <f t="shared" si="53"/>
        <v>0</v>
      </c>
      <c r="AH171" s="2">
        <f t="shared" si="54"/>
        <v>1</v>
      </c>
    </row>
    <row r="172" spans="1:34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857</v>
      </c>
      <c r="M172" s="35" t="s">
        <v>748</v>
      </c>
      <c r="N172" s="35" t="s">
        <v>932</v>
      </c>
      <c r="O172" s="36"/>
      <c r="P172" s="36"/>
      <c r="R172" s="2">
        <f t="shared" si="55"/>
        <v>0</v>
      </c>
      <c r="S172" s="2">
        <f t="shared" si="56"/>
        <v>0</v>
      </c>
      <c r="T172" s="2">
        <f t="shared" si="57"/>
        <v>0</v>
      </c>
      <c r="U172" s="2">
        <f t="shared" si="58"/>
        <v>0</v>
      </c>
      <c r="V172" s="2">
        <f t="shared" si="59"/>
        <v>0</v>
      </c>
      <c r="W172" s="2">
        <f t="shared" si="60"/>
        <v>0</v>
      </c>
      <c r="X172" s="2">
        <f t="shared" si="61"/>
        <v>0</v>
      </c>
      <c r="Y172" s="2">
        <f t="shared" si="62"/>
        <v>0</v>
      </c>
      <c r="Z172" s="2">
        <f t="shared" si="63"/>
        <v>0</v>
      </c>
      <c r="AA172" s="2">
        <f t="shared" si="64"/>
        <v>1</v>
      </c>
      <c r="AC172" s="2">
        <f t="shared" si="65"/>
        <v>0</v>
      </c>
      <c r="AD172" s="2">
        <f t="shared" si="66"/>
        <v>0</v>
      </c>
      <c r="AE172" s="2">
        <f t="shared" si="51"/>
        <v>0</v>
      </c>
      <c r="AF172" s="2">
        <f t="shared" si="52"/>
        <v>0</v>
      </c>
      <c r="AG172" s="2">
        <f t="shared" si="53"/>
        <v>0</v>
      </c>
      <c r="AH172" s="2">
        <f t="shared" si="54"/>
        <v>0</v>
      </c>
    </row>
    <row r="173" spans="1:34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4" t="s">
        <v>803</v>
      </c>
      <c r="J173" s="34">
        <v>99</v>
      </c>
      <c r="K173" s="34" t="s">
        <v>318</v>
      </c>
      <c r="L173" s="34" t="s">
        <v>857</v>
      </c>
      <c r="M173" s="35" t="s">
        <v>748</v>
      </c>
      <c r="N173" s="35" t="s">
        <v>932</v>
      </c>
      <c r="O173" s="36"/>
      <c r="P173" s="36"/>
      <c r="R173" s="2">
        <f t="shared" si="55"/>
        <v>0</v>
      </c>
      <c r="S173" s="2">
        <f t="shared" si="56"/>
        <v>0</v>
      </c>
      <c r="T173" s="2">
        <f t="shared" si="57"/>
        <v>0</v>
      </c>
      <c r="U173" s="2">
        <f t="shared" si="58"/>
        <v>0</v>
      </c>
      <c r="V173" s="2">
        <f t="shared" si="59"/>
        <v>0</v>
      </c>
      <c r="W173" s="2">
        <f t="shared" si="60"/>
        <v>0</v>
      </c>
      <c r="X173" s="2">
        <f t="shared" si="61"/>
        <v>0</v>
      </c>
      <c r="Y173" s="2">
        <f t="shared" si="62"/>
        <v>0</v>
      </c>
      <c r="Z173" s="2">
        <f t="shared" si="63"/>
        <v>0</v>
      </c>
      <c r="AA173" s="2">
        <f t="shared" si="64"/>
        <v>0</v>
      </c>
      <c r="AC173" s="2">
        <f t="shared" si="65"/>
        <v>0</v>
      </c>
      <c r="AD173" s="2">
        <f t="shared" si="66"/>
        <v>0</v>
      </c>
      <c r="AE173" s="2">
        <f t="shared" si="51"/>
        <v>0</v>
      </c>
      <c r="AF173" s="2">
        <f t="shared" si="52"/>
        <v>0</v>
      </c>
      <c r="AG173" s="2">
        <f t="shared" si="53"/>
        <v>0</v>
      </c>
      <c r="AH173" s="2">
        <f t="shared" si="54"/>
        <v>0</v>
      </c>
    </row>
    <row r="174" spans="1:34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906</v>
      </c>
      <c r="N174" s="21"/>
      <c r="O174" s="7"/>
      <c r="P174" s="7"/>
      <c r="R174" s="2">
        <f t="shared" si="55"/>
        <v>0</v>
      </c>
      <c r="S174" s="2">
        <f t="shared" si="56"/>
        <v>0</v>
      </c>
      <c r="T174" s="2">
        <f t="shared" si="57"/>
        <v>0</v>
      </c>
      <c r="U174" s="2">
        <f t="shared" si="58"/>
        <v>0</v>
      </c>
      <c r="V174" s="2">
        <f t="shared" si="59"/>
        <v>0</v>
      </c>
      <c r="W174" s="2">
        <f t="shared" si="60"/>
        <v>1</v>
      </c>
      <c r="X174" s="2">
        <f t="shared" si="61"/>
        <v>0</v>
      </c>
      <c r="Y174" s="2">
        <f t="shared" si="62"/>
        <v>0</v>
      </c>
      <c r="Z174" s="2">
        <f t="shared" si="63"/>
        <v>0</v>
      </c>
      <c r="AA174" s="2">
        <f t="shared" si="64"/>
        <v>0</v>
      </c>
      <c r="AC174" s="2">
        <f t="shared" si="65"/>
        <v>0</v>
      </c>
      <c r="AD174" s="2">
        <f t="shared" si="66"/>
        <v>0</v>
      </c>
      <c r="AE174" s="2">
        <f t="shared" si="51"/>
        <v>0</v>
      </c>
      <c r="AF174" s="2">
        <f t="shared" si="52"/>
        <v>0</v>
      </c>
      <c r="AG174" s="2">
        <f t="shared" si="53"/>
        <v>0</v>
      </c>
      <c r="AH174" s="2">
        <f t="shared" si="54"/>
        <v>1</v>
      </c>
    </row>
    <row r="175" spans="1:34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4" t="s">
        <v>530</v>
      </c>
      <c r="J175" s="34">
        <v>6</v>
      </c>
      <c r="K175" s="34" t="s">
        <v>318</v>
      </c>
      <c r="L175" s="34">
        <v>35</v>
      </c>
      <c r="M175" s="35" t="s">
        <v>699</v>
      </c>
      <c r="N175" s="35" t="s">
        <v>931</v>
      </c>
      <c r="O175" s="36"/>
      <c r="P175" s="36"/>
      <c r="R175" s="2">
        <f t="shared" si="55"/>
        <v>0</v>
      </c>
      <c r="S175" s="2">
        <f t="shared" si="56"/>
        <v>0</v>
      </c>
      <c r="T175" s="2">
        <f t="shared" si="57"/>
        <v>0</v>
      </c>
      <c r="U175" s="2">
        <f t="shared" si="58"/>
        <v>0</v>
      </c>
      <c r="V175" s="2">
        <f t="shared" si="59"/>
        <v>0</v>
      </c>
      <c r="W175" s="2">
        <f t="shared" si="60"/>
        <v>1</v>
      </c>
      <c r="X175" s="2">
        <f t="shared" si="61"/>
        <v>0</v>
      </c>
      <c r="Y175" s="2">
        <f t="shared" si="62"/>
        <v>0</v>
      </c>
      <c r="Z175" s="2">
        <f t="shared" si="63"/>
        <v>0</v>
      </c>
      <c r="AA175" s="2">
        <f t="shared" si="64"/>
        <v>0</v>
      </c>
      <c r="AC175" s="2">
        <f t="shared" si="65"/>
        <v>0</v>
      </c>
      <c r="AD175" s="2">
        <f t="shared" si="66"/>
        <v>0</v>
      </c>
      <c r="AE175" s="2">
        <f t="shared" si="51"/>
        <v>0</v>
      </c>
      <c r="AF175" s="2">
        <f t="shared" si="52"/>
        <v>0</v>
      </c>
      <c r="AG175" s="2">
        <f t="shared" si="53"/>
        <v>0</v>
      </c>
      <c r="AH175" s="2">
        <f t="shared" si="54"/>
        <v>1</v>
      </c>
    </row>
    <row r="176" spans="1:34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0" t="s">
        <v>847</v>
      </c>
      <c r="J176" s="20">
        <v>99</v>
      </c>
      <c r="K176" s="20" t="s">
        <v>318</v>
      </c>
      <c r="L176" s="20" t="s">
        <v>343</v>
      </c>
      <c r="M176" s="21" t="s">
        <v>646</v>
      </c>
      <c r="N176" s="21"/>
      <c r="O176" s="7"/>
      <c r="P176" s="7"/>
      <c r="R176" s="2">
        <f t="shared" si="55"/>
        <v>0</v>
      </c>
      <c r="S176" s="2">
        <f t="shared" si="56"/>
        <v>0</v>
      </c>
      <c r="T176" s="2">
        <f t="shared" si="57"/>
        <v>0</v>
      </c>
      <c r="U176" s="2">
        <f t="shared" si="58"/>
        <v>0</v>
      </c>
      <c r="V176" s="2">
        <f t="shared" si="59"/>
        <v>0</v>
      </c>
      <c r="W176" s="2">
        <f t="shared" si="60"/>
        <v>0</v>
      </c>
      <c r="X176" s="2">
        <f t="shared" si="61"/>
        <v>0</v>
      </c>
      <c r="Y176" s="2">
        <f t="shared" si="62"/>
        <v>0</v>
      </c>
      <c r="Z176" s="2">
        <f t="shared" si="63"/>
        <v>0</v>
      </c>
      <c r="AA176" s="2">
        <f t="shared" si="64"/>
        <v>0</v>
      </c>
      <c r="AC176" s="2">
        <f t="shared" si="65"/>
        <v>0</v>
      </c>
      <c r="AD176" s="2">
        <f t="shared" si="66"/>
        <v>0</v>
      </c>
      <c r="AE176" s="2">
        <f t="shared" si="51"/>
        <v>0</v>
      </c>
      <c r="AF176" s="2">
        <f t="shared" si="52"/>
        <v>0</v>
      </c>
      <c r="AG176" s="2">
        <f t="shared" si="53"/>
        <v>0</v>
      </c>
      <c r="AH176" s="2">
        <f t="shared" si="54"/>
        <v>1</v>
      </c>
    </row>
    <row r="177" spans="1:34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0" t="s">
        <v>540</v>
      </c>
      <c r="J177" s="20">
        <v>7</v>
      </c>
      <c r="K177" s="20" t="s">
        <v>378</v>
      </c>
      <c r="L177" s="20">
        <v>30</v>
      </c>
      <c r="M177" s="21" t="s">
        <v>602</v>
      </c>
      <c r="N177" s="21"/>
      <c r="O177" s="7"/>
      <c r="P177" s="7"/>
      <c r="R177" s="2">
        <f t="shared" si="55"/>
        <v>0</v>
      </c>
      <c r="S177" s="2">
        <f t="shared" si="56"/>
        <v>0</v>
      </c>
      <c r="T177" s="2">
        <f t="shared" si="57"/>
        <v>0</v>
      </c>
      <c r="U177" s="2">
        <f t="shared" si="58"/>
        <v>0</v>
      </c>
      <c r="V177" s="2">
        <f t="shared" si="59"/>
        <v>0</v>
      </c>
      <c r="W177" s="2">
        <f t="shared" si="60"/>
        <v>0</v>
      </c>
      <c r="X177" s="2">
        <f t="shared" si="61"/>
        <v>1</v>
      </c>
      <c r="Y177" s="2">
        <f t="shared" si="62"/>
        <v>0</v>
      </c>
      <c r="Z177" s="2">
        <f t="shared" si="63"/>
        <v>0</v>
      </c>
      <c r="AA177" s="2">
        <f t="shared" si="64"/>
        <v>0</v>
      </c>
      <c r="AC177" s="2">
        <f t="shared" si="65"/>
        <v>0</v>
      </c>
      <c r="AD177" s="2">
        <f t="shared" si="66"/>
        <v>0</v>
      </c>
      <c r="AE177" s="2">
        <f t="shared" si="51"/>
        <v>0</v>
      </c>
      <c r="AF177" s="2">
        <f t="shared" si="52"/>
        <v>0</v>
      </c>
      <c r="AG177" s="2">
        <f t="shared" si="53"/>
        <v>0</v>
      </c>
      <c r="AH177" s="2">
        <f t="shared" si="54"/>
        <v>1</v>
      </c>
    </row>
    <row r="178" spans="1:34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4" t="s">
        <v>616</v>
      </c>
      <c r="J178" s="34">
        <v>99</v>
      </c>
      <c r="K178" s="34" t="s">
        <v>318</v>
      </c>
      <c r="L178" s="34" t="s">
        <v>343</v>
      </c>
      <c r="M178" s="35" t="s">
        <v>788</v>
      </c>
      <c r="N178" s="35" t="s">
        <v>932</v>
      </c>
      <c r="O178" s="36"/>
      <c r="P178" s="36"/>
      <c r="R178" s="2">
        <f t="shared" si="55"/>
        <v>0</v>
      </c>
      <c r="S178" s="2">
        <f t="shared" si="56"/>
        <v>0</v>
      </c>
      <c r="T178" s="2">
        <f t="shared" si="57"/>
        <v>0</v>
      </c>
      <c r="U178" s="2">
        <f t="shared" si="58"/>
        <v>0</v>
      </c>
      <c r="V178" s="2">
        <f t="shared" si="59"/>
        <v>0</v>
      </c>
      <c r="W178" s="2">
        <f t="shared" si="60"/>
        <v>0</v>
      </c>
      <c r="X178" s="2">
        <f t="shared" si="61"/>
        <v>0</v>
      </c>
      <c r="Y178" s="2">
        <f t="shared" si="62"/>
        <v>0</v>
      </c>
      <c r="Z178" s="2">
        <f t="shared" si="63"/>
        <v>0</v>
      </c>
      <c r="AA178" s="2">
        <f t="shared" si="64"/>
        <v>0</v>
      </c>
      <c r="AC178" s="2">
        <f t="shared" si="65"/>
        <v>0</v>
      </c>
      <c r="AD178" s="2">
        <f t="shared" si="66"/>
        <v>0</v>
      </c>
      <c r="AE178" s="2">
        <f t="shared" si="51"/>
        <v>0</v>
      </c>
      <c r="AF178" s="2">
        <f t="shared" si="52"/>
        <v>0</v>
      </c>
      <c r="AG178" s="2">
        <f t="shared" si="53"/>
        <v>0</v>
      </c>
      <c r="AH178" s="2">
        <f t="shared" si="54"/>
        <v>1</v>
      </c>
    </row>
    <row r="179" spans="1:34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1" t="s">
        <v>771</v>
      </c>
      <c r="J179" s="31">
        <v>99</v>
      </c>
      <c r="K179" s="31" t="s">
        <v>378</v>
      </c>
      <c r="L179" s="31">
        <v>35</v>
      </c>
      <c r="M179" s="32" t="s">
        <v>954</v>
      </c>
      <c r="N179" s="32" t="s">
        <v>902</v>
      </c>
      <c r="O179" s="33">
        <v>1</v>
      </c>
      <c r="P179" s="33"/>
      <c r="R179" s="2">
        <f t="shared" si="55"/>
        <v>0</v>
      </c>
      <c r="S179" s="2">
        <f t="shared" si="56"/>
        <v>0</v>
      </c>
      <c r="T179" s="2">
        <f t="shared" si="57"/>
        <v>0</v>
      </c>
      <c r="U179" s="2">
        <f t="shared" si="58"/>
        <v>0</v>
      </c>
      <c r="V179" s="2">
        <f t="shared" si="59"/>
        <v>0</v>
      </c>
      <c r="W179" s="2">
        <f t="shared" si="60"/>
        <v>0</v>
      </c>
      <c r="X179" s="2">
        <f t="shared" si="61"/>
        <v>0</v>
      </c>
      <c r="Y179" s="2">
        <f t="shared" si="62"/>
        <v>0</v>
      </c>
      <c r="Z179" s="2">
        <f t="shared" si="63"/>
        <v>0</v>
      </c>
      <c r="AA179" s="2">
        <f t="shared" si="64"/>
        <v>0</v>
      </c>
      <c r="AC179" s="2">
        <f t="shared" si="65"/>
        <v>0</v>
      </c>
      <c r="AD179" s="2">
        <f t="shared" si="66"/>
        <v>1</v>
      </c>
      <c r="AE179" s="2">
        <f t="shared" si="51"/>
        <v>0</v>
      </c>
      <c r="AF179" s="2">
        <f t="shared" si="52"/>
        <v>1</v>
      </c>
      <c r="AG179" s="2">
        <f t="shared" si="53"/>
        <v>0</v>
      </c>
      <c r="AH179" s="2">
        <f t="shared" si="54"/>
        <v>1</v>
      </c>
    </row>
    <row r="180" spans="1:34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703</v>
      </c>
      <c r="N180" s="35" t="s">
        <v>897</v>
      </c>
      <c r="O180" s="36"/>
      <c r="P180" s="36"/>
      <c r="R180" s="2">
        <f t="shared" si="55"/>
        <v>0</v>
      </c>
      <c r="S180" s="2">
        <f t="shared" si="56"/>
        <v>0</v>
      </c>
      <c r="T180" s="2">
        <f t="shared" si="57"/>
        <v>0</v>
      </c>
      <c r="U180" s="2">
        <f t="shared" si="58"/>
        <v>0</v>
      </c>
      <c r="V180" s="2">
        <f t="shared" si="59"/>
        <v>0</v>
      </c>
      <c r="W180" s="2">
        <f t="shared" si="60"/>
        <v>0</v>
      </c>
      <c r="X180" s="2">
        <f t="shared" si="61"/>
        <v>0</v>
      </c>
      <c r="Y180" s="2">
        <f t="shared" si="62"/>
        <v>0</v>
      </c>
      <c r="Z180" s="2">
        <f t="shared" si="63"/>
        <v>0</v>
      </c>
      <c r="AA180" s="2">
        <f t="shared" si="64"/>
        <v>0</v>
      </c>
      <c r="AC180" s="2">
        <f t="shared" si="65"/>
        <v>0</v>
      </c>
      <c r="AD180" s="2">
        <f t="shared" si="66"/>
        <v>0</v>
      </c>
      <c r="AE180" s="2">
        <f t="shared" si="51"/>
        <v>0</v>
      </c>
      <c r="AF180" s="2">
        <f t="shared" si="52"/>
        <v>0</v>
      </c>
      <c r="AG180" s="2">
        <f t="shared" si="53"/>
        <v>0</v>
      </c>
      <c r="AH180" s="2">
        <f t="shared" si="54"/>
        <v>1</v>
      </c>
    </row>
    <row r="181" spans="1:34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749</v>
      </c>
      <c r="N181" s="35" t="s">
        <v>912</v>
      </c>
      <c r="O181" s="36"/>
      <c r="P181" s="36"/>
      <c r="R181" s="2">
        <f t="shared" si="55"/>
        <v>0</v>
      </c>
      <c r="S181" s="2">
        <f t="shared" si="56"/>
        <v>0</v>
      </c>
      <c r="T181" s="2">
        <f t="shared" si="57"/>
        <v>1</v>
      </c>
      <c r="U181" s="2">
        <f t="shared" si="58"/>
        <v>0</v>
      </c>
      <c r="V181" s="2">
        <f t="shared" si="59"/>
        <v>0</v>
      </c>
      <c r="W181" s="2">
        <f t="shared" si="60"/>
        <v>0</v>
      </c>
      <c r="X181" s="2">
        <f t="shared" si="61"/>
        <v>0</v>
      </c>
      <c r="Y181" s="2">
        <f t="shared" si="62"/>
        <v>0</v>
      </c>
      <c r="Z181" s="2">
        <f t="shared" si="63"/>
        <v>0</v>
      </c>
      <c r="AA181" s="2">
        <f t="shared" si="64"/>
        <v>0</v>
      </c>
      <c r="AC181" s="2">
        <f t="shared" si="65"/>
        <v>0</v>
      </c>
      <c r="AD181" s="2">
        <f t="shared" si="66"/>
        <v>0</v>
      </c>
      <c r="AE181" s="2">
        <f t="shared" si="51"/>
        <v>0</v>
      </c>
      <c r="AF181" s="2">
        <f t="shared" si="52"/>
        <v>0</v>
      </c>
      <c r="AG181" s="2">
        <f t="shared" si="53"/>
        <v>0</v>
      </c>
      <c r="AH181" s="2">
        <f t="shared" si="54"/>
        <v>1</v>
      </c>
    </row>
    <row r="182" spans="1:34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930</v>
      </c>
      <c r="N182" s="35" t="s">
        <v>931</v>
      </c>
      <c r="O182" s="36"/>
      <c r="P182" s="36"/>
      <c r="R182" s="2">
        <f t="shared" si="55"/>
        <v>0</v>
      </c>
      <c r="S182" s="2">
        <f t="shared" si="56"/>
        <v>0</v>
      </c>
      <c r="T182" s="2">
        <f t="shared" si="57"/>
        <v>0</v>
      </c>
      <c r="U182" s="2">
        <f t="shared" si="58"/>
        <v>0</v>
      </c>
      <c r="V182" s="2">
        <f t="shared" si="59"/>
        <v>0</v>
      </c>
      <c r="W182" s="2">
        <f t="shared" si="60"/>
        <v>0</v>
      </c>
      <c r="X182" s="2">
        <f t="shared" si="61"/>
        <v>0</v>
      </c>
      <c r="Y182" s="2">
        <f t="shared" si="62"/>
        <v>0</v>
      </c>
      <c r="Z182" s="2">
        <f t="shared" si="63"/>
        <v>0</v>
      </c>
      <c r="AA182" s="2">
        <f t="shared" si="64"/>
        <v>0</v>
      </c>
      <c r="AC182" s="2">
        <f t="shared" si="65"/>
        <v>0</v>
      </c>
      <c r="AD182" s="2">
        <f t="shared" si="66"/>
        <v>0</v>
      </c>
      <c r="AE182" s="2">
        <f t="shared" si="51"/>
        <v>0</v>
      </c>
      <c r="AF182" s="2">
        <f t="shared" si="52"/>
        <v>0</v>
      </c>
      <c r="AG182" s="2">
        <f t="shared" si="53"/>
        <v>0</v>
      </c>
      <c r="AH182" s="2">
        <f t="shared" si="54"/>
        <v>1</v>
      </c>
    </row>
    <row r="183" spans="1:34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498</v>
      </c>
      <c r="N183" s="35" t="s">
        <v>932</v>
      </c>
      <c r="O183" s="36"/>
      <c r="P183" s="36"/>
      <c r="R183" s="2">
        <f t="shared" si="55"/>
        <v>0</v>
      </c>
      <c r="S183" s="2">
        <f t="shared" si="56"/>
        <v>0</v>
      </c>
      <c r="T183" s="2">
        <f t="shared" si="57"/>
        <v>0</v>
      </c>
      <c r="U183" s="2">
        <f t="shared" si="58"/>
        <v>0</v>
      </c>
      <c r="V183" s="2">
        <f t="shared" si="59"/>
        <v>0</v>
      </c>
      <c r="W183" s="2">
        <f t="shared" si="60"/>
        <v>0</v>
      </c>
      <c r="X183" s="2">
        <f t="shared" si="61"/>
        <v>0</v>
      </c>
      <c r="Y183" s="2">
        <f t="shared" si="62"/>
        <v>0</v>
      </c>
      <c r="Z183" s="2">
        <f t="shared" si="63"/>
        <v>0</v>
      </c>
      <c r="AA183" s="2">
        <f t="shared" si="64"/>
        <v>0</v>
      </c>
      <c r="AC183" s="2">
        <f t="shared" si="65"/>
        <v>0</v>
      </c>
      <c r="AD183" s="2">
        <f t="shared" si="66"/>
        <v>0</v>
      </c>
      <c r="AE183" s="2">
        <f t="shared" si="51"/>
        <v>0</v>
      </c>
      <c r="AF183" s="2">
        <f t="shared" si="52"/>
        <v>0</v>
      </c>
      <c r="AG183" s="2">
        <f t="shared" si="53"/>
        <v>0</v>
      </c>
      <c r="AH183" s="2">
        <f t="shared" si="54"/>
        <v>1</v>
      </c>
    </row>
    <row r="184" spans="1:34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603</v>
      </c>
      <c r="N184" s="35" t="s">
        <v>932</v>
      </c>
      <c r="O184" s="36"/>
      <c r="P184" s="36"/>
      <c r="R184" s="2">
        <f t="shared" si="55"/>
        <v>0</v>
      </c>
      <c r="S184" s="2">
        <f t="shared" si="56"/>
        <v>0</v>
      </c>
      <c r="T184" s="2">
        <f t="shared" si="57"/>
        <v>0</v>
      </c>
      <c r="U184" s="2">
        <f t="shared" si="58"/>
        <v>0</v>
      </c>
      <c r="V184" s="2">
        <f t="shared" si="59"/>
        <v>0</v>
      </c>
      <c r="W184" s="2">
        <f t="shared" si="60"/>
        <v>0</v>
      </c>
      <c r="X184" s="2">
        <f t="shared" si="61"/>
        <v>0</v>
      </c>
      <c r="Y184" s="2">
        <f t="shared" si="62"/>
        <v>0</v>
      </c>
      <c r="Z184" s="2">
        <f t="shared" si="63"/>
        <v>0</v>
      </c>
      <c r="AA184" s="2">
        <f t="shared" si="64"/>
        <v>0</v>
      </c>
      <c r="AC184" s="2">
        <f t="shared" si="65"/>
        <v>0</v>
      </c>
      <c r="AD184" s="2">
        <f t="shared" si="66"/>
        <v>0</v>
      </c>
      <c r="AE184" s="2">
        <f t="shared" si="51"/>
        <v>0</v>
      </c>
      <c r="AF184" s="2">
        <f t="shared" si="52"/>
        <v>0</v>
      </c>
      <c r="AG184" s="2">
        <f t="shared" si="53"/>
        <v>0</v>
      </c>
      <c r="AH184" s="2">
        <f t="shared" si="54"/>
        <v>1</v>
      </c>
    </row>
    <row r="185" spans="1:34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491</v>
      </c>
      <c r="J185" s="31">
        <v>3</v>
      </c>
      <c r="K185" s="31" t="s">
        <v>319</v>
      </c>
      <c r="L185" s="31" t="s">
        <v>334</v>
      </c>
      <c r="M185" s="32" t="s">
        <v>753</v>
      </c>
      <c r="N185" s="32" t="s">
        <v>902</v>
      </c>
      <c r="O185" s="33">
        <v>1</v>
      </c>
      <c r="P185" s="33"/>
      <c r="R185" s="2">
        <f t="shared" si="55"/>
        <v>0</v>
      </c>
      <c r="S185" s="2">
        <f t="shared" si="56"/>
        <v>0</v>
      </c>
      <c r="T185" s="2">
        <f t="shared" si="57"/>
        <v>1</v>
      </c>
      <c r="U185" s="2">
        <f t="shared" si="58"/>
        <v>0</v>
      </c>
      <c r="V185" s="2">
        <f t="shared" si="59"/>
        <v>0</v>
      </c>
      <c r="W185" s="2">
        <f t="shared" si="60"/>
        <v>0</v>
      </c>
      <c r="X185" s="2">
        <f t="shared" si="61"/>
        <v>0</v>
      </c>
      <c r="Y185" s="2">
        <f t="shared" si="62"/>
        <v>0</v>
      </c>
      <c r="Z185" s="2">
        <f t="shared" si="63"/>
        <v>0</v>
      </c>
      <c r="AA185" s="2">
        <f t="shared" si="64"/>
        <v>0</v>
      </c>
      <c r="AC185" s="2">
        <f t="shared" si="65"/>
        <v>0</v>
      </c>
      <c r="AD185" s="2">
        <f t="shared" si="66"/>
        <v>1</v>
      </c>
      <c r="AE185" s="2">
        <f t="shared" si="51"/>
        <v>0</v>
      </c>
      <c r="AF185" s="2">
        <f t="shared" si="52"/>
        <v>1</v>
      </c>
      <c r="AG185" s="2">
        <f t="shared" si="53"/>
        <v>0</v>
      </c>
      <c r="AH185" s="2">
        <f t="shared" si="54"/>
        <v>1</v>
      </c>
    </row>
    <row r="186" spans="1:34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829</v>
      </c>
      <c r="G186" s="32" t="s">
        <v>673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604</v>
      </c>
      <c r="N186" s="32" t="s">
        <v>916</v>
      </c>
      <c r="O186" s="33">
        <v>1</v>
      </c>
      <c r="P186" s="33"/>
      <c r="R186" s="2">
        <f t="shared" si="55"/>
        <v>0</v>
      </c>
      <c r="S186" s="2">
        <f t="shared" si="56"/>
        <v>0</v>
      </c>
      <c r="T186" s="2">
        <f t="shared" si="57"/>
        <v>0</v>
      </c>
      <c r="U186" s="2">
        <f t="shared" si="58"/>
        <v>0</v>
      </c>
      <c r="V186" s="2">
        <f t="shared" si="59"/>
        <v>0</v>
      </c>
      <c r="W186" s="2">
        <f t="shared" si="60"/>
        <v>0</v>
      </c>
      <c r="X186" s="2">
        <f t="shared" si="61"/>
        <v>0</v>
      </c>
      <c r="Y186" s="2">
        <f t="shared" si="62"/>
        <v>0</v>
      </c>
      <c r="Z186" s="2">
        <f t="shared" si="63"/>
        <v>0</v>
      </c>
      <c r="AA186" s="2">
        <f t="shared" si="64"/>
        <v>0</v>
      </c>
      <c r="AC186" s="2">
        <f t="shared" si="65"/>
        <v>0</v>
      </c>
      <c r="AD186" s="2">
        <f t="shared" si="66"/>
        <v>1</v>
      </c>
      <c r="AE186" s="2">
        <f t="shared" si="51"/>
        <v>0</v>
      </c>
      <c r="AF186" s="2">
        <f t="shared" si="52"/>
        <v>1</v>
      </c>
      <c r="AG186" s="2">
        <f t="shared" si="53"/>
        <v>0</v>
      </c>
      <c r="AH186" s="2">
        <f t="shared" si="54"/>
        <v>1</v>
      </c>
    </row>
    <row r="187" spans="1:34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595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R187" s="2">
        <f t="shared" si="55"/>
        <v>0</v>
      </c>
      <c r="S187" s="2">
        <f t="shared" si="56"/>
        <v>0</v>
      </c>
      <c r="T187" s="2">
        <f t="shared" si="57"/>
        <v>0</v>
      </c>
      <c r="U187" s="2">
        <f t="shared" si="58"/>
        <v>0</v>
      </c>
      <c r="V187" s="2">
        <f t="shared" si="59"/>
        <v>0</v>
      </c>
      <c r="W187" s="2">
        <f t="shared" si="60"/>
        <v>0</v>
      </c>
      <c r="X187" s="2">
        <f t="shared" si="61"/>
        <v>0</v>
      </c>
      <c r="Y187" s="2">
        <f t="shared" si="62"/>
        <v>0</v>
      </c>
      <c r="Z187" s="2">
        <f t="shared" si="63"/>
        <v>0</v>
      </c>
      <c r="AA187" s="2">
        <f t="shared" si="64"/>
        <v>1</v>
      </c>
      <c r="AC187" s="2">
        <f t="shared" si="65"/>
        <v>0</v>
      </c>
      <c r="AD187" s="2">
        <f t="shared" si="66"/>
        <v>0</v>
      </c>
      <c r="AE187" s="2">
        <f t="shared" si="51"/>
        <v>0</v>
      </c>
      <c r="AF187" s="2">
        <f t="shared" si="52"/>
        <v>0</v>
      </c>
      <c r="AG187" s="2">
        <f t="shared" si="53"/>
        <v>0</v>
      </c>
      <c r="AH187" s="2">
        <f t="shared" si="54"/>
        <v>1</v>
      </c>
    </row>
    <row r="188" spans="1:34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831</v>
      </c>
      <c r="H188" s="35" t="s">
        <v>165</v>
      </c>
      <c r="I188" s="34" t="s">
        <v>632</v>
      </c>
      <c r="J188" s="34">
        <v>99</v>
      </c>
      <c r="K188" s="34" t="s">
        <v>320</v>
      </c>
      <c r="L188" s="34" t="s">
        <v>341</v>
      </c>
      <c r="M188" s="35" t="s">
        <v>786</v>
      </c>
      <c r="N188" s="35" t="s">
        <v>903</v>
      </c>
      <c r="O188" s="36"/>
      <c r="P188" s="36"/>
      <c r="R188" s="2">
        <f t="shared" si="55"/>
        <v>0</v>
      </c>
      <c r="S188" s="2">
        <f t="shared" si="56"/>
        <v>0</v>
      </c>
      <c r="T188" s="2">
        <f t="shared" si="57"/>
        <v>0</v>
      </c>
      <c r="U188" s="2">
        <f t="shared" si="58"/>
        <v>0</v>
      </c>
      <c r="V188" s="2">
        <f t="shared" si="59"/>
        <v>0</v>
      </c>
      <c r="W188" s="2">
        <f t="shared" si="60"/>
        <v>0</v>
      </c>
      <c r="X188" s="2">
        <f t="shared" si="61"/>
        <v>0</v>
      </c>
      <c r="Y188" s="2">
        <f t="shared" si="62"/>
        <v>0</v>
      </c>
      <c r="Z188" s="2">
        <f t="shared" si="63"/>
        <v>0</v>
      </c>
      <c r="AA188" s="2">
        <f t="shared" si="64"/>
        <v>0</v>
      </c>
      <c r="AC188" s="2">
        <f t="shared" si="65"/>
        <v>0</v>
      </c>
      <c r="AD188" s="2">
        <f t="shared" si="66"/>
        <v>0</v>
      </c>
      <c r="AE188" s="2">
        <f t="shared" si="51"/>
        <v>0</v>
      </c>
      <c r="AF188" s="2">
        <f t="shared" si="52"/>
        <v>0</v>
      </c>
      <c r="AG188" s="2">
        <f t="shared" si="53"/>
        <v>0</v>
      </c>
      <c r="AH188" s="2">
        <f t="shared" si="54"/>
        <v>1</v>
      </c>
    </row>
    <row r="189" spans="1:34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4" t="s">
        <v>645</v>
      </c>
      <c r="J189" s="34">
        <v>99</v>
      </c>
      <c r="K189" s="34" t="s">
        <v>320</v>
      </c>
      <c r="L189" s="34" t="s">
        <v>346</v>
      </c>
      <c r="M189" s="35" t="s">
        <v>643</v>
      </c>
      <c r="N189" s="35" t="s">
        <v>899</v>
      </c>
      <c r="O189" s="36"/>
      <c r="P189" s="36"/>
      <c r="R189" s="2">
        <f t="shared" si="55"/>
        <v>0</v>
      </c>
      <c r="S189" s="2">
        <f t="shared" si="56"/>
        <v>0</v>
      </c>
      <c r="T189" s="2">
        <f t="shared" si="57"/>
        <v>0</v>
      </c>
      <c r="U189" s="2">
        <f t="shared" si="58"/>
        <v>0</v>
      </c>
      <c r="V189" s="2">
        <f t="shared" si="59"/>
        <v>0</v>
      </c>
      <c r="W189" s="2">
        <f t="shared" si="60"/>
        <v>0</v>
      </c>
      <c r="X189" s="2">
        <f t="shared" si="61"/>
        <v>0</v>
      </c>
      <c r="Y189" s="2">
        <f t="shared" si="62"/>
        <v>0</v>
      </c>
      <c r="Z189" s="2">
        <f t="shared" si="63"/>
        <v>0</v>
      </c>
      <c r="AA189" s="2">
        <f t="shared" si="64"/>
        <v>0</v>
      </c>
      <c r="AC189" s="2">
        <f t="shared" si="65"/>
        <v>0</v>
      </c>
      <c r="AD189" s="2">
        <f t="shared" si="66"/>
        <v>0</v>
      </c>
      <c r="AE189" s="2">
        <f t="shared" si="51"/>
        <v>0</v>
      </c>
      <c r="AF189" s="2">
        <f t="shared" si="52"/>
        <v>0</v>
      </c>
      <c r="AG189" s="2">
        <f t="shared" si="53"/>
        <v>0</v>
      </c>
      <c r="AH189" s="2">
        <f t="shared" si="54"/>
        <v>1</v>
      </c>
    </row>
    <row r="190" spans="1:34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4" t="s">
        <v>617</v>
      </c>
      <c r="J190" s="34">
        <v>1</v>
      </c>
      <c r="K190" s="34" t="s">
        <v>318</v>
      </c>
      <c r="L190" s="34" t="s">
        <v>343</v>
      </c>
      <c r="M190" s="35" t="s">
        <v>618</v>
      </c>
      <c r="N190" s="35" t="s">
        <v>932</v>
      </c>
      <c r="O190" s="36"/>
      <c r="P190" s="36"/>
      <c r="R190" s="2">
        <f t="shared" si="55"/>
        <v>1</v>
      </c>
      <c r="S190" s="2">
        <f t="shared" si="56"/>
        <v>0</v>
      </c>
      <c r="T190" s="2">
        <f t="shared" si="57"/>
        <v>0</v>
      </c>
      <c r="U190" s="2">
        <f t="shared" si="58"/>
        <v>0</v>
      </c>
      <c r="V190" s="2">
        <f t="shared" si="59"/>
        <v>0</v>
      </c>
      <c r="W190" s="2">
        <f t="shared" si="60"/>
        <v>0</v>
      </c>
      <c r="X190" s="2">
        <f t="shared" si="61"/>
        <v>0</v>
      </c>
      <c r="Y190" s="2">
        <f t="shared" si="62"/>
        <v>0</v>
      </c>
      <c r="Z190" s="2">
        <f t="shared" si="63"/>
        <v>0</v>
      </c>
      <c r="AA190" s="2">
        <f t="shared" si="64"/>
        <v>0</v>
      </c>
      <c r="AC190" s="2">
        <f t="shared" si="65"/>
        <v>0</v>
      </c>
      <c r="AD190" s="2">
        <f t="shared" si="66"/>
        <v>0</v>
      </c>
      <c r="AE190" s="2">
        <f t="shared" si="51"/>
        <v>0</v>
      </c>
      <c r="AF190" s="2">
        <f t="shared" si="52"/>
        <v>0</v>
      </c>
      <c r="AG190" s="2">
        <f t="shared" si="53"/>
        <v>0</v>
      </c>
      <c r="AH190" s="2">
        <f t="shared" si="54"/>
        <v>1</v>
      </c>
    </row>
    <row r="191" spans="1:34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850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912</v>
      </c>
      <c r="O191" s="36"/>
      <c r="P191" s="36"/>
      <c r="R191" s="2">
        <f t="shared" si="55"/>
        <v>0</v>
      </c>
      <c r="S191" s="2">
        <f t="shared" si="56"/>
        <v>0</v>
      </c>
      <c r="T191" s="2">
        <f t="shared" si="57"/>
        <v>0</v>
      </c>
      <c r="U191" s="2">
        <f t="shared" si="58"/>
        <v>0</v>
      </c>
      <c r="V191" s="2">
        <f t="shared" si="59"/>
        <v>0</v>
      </c>
      <c r="W191" s="2">
        <f t="shared" si="60"/>
        <v>0</v>
      </c>
      <c r="X191" s="2">
        <f t="shared" si="61"/>
        <v>0</v>
      </c>
      <c r="Y191" s="2">
        <f t="shared" si="62"/>
        <v>1</v>
      </c>
      <c r="Z191" s="2">
        <f t="shared" si="63"/>
        <v>0</v>
      </c>
      <c r="AA191" s="2">
        <f t="shared" si="64"/>
        <v>0</v>
      </c>
      <c r="AC191" s="2">
        <f t="shared" si="65"/>
        <v>0</v>
      </c>
      <c r="AD191" s="2">
        <f t="shared" si="66"/>
        <v>0</v>
      </c>
      <c r="AE191" s="2">
        <f t="shared" si="51"/>
        <v>0</v>
      </c>
      <c r="AF191" s="2">
        <f t="shared" si="52"/>
        <v>0</v>
      </c>
      <c r="AG191" s="2">
        <f t="shared" si="53"/>
        <v>0</v>
      </c>
      <c r="AH191" s="2">
        <f t="shared" si="54"/>
        <v>1</v>
      </c>
    </row>
    <row r="192" spans="1:34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957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701</v>
      </c>
      <c r="N192" s="35" t="s">
        <v>931</v>
      </c>
      <c r="O192" s="36"/>
      <c r="P192" s="36"/>
      <c r="R192" s="2">
        <f t="shared" si="55"/>
        <v>0</v>
      </c>
      <c r="S192" s="2">
        <f t="shared" si="56"/>
        <v>0</v>
      </c>
      <c r="T192" s="2">
        <f t="shared" si="57"/>
        <v>0</v>
      </c>
      <c r="U192" s="2">
        <f t="shared" si="58"/>
        <v>0</v>
      </c>
      <c r="V192" s="2">
        <f t="shared" si="59"/>
        <v>0</v>
      </c>
      <c r="W192" s="2">
        <f t="shared" si="60"/>
        <v>1</v>
      </c>
      <c r="X192" s="2">
        <f t="shared" si="61"/>
        <v>0</v>
      </c>
      <c r="Y192" s="2">
        <f t="shared" si="62"/>
        <v>0</v>
      </c>
      <c r="Z192" s="2">
        <f t="shared" si="63"/>
        <v>0</v>
      </c>
      <c r="AA192" s="2">
        <f t="shared" si="64"/>
        <v>0</v>
      </c>
      <c r="AC192" s="2">
        <f t="shared" si="65"/>
        <v>0</v>
      </c>
      <c r="AD192" s="2">
        <f t="shared" si="66"/>
        <v>0</v>
      </c>
      <c r="AE192" s="2">
        <f t="shared" si="51"/>
        <v>0</v>
      </c>
      <c r="AF192" s="2">
        <f t="shared" si="52"/>
        <v>0</v>
      </c>
      <c r="AG192" s="2">
        <f t="shared" si="53"/>
        <v>0</v>
      </c>
      <c r="AH192" s="2">
        <f t="shared" si="54"/>
        <v>1</v>
      </c>
    </row>
    <row r="193" spans="1:34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1" t="s">
        <v>696</v>
      </c>
      <c r="J193" s="31">
        <v>5</v>
      </c>
      <c r="K193" s="31" t="s">
        <v>320</v>
      </c>
      <c r="L193" s="31">
        <v>30</v>
      </c>
      <c r="M193" s="32" t="s">
        <v>750</v>
      </c>
      <c r="N193" s="32" t="s">
        <v>915</v>
      </c>
      <c r="O193" s="33">
        <v>1</v>
      </c>
      <c r="P193" s="33"/>
      <c r="R193" s="2">
        <f t="shared" si="55"/>
        <v>0</v>
      </c>
      <c r="S193" s="2">
        <f t="shared" si="56"/>
        <v>0</v>
      </c>
      <c r="T193" s="2">
        <f t="shared" si="57"/>
        <v>0</v>
      </c>
      <c r="U193" s="2">
        <f t="shared" si="58"/>
        <v>0</v>
      </c>
      <c r="V193" s="2">
        <f t="shared" si="59"/>
        <v>1</v>
      </c>
      <c r="W193" s="2">
        <f t="shared" si="60"/>
        <v>0</v>
      </c>
      <c r="X193" s="2">
        <f t="shared" si="61"/>
        <v>0</v>
      </c>
      <c r="Y193" s="2">
        <f t="shared" si="62"/>
        <v>0</v>
      </c>
      <c r="Z193" s="2">
        <f t="shared" si="63"/>
        <v>0</v>
      </c>
      <c r="AA193" s="2">
        <f t="shared" si="64"/>
        <v>0</v>
      </c>
      <c r="AC193" s="2">
        <f t="shared" si="65"/>
        <v>0</v>
      </c>
      <c r="AD193" s="2">
        <f t="shared" si="66"/>
        <v>1</v>
      </c>
      <c r="AE193" s="2">
        <f t="shared" si="51"/>
        <v>0</v>
      </c>
      <c r="AF193" s="2">
        <f t="shared" si="52"/>
        <v>1</v>
      </c>
      <c r="AG193" s="2">
        <f t="shared" si="53"/>
        <v>0</v>
      </c>
      <c r="AH193" s="2">
        <f t="shared" si="54"/>
        <v>1</v>
      </c>
    </row>
    <row r="194" spans="1:34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702</v>
      </c>
      <c r="N194" s="35" t="s">
        <v>931</v>
      </c>
      <c r="O194" s="36"/>
      <c r="P194" s="36"/>
      <c r="R194" s="2">
        <f t="shared" si="55"/>
        <v>0</v>
      </c>
      <c r="S194" s="2">
        <f t="shared" si="56"/>
        <v>0</v>
      </c>
      <c r="T194" s="2">
        <f t="shared" si="57"/>
        <v>0</v>
      </c>
      <c r="U194" s="2">
        <f t="shared" si="58"/>
        <v>0</v>
      </c>
      <c r="V194" s="2">
        <f t="shared" si="59"/>
        <v>0</v>
      </c>
      <c r="W194" s="2">
        <f t="shared" si="60"/>
        <v>1</v>
      </c>
      <c r="X194" s="2">
        <f t="shared" si="61"/>
        <v>0</v>
      </c>
      <c r="Y194" s="2">
        <f t="shared" si="62"/>
        <v>0</v>
      </c>
      <c r="Z194" s="2">
        <f t="shared" si="63"/>
        <v>0</v>
      </c>
      <c r="AA194" s="2">
        <f t="shared" si="64"/>
        <v>0</v>
      </c>
      <c r="AC194" s="2">
        <f t="shared" si="65"/>
        <v>0</v>
      </c>
      <c r="AD194" s="2">
        <f t="shared" si="66"/>
        <v>0</v>
      </c>
      <c r="AE194" s="2">
        <f t="shared" si="51"/>
        <v>0</v>
      </c>
      <c r="AF194" s="2">
        <f t="shared" si="52"/>
        <v>0</v>
      </c>
      <c r="AG194" s="2">
        <f t="shared" si="53"/>
        <v>0</v>
      </c>
      <c r="AH194" s="2">
        <f t="shared" si="54"/>
        <v>1</v>
      </c>
    </row>
    <row r="195" spans="1:34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4" t="s">
        <v>614</v>
      </c>
      <c r="J195" s="34"/>
      <c r="K195" s="34" t="s">
        <v>378</v>
      </c>
      <c r="L195" s="34">
        <v>30</v>
      </c>
      <c r="M195" s="35" t="s">
        <v>272</v>
      </c>
      <c r="N195" s="35" t="s">
        <v>899</v>
      </c>
      <c r="O195" s="36"/>
      <c r="P195" s="36"/>
      <c r="R195" s="2">
        <f t="shared" si="55"/>
        <v>0</v>
      </c>
      <c r="S195" s="2">
        <f t="shared" si="56"/>
        <v>0</v>
      </c>
      <c r="T195" s="2">
        <f t="shared" si="57"/>
        <v>0</v>
      </c>
      <c r="U195" s="2">
        <f t="shared" si="58"/>
        <v>0</v>
      </c>
      <c r="V195" s="2">
        <f t="shared" si="59"/>
        <v>0</v>
      </c>
      <c r="W195" s="2">
        <f t="shared" si="60"/>
        <v>0</v>
      </c>
      <c r="X195" s="2">
        <f t="shared" si="61"/>
        <v>0</v>
      </c>
      <c r="Y195" s="2">
        <f t="shared" si="62"/>
        <v>0</v>
      </c>
      <c r="Z195" s="2">
        <f t="shared" si="63"/>
        <v>0</v>
      </c>
      <c r="AA195" s="2">
        <f t="shared" si="64"/>
        <v>0</v>
      </c>
      <c r="AC195" s="2">
        <f t="shared" si="65"/>
        <v>0</v>
      </c>
      <c r="AD195" s="2">
        <f t="shared" si="66"/>
        <v>0</v>
      </c>
      <c r="AE195" s="2">
        <f t="shared" si="51"/>
        <v>0</v>
      </c>
      <c r="AF195" s="2">
        <f t="shared" si="52"/>
        <v>0</v>
      </c>
      <c r="AG195" s="2">
        <f t="shared" si="53"/>
        <v>0</v>
      </c>
      <c r="AH195" s="2">
        <f t="shared" si="54"/>
        <v>1</v>
      </c>
    </row>
    <row r="196" spans="1:34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955</v>
      </c>
      <c r="G196" s="35" t="s">
        <v>584</v>
      </c>
      <c r="H196" s="35" t="s">
        <v>165</v>
      </c>
      <c r="I196" s="34" t="s">
        <v>535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900</v>
      </c>
      <c r="O196" s="36"/>
      <c r="P196" s="36"/>
      <c r="R196" s="2">
        <f t="shared" si="55"/>
        <v>0</v>
      </c>
      <c r="S196" s="2">
        <f t="shared" si="56"/>
        <v>1</v>
      </c>
      <c r="T196" s="2">
        <f t="shared" si="57"/>
        <v>0</v>
      </c>
      <c r="U196" s="2">
        <f t="shared" si="58"/>
        <v>0</v>
      </c>
      <c r="V196" s="2">
        <f t="shared" si="59"/>
        <v>0</v>
      </c>
      <c r="W196" s="2">
        <f t="shared" si="60"/>
        <v>0</v>
      </c>
      <c r="X196" s="2">
        <f t="shared" si="61"/>
        <v>0</v>
      </c>
      <c r="Y196" s="2">
        <f t="shared" si="62"/>
        <v>0</v>
      </c>
      <c r="Z196" s="2">
        <f t="shared" si="63"/>
        <v>0</v>
      </c>
      <c r="AA196" s="2">
        <f t="shared" si="64"/>
        <v>0</v>
      </c>
      <c r="AC196" s="2">
        <f t="shared" si="65"/>
        <v>0</v>
      </c>
      <c r="AD196" s="2">
        <f t="shared" si="66"/>
        <v>0</v>
      </c>
      <c r="AE196" s="2">
        <f t="shared" si="51"/>
        <v>0</v>
      </c>
      <c r="AF196" s="2">
        <f t="shared" si="52"/>
        <v>0</v>
      </c>
      <c r="AG196" s="2">
        <f t="shared" si="53"/>
        <v>0</v>
      </c>
      <c r="AH196" s="2">
        <f t="shared" si="54"/>
        <v>1</v>
      </c>
    </row>
    <row r="197" spans="1:34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956</v>
      </c>
      <c r="G197" s="35" t="s">
        <v>103</v>
      </c>
      <c r="H197" s="35" t="s">
        <v>165</v>
      </c>
      <c r="I197" s="34" t="s">
        <v>849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900</v>
      </c>
      <c r="O197" s="36"/>
      <c r="P197" s="36"/>
      <c r="R197" s="2">
        <f t="shared" si="55"/>
        <v>0</v>
      </c>
      <c r="S197" s="2">
        <f t="shared" si="56"/>
        <v>0</v>
      </c>
      <c r="T197" s="2">
        <f t="shared" si="57"/>
        <v>0</v>
      </c>
      <c r="U197" s="2">
        <f t="shared" si="58"/>
        <v>0</v>
      </c>
      <c r="V197" s="2">
        <f t="shared" si="59"/>
        <v>0</v>
      </c>
      <c r="W197" s="2">
        <f t="shared" si="60"/>
        <v>1</v>
      </c>
      <c r="X197" s="2">
        <f t="shared" si="61"/>
        <v>0</v>
      </c>
      <c r="Y197" s="2">
        <f t="shared" si="62"/>
        <v>0</v>
      </c>
      <c r="Z197" s="2">
        <f t="shared" si="63"/>
        <v>0</v>
      </c>
      <c r="AA197" s="2">
        <f t="shared" si="64"/>
        <v>0</v>
      </c>
      <c r="AC197" s="2">
        <f t="shared" si="65"/>
        <v>0</v>
      </c>
      <c r="AD197" s="2">
        <f t="shared" si="66"/>
        <v>0</v>
      </c>
      <c r="AE197" s="2">
        <f t="shared" si="51"/>
        <v>0</v>
      </c>
      <c r="AF197" s="2">
        <f t="shared" si="52"/>
        <v>0</v>
      </c>
      <c r="AG197" s="2">
        <f t="shared" si="53"/>
        <v>0</v>
      </c>
      <c r="AH197" s="2">
        <f t="shared" si="54"/>
        <v>0</v>
      </c>
    </row>
    <row r="198" spans="1:34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896</v>
      </c>
      <c r="O198" s="33">
        <v>1</v>
      </c>
      <c r="P198" s="33">
        <v>1</v>
      </c>
      <c r="R198" s="2">
        <f t="shared" si="55"/>
        <v>0</v>
      </c>
      <c r="S198" s="2">
        <f t="shared" si="56"/>
        <v>0</v>
      </c>
      <c r="T198" s="2">
        <f t="shared" si="57"/>
        <v>0</v>
      </c>
      <c r="U198" s="2">
        <f t="shared" si="58"/>
        <v>0</v>
      </c>
      <c r="V198" s="2">
        <f t="shared" si="59"/>
        <v>0</v>
      </c>
      <c r="W198" s="2">
        <f t="shared" si="60"/>
        <v>0</v>
      </c>
      <c r="X198" s="2">
        <f t="shared" si="61"/>
        <v>0</v>
      </c>
      <c r="Y198" s="2">
        <f t="shared" si="62"/>
        <v>0</v>
      </c>
      <c r="Z198" s="2">
        <f t="shared" si="63"/>
        <v>1</v>
      </c>
      <c r="AA198" s="2">
        <f t="shared" si="64"/>
        <v>0</v>
      </c>
      <c r="AC198" s="2">
        <f t="shared" si="65"/>
        <v>1</v>
      </c>
      <c r="AD198" s="2">
        <f t="shared" si="66"/>
        <v>0</v>
      </c>
      <c r="AE198" s="2">
        <f t="shared" si="51"/>
        <v>1</v>
      </c>
      <c r="AF198" s="2">
        <f t="shared" si="52"/>
        <v>0</v>
      </c>
      <c r="AG198" s="2">
        <f t="shared" si="53"/>
        <v>1</v>
      </c>
      <c r="AH198" s="2">
        <f t="shared" si="54"/>
        <v>0</v>
      </c>
    </row>
    <row r="199" spans="1:34" ht="14.25" customHeight="1" x14ac:dyDescent="0.25">
      <c r="A199" s="31">
        <v>0</v>
      </c>
      <c r="B199" s="31">
        <v>2</v>
      </c>
      <c r="C199" s="31">
        <v>7</v>
      </c>
      <c r="D199" s="32" t="s">
        <v>927</v>
      </c>
      <c r="E199" s="32" t="s">
        <v>921</v>
      </c>
      <c r="F199" s="32" t="s">
        <v>925</v>
      </c>
      <c r="G199" s="32" t="s">
        <v>132</v>
      </c>
      <c r="H199" s="32" t="s">
        <v>165</v>
      </c>
      <c r="I199" s="31" t="s">
        <v>928</v>
      </c>
      <c r="J199" s="31">
        <v>99</v>
      </c>
      <c r="K199" s="31" t="s">
        <v>378</v>
      </c>
      <c r="L199" s="31"/>
      <c r="M199" s="32"/>
      <c r="N199" s="32" t="s">
        <v>896</v>
      </c>
      <c r="O199" s="33">
        <v>1</v>
      </c>
      <c r="P199" s="33">
        <v>1</v>
      </c>
      <c r="R199" s="2">
        <f t="shared" si="55"/>
        <v>0</v>
      </c>
      <c r="S199" s="2">
        <f t="shared" si="56"/>
        <v>0</v>
      </c>
      <c r="T199" s="2">
        <f t="shared" si="57"/>
        <v>0</v>
      </c>
      <c r="U199" s="2">
        <f t="shared" si="58"/>
        <v>0</v>
      </c>
      <c r="V199" s="2">
        <f t="shared" si="59"/>
        <v>0</v>
      </c>
      <c r="W199" s="2">
        <f t="shared" si="60"/>
        <v>0</v>
      </c>
      <c r="X199" s="2">
        <f t="shared" si="61"/>
        <v>0</v>
      </c>
      <c r="Y199" s="2">
        <f t="shared" si="62"/>
        <v>0</v>
      </c>
      <c r="Z199" s="2">
        <f t="shared" si="63"/>
        <v>0</v>
      </c>
      <c r="AA199" s="2">
        <f t="shared" si="64"/>
        <v>0</v>
      </c>
      <c r="AC199" s="2">
        <f t="shared" si="65"/>
        <v>1</v>
      </c>
      <c r="AD199" s="2">
        <f t="shared" si="66"/>
        <v>0</v>
      </c>
      <c r="AE199" s="2">
        <f t="shared" si="51"/>
        <v>1</v>
      </c>
      <c r="AF199" s="2">
        <f t="shared" si="52"/>
        <v>0</v>
      </c>
      <c r="AG199" s="2">
        <f t="shared" si="53"/>
        <v>1</v>
      </c>
      <c r="AH199" s="2">
        <f t="shared" si="54"/>
        <v>0</v>
      </c>
    </row>
    <row r="200" spans="1:34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1" t="s">
        <v>522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902</v>
      </c>
      <c r="O200" s="33">
        <v>1</v>
      </c>
      <c r="P200" s="33"/>
      <c r="R200" s="2">
        <f t="shared" si="55"/>
        <v>0</v>
      </c>
      <c r="S200" s="2">
        <f t="shared" si="56"/>
        <v>0</v>
      </c>
      <c r="T200" s="2">
        <f t="shared" si="57"/>
        <v>0</v>
      </c>
      <c r="U200" s="2">
        <f t="shared" si="58"/>
        <v>0</v>
      </c>
      <c r="V200" s="2">
        <f t="shared" si="59"/>
        <v>0</v>
      </c>
      <c r="W200" s="2">
        <f t="shared" si="60"/>
        <v>0</v>
      </c>
      <c r="X200" s="2">
        <f t="shared" si="61"/>
        <v>1</v>
      </c>
      <c r="Y200" s="2">
        <f t="shared" si="62"/>
        <v>0</v>
      </c>
      <c r="Z200" s="2">
        <f t="shared" si="63"/>
        <v>0</v>
      </c>
      <c r="AA200" s="2">
        <f t="shared" si="64"/>
        <v>0</v>
      </c>
      <c r="AC200" s="2">
        <f t="shared" si="65"/>
        <v>0</v>
      </c>
      <c r="AD200" s="2">
        <f t="shared" si="66"/>
        <v>1</v>
      </c>
      <c r="AE200" s="2">
        <f t="shared" si="51"/>
        <v>0</v>
      </c>
      <c r="AF200" s="2">
        <f t="shared" si="52"/>
        <v>1</v>
      </c>
      <c r="AG200" s="2">
        <f t="shared" si="53"/>
        <v>0</v>
      </c>
      <c r="AH200" s="2">
        <f t="shared" si="54"/>
        <v>1</v>
      </c>
    </row>
    <row r="201" spans="1:34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484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932</v>
      </c>
      <c r="O201" s="36"/>
      <c r="P201" s="36"/>
      <c r="R201" s="2">
        <f t="shared" si="55"/>
        <v>1</v>
      </c>
      <c r="S201" s="2">
        <f t="shared" si="56"/>
        <v>0</v>
      </c>
      <c r="T201" s="2">
        <f t="shared" si="57"/>
        <v>0</v>
      </c>
      <c r="U201" s="2">
        <f t="shared" si="58"/>
        <v>0</v>
      </c>
      <c r="V201" s="2">
        <f t="shared" si="59"/>
        <v>0</v>
      </c>
      <c r="W201" s="2">
        <f t="shared" si="60"/>
        <v>0</v>
      </c>
      <c r="X201" s="2">
        <f t="shared" si="61"/>
        <v>0</v>
      </c>
      <c r="Y201" s="2">
        <f t="shared" si="62"/>
        <v>0</v>
      </c>
      <c r="Z201" s="2">
        <f t="shared" si="63"/>
        <v>0</v>
      </c>
      <c r="AA201" s="2">
        <f t="shared" si="64"/>
        <v>0</v>
      </c>
      <c r="AC201" s="2">
        <f t="shared" si="65"/>
        <v>0</v>
      </c>
      <c r="AD201" s="2">
        <f t="shared" si="66"/>
        <v>0</v>
      </c>
      <c r="AE201" s="2">
        <f t="shared" si="51"/>
        <v>0</v>
      </c>
      <c r="AF201" s="2">
        <f t="shared" si="52"/>
        <v>0</v>
      </c>
      <c r="AG201" s="2">
        <f t="shared" si="53"/>
        <v>0</v>
      </c>
      <c r="AH201" s="2">
        <f t="shared" si="54"/>
        <v>1</v>
      </c>
    </row>
    <row r="202" spans="1:34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896</v>
      </c>
      <c r="O202" s="33">
        <v>1</v>
      </c>
      <c r="P202" s="33">
        <v>1</v>
      </c>
      <c r="R202" s="2">
        <f t="shared" si="55"/>
        <v>0</v>
      </c>
      <c r="S202" s="2">
        <f t="shared" si="56"/>
        <v>0</v>
      </c>
      <c r="T202" s="2">
        <f t="shared" si="57"/>
        <v>0</v>
      </c>
      <c r="U202" s="2">
        <f t="shared" si="58"/>
        <v>0</v>
      </c>
      <c r="V202" s="2">
        <f t="shared" si="59"/>
        <v>0</v>
      </c>
      <c r="W202" s="2">
        <f t="shared" si="60"/>
        <v>1</v>
      </c>
      <c r="X202" s="2">
        <f t="shared" si="61"/>
        <v>0</v>
      </c>
      <c r="Y202" s="2">
        <f t="shared" si="62"/>
        <v>0</v>
      </c>
      <c r="Z202" s="2">
        <f t="shared" si="63"/>
        <v>0</v>
      </c>
      <c r="AA202" s="2">
        <f t="shared" si="64"/>
        <v>0</v>
      </c>
      <c r="AC202" s="2">
        <f t="shared" si="65"/>
        <v>1</v>
      </c>
      <c r="AD202" s="2">
        <f t="shared" si="66"/>
        <v>0</v>
      </c>
      <c r="AE202" s="2">
        <f t="shared" si="51"/>
        <v>1</v>
      </c>
      <c r="AF202" s="2">
        <f t="shared" si="52"/>
        <v>0</v>
      </c>
      <c r="AG202" s="2">
        <f t="shared" si="53"/>
        <v>1</v>
      </c>
      <c r="AH202" s="2">
        <f t="shared" si="54"/>
        <v>0</v>
      </c>
    </row>
    <row r="203" spans="1:34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896</v>
      </c>
      <c r="O203" s="33">
        <v>1</v>
      </c>
      <c r="P203" s="33">
        <v>1</v>
      </c>
      <c r="R203" s="2">
        <f t="shared" si="55"/>
        <v>0</v>
      </c>
      <c r="S203" s="2">
        <f t="shared" si="56"/>
        <v>0</v>
      </c>
      <c r="T203" s="2">
        <f t="shared" si="57"/>
        <v>0</v>
      </c>
      <c r="U203" s="2">
        <f t="shared" si="58"/>
        <v>0</v>
      </c>
      <c r="V203" s="2">
        <f t="shared" si="59"/>
        <v>0</v>
      </c>
      <c r="W203" s="2">
        <f t="shared" si="60"/>
        <v>0</v>
      </c>
      <c r="X203" s="2">
        <f t="shared" si="61"/>
        <v>0</v>
      </c>
      <c r="Y203" s="2">
        <f t="shared" si="62"/>
        <v>0</v>
      </c>
      <c r="Z203" s="2">
        <f t="shared" si="63"/>
        <v>0</v>
      </c>
      <c r="AA203" s="2">
        <f t="shared" si="64"/>
        <v>0</v>
      </c>
      <c r="AC203" s="2">
        <f t="shared" si="65"/>
        <v>1</v>
      </c>
      <c r="AD203" s="2">
        <f t="shared" si="66"/>
        <v>0</v>
      </c>
      <c r="AE203" s="2">
        <f t="shared" si="51"/>
        <v>1</v>
      </c>
      <c r="AF203" s="2">
        <f t="shared" si="52"/>
        <v>0</v>
      </c>
      <c r="AG203" s="2">
        <f t="shared" si="53"/>
        <v>1</v>
      </c>
      <c r="AH203" s="2">
        <f t="shared" si="54"/>
        <v>0</v>
      </c>
    </row>
    <row r="204" spans="1:34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593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933</v>
      </c>
      <c r="O204" s="33">
        <v>1</v>
      </c>
      <c r="P204" s="33"/>
      <c r="R204" s="2">
        <f t="shared" si="55"/>
        <v>0</v>
      </c>
      <c r="S204" s="2">
        <f t="shared" si="56"/>
        <v>0</v>
      </c>
      <c r="T204" s="2">
        <f t="shared" si="57"/>
        <v>0</v>
      </c>
      <c r="U204" s="2">
        <f t="shared" si="58"/>
        <v>0</v>
      </c>
      <c r="V204" s="2">
        <f t="shared" si="59"/>
        <v>0</v>
      </c>
      <c r="W204" s="2">
        <f t="shared" si="60"/>
        <v>0</v>
      </c>
      <c r="X204" s="2">
        <f t="shared" si="61"/>
        <v>0</v>
      </c>
      <c r="Y204" s="2">
        <f t="shared" si="62"/>
        <v>0</v>
      </c>
      <c r="Z204" s="2">
        <f t="shared" si="63"/>
        <v>0</v>
      </c>
      <c r="AA204" s="2">
        <f t="shared" si="64"/>
        <v>0</v>
      </c>
      <c r="AC204" s="2">
        <f t="shared" si="65"/>
        <v>0</v>
      </c>
      <c r="AD204" s="2">
        <f t="shared" si="66"/>
        <v>1</v>
      </c>
      <c r="AE204" s="2">
        <f t="shared" si="51"/>
        <v>0</v>
      </c>
      <c r="AF204" s="2">
        <f t="shared" si="52"/>
        <v>1</v>
      </c>
      <c r="AG204" s="2">
        <f t="shared" si="53"/>
        <v>0</v>
      </c>
      <c r="AH204" s="2">
        <f t="shared" si="54"/>
        <v>1</v>
      </c>
    </row>
    <row r="205" spans="1:34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1" t="s">
        <v>593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933</v>
      </c>
      <c r="O205" s="33">
        <v>1</v>
      </c>
      <c r="P205" s="33"/>
      <c r="R205" s="2">
        <f t="shared" si="55"/>
        <v>0</v>
      </c>
      <c r="S205" s="2">
        <f t="shared" si="56"/>
        <v>0</v>
      </c>
      <c r="T205" s="2">
        <f t="shared" si="57"/>
        <v>0</v>
      </c>
      <c r="U205" s="2">
        <f t="shared" si="58"/>
        <v>0</v>
      </c>
      <c r="V205" s="2">
        <f t="shared" si="59"/>
        <v>0</v>
      </c>
      <c r="W205" s="2">
        <f t="shared" si="60"/>
        <v>0</v>
      </c>
      <c r="X205" s="2">
        <f t="shared" si="61"/>
        <v>0</v>
      </c>
      <c r="Y205" s="2">
        <f t="shared" si="62"/>
        <v>0</v>
      </c>
      <c r="Z205" s="2">
        <f t="shared" si="63"/>
        <v>0</v>
      </c>
      <c r="AA205" s="2">
        <f t="shared" si="64"/>
        <v>0</v>
      </c>
      <c r="AC205" s="2">
        <f t="shared" si="65"/>
        <v>0</v>
      </c>
      <c r="AD205" s="2">
        <f t="shared" si="66"/>
        <v>1</v>
      </c>
      <c r="AE205" s="2">
        <f t="shared" ref="AE205:AE228" si="67">+O205*P205*(1-A205)</f>
        <v>0</v>
      </c>
      <c r="AF205" s="2">
        <f t="shared" ref="AF205:AF228" si="68">O205*(1-P205)*(1-A205)</f>
        <v>0</v>
      </c>
      <c r="AG205" s="2">
        <f t="shared" ref="AG205:AG228" si="69">+P205*(1-A205)</f>
        <v>0</v>
      </c>
      <c r="AH205" s="2">
        <f t="shared" ref="AH205:AH228" si="70">+(1-A205)*(1-P205)</f>
        <v>0</v>
      </c>
    </row>
    <row r="206" spans="1:34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933</v>
      </c>
      <c r="O206" s="33">
        <v>1</v>
      </c>
      <c r="P206" s="33"/>
      <c r="R206" s="2">
        <f t="shared" si="55"/>
        <v>0</v>
      </c>
      <c r="S206" s="2">
        <f t="shared" si="56"/>
        <v>0</v>
      </c>
      <c r="T206" s="2">
        <f t="shared" si="57"/>
        <v>1</v>
      </c>
      <c r="U206" s="2">
        <f t="shared" si="58"/>
        <v>0</v>
      </c>
      <c r="V206" s="2">
        <f t="shared" si="59"/>
        <v>0</v>
      </c>
      <c r="W206" s="2">
        <f t="shared" si="60"/>
        <v>0</v>
      </c>
      <c r="X206" s="2">
        <f t="shared" si="61"/>
        <v>0</v>
      </c>
      <c r="Y206" s="2">
        <f t="shared" si="62"/>
        <v>0</v>
      </c>
      <c r="Z206" s="2">
        <f t="shared" si="63"/>
        <v>0</v>
      </c>
      <c r="AA206" s="2">
        <f t="shared" si="64"/>
        <v>0</v>
      </c>
      <c r="AC206" s="2">
        <f t="shared" si="65"/>
        <v>0</v>
      </c>
      <c r="AD206" s="2">
        <f t="shared" si="66"/>
        <v>1</v>
      </c>
      <c r="AE206" s="2">
        <f t="shared" si="67"/>
        <v>0</v>
      </c>
      <c r="AF206" s="2">
        <f t="shared" si="68"/>
        <v>1</v>
      </c>
      <c r="AG206" s="2">
        <f t="shared" si="69"/>
        <v>0</v>
      </c>
      <c r="AH206" s="2">
        <f t="shared" si="70"/>
        <v>1</v>
      </c>
    </row>
    <row r="207" spans="1:34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931</v>
      </c>
      <c r="O207" s="36"/>
      <c r="P207" s="36"/>
      <c r="R207" s="2">
        <f t="shared" si="55"/>
        <v>0</v>
      </c>
      <c r="S207" s="2">
        <f t="shared" si="56"/>
        <v>0</v>
      </c>
      <c r="T207" s="2">
        <f t="shared" si="57"/>
        <v>0</v>
      </c>
      <c r="U207" s="2">
        <f t="shared" si="58"/>
        <v>0</v>
      </c>
      <c r="V207" s="2">
        <f t="shared" si="59"/>
        <v>0</v>
      </c>
      <c r="W207" s="2">
        <f t="shared" si="60"/>
        <v>0</v>
      </c>
      <c r="X207" s="2">
        <f t="shared" si="61"/>
        <v>0</v>
      </c>
      <c r="Y207" s="2">
        <f t="shared" si="62"/>
        <v>0</v>
      </c>
      <c r="Z207" s="2">
        <f t="shared" si="63"/>
        <v>0</v>
      </c>
      <c r="AA207" s="2">
        <f t="shared" si="64"/>
        <v>0</v>
      </c>
      <c r="AC207" s="2">
        <f t="shared" si="65"/>
        <v>0</v>
      </c>
      <c r="AD207" s="2">
        <f t="shared" si="66"/>
        <v>0</v>
      </c>
      <c r="AE207" s="2">
        <f t="shared" si="67"/>
        <v>0</v>
      </c>
      <c r="AF207" s="2">
        <f t="shared" si="68"/>
        <v>0</v>
      </c>
      <c r="AG207" s="2">
        <f t="shared" si="69"/>
        <v>0</v>
      </c>
      <c r="AH207" s="2">
        <f t="shared" si="70"/>
        <v>1</v>
      </c>
    </row>
    <row r="208" spans="1:34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898</v>
      </c>
      <c r="O208" s="36"/>
      <c r="P208" s="36"/>
      <c r="R208" s="2">
        <f t="shared" si="55"/>
        <v>0</v>
      </c>
      <c r="S208" s="2">
        <f t="shared" si="56"/>
        <v>0</v>
      </c>
      <c r="T208" s="2">
        <f t="shared" si="57"/>
        <v>0</v>
      </c>
      <c r="U208" s="2">
        <f t="shared" si="58"/>
        <v>0</v>
      </c>
      <c r="V208" s="2">
        <f t="shared" si="59"/>
        <v>0</v>
      </c>
      <c r="W208" s="2">
        <f t="shared" si="60"/>
        <v>1</v>
      </c>
      <c r="X208" s="2">
        <f t="shared" si="61"/>
        <v>0</v>
      </c>
      <c r="Y208" s="2">
        <f t="shared" si="62"/>
        <v>0</v>
      </c>
      <c r="Z208" s="2">
        <f t="shared" si="63"/>
        <v>0</v>
      </c>
      <c r="AA208" s="2">
        <f t="shared" si="64"/>
        <v>0</v>
      </c>
      <c r="AC208" s="2">
        <f t="shared" si="65"/>
        <v>0</v>
      </c>
      <c r="AD208" s="2">
        <f t="shared" si="66"/>
        <v>0</v>
      </c>
      <c r="AE208" s="2">
        <f t="shared" si="67"/>
        <v>0</v>
      </c>
      <c r="AF208" s="2">
        <f t="shared" si="68"/>
        <v>0</v>
      </c>
      <c r="AG208" s="2">
        <f t="shared" si="69"/>
        <v>0</v>
      </c>
      <c r="AH208" s="2">
        <f t="shared" si="70"/>
        <v>1</v>
      </c>
    </row>
    <row r="209" spans="1:34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898</v>
      </c>
      <c r="O209" s="36"/>
      <c r="P209" s="36"/>
      <c r="R209" s="2">
        <f t="shared" ref="R209:R228" si="71">IF(J209=$R$7,1,0)</f>
        <v>0</v>
      </c>
      <c r="S209" s="2">
        <f t="shared" ref="S209:S228" si="72">IF(J209=$S$7,1,0)</f>
        <v>0</v>
      </c>
      <c r="T209" s="2">
        <f t="shared" ref="T209:T228" si="73">IF(J209=$T$7,1,0)</f>
        <v>0</v>
      </c>
      <c r="U209" s="2">
        <f t="shared" ref="U209:U228" si="74">IF(J209=$U$7,1,0)</f>
        <v>1</v>
      </c>
      <c r="V209" s="2">
        <f t="shared" ref="V209:V228" si="75">IF(J209=$V$7,1,0)</f>
        <v>0</v>
      </c>
      <c r="W209" s="2">
        <f t="shared" ref="W209:W228" si="76">IF(J209=$W$7,1,0)</f>
        <v>0</v>
      </c>
      <c r="X209" s="2">
        <f t="shared" ref="X209:X228" si="77">IF(J209=$X$7,1,0)</f>
        <v>0</v>
      </c>
      <c r="Y209" s="2">
        <f t="shared" ref="Y209:Y228" si="78">IF(J209=$Y$7,1,0)</f>
        <v>0</v>
      </c>
      <c r="Z209" s="2">
        <f t="shared" ref="Z209:Z228" si="79">IF(J209=$Z$7,1,0)</f>
        <v>0</v>
      </c>
      <c r="AA209" s="2">
        <f t="shared" ref="AA209:AA228" si="80">IF(J209=$AA$7,1,0)</f>
        <v>0</v>
      </c>
      <c r="AC209" s="2">
        <f t="shared" ref="AC209:AC228" si="81">+O209*P209</f>
        <v>0</v>
      </c>
      <c r="AD209" s="2">
        <f t="shared" ref="AD209:AD228" si="82">O209*(1-P209)</f>
        <v>0</v>
      </c>
      <c r="AE209" s="2">
        <f t="shared" si="67"/>
        <v>0</v>
      </c>
      <c r="AF209" s="2">
        <f t="shared" si="68"/>
        <v>0</v>
      </c>
      <c r="AG209" s="2">
        <f t="shared" si="69"/>
        <v>0</v>
      </c>
      <c r="AH209" s="2">
        <f t="shared" si="70"/>
        <v>0</v>
      </c>
    </row>
    <row r="210" spans="1:34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902</v>
      </c>
      <c r="O210" s="33">
        <v>1</v>
      </c>
      <c r="P210" s="33"/>
      <c r="R210" s="2">
        <f t="shared" si="71"/>
        <v>0</v>
      </c>
      <c r="S210" s="2">
        <f t="shared" si="72"/>
        <v>0</v>
      </c>
      <c r="T210" s="2">
        <f t="shared" si="73"/>
        <v>0</v>
      </c>
      <c r="U210" s="2">
        <f t="shared" si="74"/>
        <v>0</v>
      </c>
      <c r="V210" s="2">
        <f t="shared" si="75"/>
        <v>0</v>
      </c>
      <c r="W210" s="2">
        <f t="shared" si="76"/>
        <v>0</v>
      </c>
      <c r="X210" s="2">
        <f t="shared" si="77"/>
        <v>0</v>
      </c>
      <c r="Y210" s="2">
        <f t="shared" si="78"/>
        <v>0</v>
      </c>
      <c r="Z210" s="2">
        <f t="shared" si="79"/>
        <v>0</v>
      </c>
      <c r="AA210" s="2">
        <f t="shared" si="80"/>
        <v>0</v>
      </c>
      <c r="AC210" s="2">
        <f t="shared" si="81"/>
        <v>0</v>
      </c>
      <c r="AD210" s="2">
        <f t="shared" si="82"/>
        <v>1</v>
      </c>
      <c r="AE210" s="2">
        <f t="shared" si="67"/>
        <v>0</v>
      </c>
      <c r="AF210" s="2">
        <f t="shared" si="68"/>
        <v>1</v>
      </c>
      <c r="AG210" s="2">
        <f t="shared" si="69"/>
        <v>0</v>
      </c>
      <c r="AH210" s="2">
        <f t="shared" si="70"/>
        <v>1</v>
      </c>
    </row>
    <row r="211" spans="1:34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4" t="s">
        <v>845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932</v>
      </c>
      <c r="O211" s="36"/>
      <c r="P211" s="36"/>
      <c r="R211" s="2">
        <f t="shared" si="71"/>
        <v>0</v>
      </c>
      <c r="S211" s="2">
        <f t="shared" si="72"/>
        <v>0</v>
      </c>
      <c r="T211" s="2">
        <f t="shared" si="73"/>
        <v>1</v>
      </c>
      <c r="U211" s="2">
        <f t="shared" si="74"/>
        <v>0</v>
      </c>
      <c r="V211" s="2">
        <f t="shared" si="75"/>
        <v>0</v>
      </c>
      <c r="W211" s="2">
        <f t="shared" si="76"/>
        <v>0</v>
      </c>
      <c r="X211" s="2">
        <f t="shared" si="77"/>
        <v>0</v>
      </c>
      <c r="Y211" s="2">
        <f t="shared" si="78"/>
        <v>0</v>
      </c>
      <c r="Z211" s="2">
        <f t="shared" si="79"/>
        <v>0</v>
      </c>
      <c r="AA211" s="2">
        <f t="shared" si="80"/>
        <v>0</v>
      </c>
      <c r="AC211" s="2">
        <f t="shared" si="81"/>
        <v>0</v>
      </c>
      <c r="AD211" s="2">
        <f t="shared" si="82"/>
        <v>0</v>
      </c>
      <c r="AE211" s="2">
        <f t="shared" si="67"/>
        <v>0</v>
      </c>
      <c r="AF211" s="2">
        <f t="shared" si="68"/>
        <v>0</v>
      </c>
      <c r="AG211" s="2">
        <f t="shared" si="69"/>
        <v>0</v>
      </c>
      <c r="AH211" s="2">
        <f t="shared" si="70"/>
        <v>1</v>
      </c>
    </row>
    <row r="212" spans="1:34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846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931</v>
      </c>
      <c r="O212" s="36"/>
      <c r="P212" s="36"/>
      <c r="R212" s="2">
        <f t="shared" si="71"/>
        <v>0</v>
      </c>
      <c r="S212" s="2">
        <f t="shared" si="72"/>
        <v>0</v>
      </c>
      <c r="T212" s="2">
        <f t="shared" si="73"/>
        <v>0</v>
      </c>
      <c r="U212" s="2">
        <f t="shared" si="74"/>
        <v>0</v>
      </c>
      <c r="V212" s="2">
        <f t="shared" si="75"/>
        <v>0</v>
      </c>
      <c r="W212" s="2">
        <f t="shared" si="76"/>
        <v>1</v>
      </c>
      <c r="X212" s="2">
        <f t="shared" si="77"/>
        <v>0</v>
      </c>
      <c r="Y212" s="2">
        <f t="shared" si="78"/>
        <v>0</v>
      </c>
      <c r="Z212" s="2">
        <f t="shared" si="79"/>
        <v>0</v>
      </c>
      <c r="AA212" s="2">
        <f t="shared" si="80"/>
        <v>0</v>
      </c>
      <c r="AC212" s="2">
        <f t="shared" si="81"/>
        <v>0</v>
      </c>
      <c r="AD212" s="2">
        <f t="shared" si="82"/>
        <v>0</v>
      </c>
      <c r="AE212" s="2">
        <f t="shared" si="67"/>
        <v>0</v>
      </c>
      <c r="AF212" s="2">
        <f t="shared" si="68"/>
        <v>0</v>
      </c>
      <c r="AG212" s="2">
        <f t="shared" si="69"/>
        <v>0</v>
      </c>
      <c r="AH212" s="2">
        <f t="shared" si="70"/>
        <v>1</v>
      </c>
    </row>
    <row r="213" spans="1:34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932</v>
      </c>
      <c r="O213" s="36"/>
      <c r="P213" s="36"/>
      <c r="R213" s="2">
        <f t="shared" si="71"/>
        <v>0</v>
      </c>
      <c r="S213" s="2">
        <f t="shared" si="72"/>
        <v>0</v>
      </c>
      <c r="T213" s="2">
        <f t="shared" si="73"/>
        <v>0</v>
      </c>
      <c r="U213" s="2">
        <f t="shared" si="74"/>
        <v>0</v>
      </c>
      <c r="V213" s="2">
        <f t="shared" si="75"/>
        <v>0</v>
      </c>
      <c r="W213" s="2">
        <f t="shared" si="76"/>
        <v>1</v>
      </c>
      <c r="X213" s="2">
        <f t="shared" si="77"/>
        <v>0</v>
      </c>
      <c r="Y213" s="2">
        <f t="shared" si="78"/>
        <v>0</v>
      </c>
      <c r="Z213" s="2">
        <f t="shared" si="79"/>
        <v>0</v>
      </c>
      <c r="AA213" s="2">
        <f t="shared" si="80"/>
        <v>0</v>
      </c>
      <c r="AC213" s="2">
        <f t="shared" si="81"/>
        <v>0</v>
      </c>
      <c r="AD213" s="2">
        <f t="shared" si="82"/>
        <v>0</v>
      </c>
      <c r="AE213" s="2">
        <f t="shared" si="67"/>
        <v>0</v>
      </c>
      <c r="AF213" s="2">
        <f t="shared" si="68"/>
        <v>0</v>
      </c>
      <c r="AG213" s="2">
        <f t="shared" si="69"/>
        <v>0</v>
      </c>
      <c r="AH213" s="2">
        <f t="shared" si="70"/>
        <v>1</v>
      </c>
    </row>
    <row r="214" spans="1:34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1" t="s">
        <v>490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938</v>
      </c>
      <c r="O214" s="33">
        <v>1</v>
      </c>
      <c r="P214" s="33"/>
      <c r="R214" s="2">
        <f t="shared" si="71"/>
        <v>0</v>
      </c>
      <c r="S214" s="2">
        <f t="shared" si="72"/>
        <v>0</v>
      </c>
      <c r="T214" s="2">
        <f t="shared" si="73"/>
        <v>0</v>
      </c>
      <c r="U214" s="2">
        <f t="shared" si="74"/>
        <v>0</v>
      </c>
      <c r="V214" s="2">
        <f t="shared" si="75"/>
        <v>0</v>
      </c>
      <c r="W214" s="2">
        <f t="shared" si="76"/>
        <v>0</v>
      </c>
      <c r="X214" s="2">
        <f t="shared" si="77"/>
        <v>0</v>
      </c>
      <c r="Y214" s="2">
        <f t="shared" si="78"/>
        <v>0</v>
      </c>
      <c r="Z214" s="2">
        <f t="shared" si="79"/>
        <v>0</v>
      </c>
      <c r="AA214" s="2">
        <f t="shared" si="80"/>
        <v>0</v>
      </c>
      <c r="AC214" s="2">
        <f t="shared" si="81"/>
        <v>0</v>
      </c>
      <c r="AD214" s="2">
        <f t="shared" si="82"/>
        <v>1</v>
      </c>
      <c r="AE214" s="2">
        <f t="shared" si="67"/>
        <v>0</v>
      </c>
      <c r="AF214" s="2">
        <f t="shared" si="68"/>
        <v>1</v>
      </c>
      <c r="AG214" s="2">
        <f t="shared" si="69"/>
        <v>0</v>
      </c>
      <c r="AH214" s="2">
        <f t="shared" si="70"/>
        <v>1</v>
      </c>
    </row>
    <row r="215" spans="1:34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1" t="s">
        <v>508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916</v>
      </c>
      <c r="O215" s="33">
        <v>1</v>
      </c>
      <c r="P215" s="33"/>
      <c r="R215" s="2">
        <f t="shared" si="71"/>
        <v>0</v>
      </c>
      <c r="S215" s="2">
        <f t="shared" si="72"/>
        <v>0</v>
      </c>
      <c r="T215" s="2">
        <f t="shared" si="73"/>
        <v>1</v>
      </c>
      <c r="U215" s="2">
        <f t="shared" si="74"/>
        <v>0</v>
      </c>
      <c r="V215" s="2">
        <f t="shared" si="75"/>
        <v>0</v>
      </c>
      <c r="W215" s="2">
        <f t="shared" si="76"/>
        <v>0</v>
      </c>
      <c r="X215" s="2">
        <f t="shared" si="77"/>
        <v>0</v>
      </c>
      <c r="Y215" s="2">
        <f t="shared" si="78"/>
        <v>0</v>
      </c>
      <c r="Z215" s="2">
        <f t="shared" si="79"/>
        <v>0</v>
      </c>
      <c r="AA215" s="2">
        <f t="shared" si="80"/>
        <v>0</v>
      </c>
      <c r="AC215" s="2">
        <f t="shared" si="81"/>
        <v>0</v>
      </c>
      <c r="AD215" s="2">
        <f t="shared" si="82"/>
        <v>1</v>
      </c>
      <c r="AE215" s="2">
        <f t="shared" si="67"/>
        <v>0</v>
      </c>
      <c r="AF215" s="2">
        <f t="shared" si="68"/>
        <v>1</v>
      </c>
      <c r="AG215" s="2">
        <f t="shared" si="69"/>
        <v>0</v>
      </c>
      <c r="AH215" s="2">
        <f t="shared" si="70"/>
        <v>1</v>
      </c>
    </row>
    <row r="216" spans="1:34" ht="14.25" customHeight="1" x14ac:dyDescent="0.25">
      <c r="A216" s="31">
        <v>0</v>
      </c>
      <c r="B216" s="31">
        <v>2</v>
      </c>
      <c r="C216" s="31">
        <v>7</v>
      </c>
      <c r="D216" s="32" t="s">
        <v>920</v>
      </c>
      <c r="E216" s="32" t="s">
        <v>921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896</v>
      </c>
      <c r="O216" s="33">
        <v>1</v>
      </c>
      <c r="P216" s="33">
        <v>1</v>
      </c>
      <c r="R216" s="2">
        <f t="shared" si="71"/>
        <v>0</v>
      </c>
      <c r="S216" s="2">
        <f t="shared" si="72"/>
        <v>0</v>
      </c>
      <c r="T216" s="2">
        <f t="shared" si="73"/>
        <v>0</v>
      </c>
      <c r="U216" s="2">
        <f t="shared" si="74"/>
        <v>0</v>
      </c>
      <c r="V216" s="2">
        <f t="shared" si="75"/>
        <v>0</v>
      </c>
      <c r="W216" s="2">
        <f t="shared" si="76"/>
        <v>1</v>
      </c>
      <c r="X216" s="2">
        <f t="shared" si="77"/>
        <v>0</v>
      </c>
      <c r="Y216" s="2">
        <f t="shared" si="78"/>
        <v>0</v>
      </c>
      <c r="Z216" s="2">
        <f t="shared" si="79"/>
        <v>0</v>
      </c>
      <c r="AA216" s="2">
        <f t="shared" si="80"/>
        <v>0</v>
      </c>
      <c r="AC216" s="2">
        <f t="shared" si="81"/>
        <v>1</v>
      </c>
      <c r="AD216" s="2">
        <f t="shared" si="82"/>
        <v>0</v>
      </c>
      <c r="AE216" s="2">
        <f t="shared" si="67"/>
        <v>1</v>
      </c>
      <c r="AF216" s="2">
        <f t="shared" si="68"/>
        <v>0</v>
      </c>
      <c r="AG216" s="2">
        <f t="shared" si="69"/>
        <v>1</v>
      </c>
      <c r="AH216" s="2">
        <f t="shared" si="70"/>
        <v>0</v>
      </c>
    </row>
    <row r="217" spans="1:34" ht="14.25" customHeight="1" x14ac:dyDescent="0.25">
      <c r="A217" s="31">
        <v>1</v>
      </c>
      <c r="B217" s="31">
        <v>2</v>
      </c>
      <c r="C217" s="31">
        <v>7</v>
      </c>
      <c r="D217" s="32" t="s">
        <v>920</v>
      </c>
      <c r="E217" s="32" t="s">
        <v>921</v>
      </c>
      <c r="F217" s="32" t="s">
        <v>922</v>
      </c>
      <c r="G217" s="32" t="s">
        <v>923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896</v>
      </c>
      <c r="O217" s="33">
        <v>1</v>
      </c>
      <c r="P217" s="33">
        <v>1</v>
      </c>
      <c r="R217" s="2">
        <f t="shared" si="71"/>
        <v>0</v>
      </c>
      <c r="S217" s="2">
        <f t="shared" si="72"/>
        <v>0</v>
      </c>
      <c r="T217" s="2">
        <f t="shared" si="73"/>
        <v>0</v>
      </c>
      <c r="U217" s="2">
        <f t="shared" si="74"/>
        <v>0</v>
      </c>
      <c r="V217" s="2">
        <f t="shared" si="75"/>
        <v>0</v>
      </c>
      <c r="W217" s="2">
        <f t="shared" si="76"/>
        <v>0</v>
      </c>
      <c r="X217" s="2">
        <f t="shared" si="77"/>
        <v>0</v>
      </c>
      <c r="Y217" s="2">
        <f t="shared" si="78"/>
        <v>0</v>
      </c>
      <c r="Z217" s="2">
        <f t="shared" si="79"/>
        <v>0</v>
      </c>
      <c r="AA217" s="2">
        <f t="shared" si="80"/>
        <v>0</v>
      </c>
      <c r="AC217" s="2">
        <f t="shared" si="81"/>
        <v>1</v>
      </c>
      <c r="AD217" s="2">
        <f t="shared" si="82"/>
        <v>0</v>
      </c>
      <c r="AE217" s="2">
        <f t="shared" si="67"/>
        <v>0</v>
      </c>
      <c r="AF217" s="2">
        <f t="shared" si="68"/>
        <v>0</v>
      </c>
      <c r="AG217" s="2">
        <f t="shared" si="69"/>
        <v>0</v>
      </c>
      <c r="AH217" s="2">
        <f t="shared" si="70"/>
        <v>0</v>
      </c>
    </row>
    <row r="218" spans="1:34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916</v>
      </c>
      <c r="O218" s="33">
        <v>1</v>
      </c>
      <c r="P218" s="33"/>
      <c r="R218" s="2">
        <f t="shared" si="71"/>
        <v>0</v>
      </c>
      <c r="S218" s="2">
        <f t="shared" si="72"/>
        <v>0</v>
      </c>
      <c r="T218" s="2">
        <f t="shared" si="73"/>
        <v>0</v>
      </c>
      <c r="U218" s="2">
        <f t="shared" si="74"/>
        <v>0</v>
      </c>
      <c r="V218" s="2">
        <f t="shared" si="75"/>
        <v>0</v>
      </c>
      <c r="W218" s="2">
        <f t="shared" si="76"/>
        <v>0</v>
      </c>
      <c r="X218" s="2">
        <f t="shared" si="77"/>
        <v>0</v>
      </c>
      <c r="Y218" s="2">
        <f t="shared" si="78"/>
        <v>0</v>
      </c>
      <c r="Z218" s="2">
        <f t="shared" si="79"/>
        <v>1</v>
      </c>
      <c r="AA218" s="2">
        <f t="shared" si="80"/>
        <v>0</v>
      </c>
      <c r="AC218" s="2">
        <f t="shared" si="81"/>
        <v>0</v>
      </c>
      <c r="AD218" s="2">
        <f t="shared" si="82"/>
        <v>1</v>
      </c>
      <c r="AE218" s="2">
        <f t="shared" si="67"/>
        <v>0</v>
      </c>
      <c r="AF218" s="2">
        <f t="shared" si="68"/>
        <v>1</v>
      </c>
      <c r="AG218" s="2">
        <f t="shared" si="69"/>
        <v>0</v>
      </c>
      <c r="AH218" s="2">
        <f t="shared" si="70"/>
        <v>1</v>
      </c>
    </row>
    <row r="219" spans="1:34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916</v>
      </c>
      <c r="O219" s="33">
        <v>1</v>
      </c>
      <c r="P219" s="33"/>
      <c r="R219" s="2">
        <f t="shared" si="71"/>
        <v>0</v>
      </c>
      <c r="S219" s="2">
        <f t="shared" si="72"/>
        <v>0</v>
      </c>
      <c r="T219" s="2">
        <f t="shared" si="73"/>
        <v>0</v>
      </c>
      <c r="U219" s="2">
        <f t="shared" si="74"/>
        <v>0</v>
      </c>
      <c r="V219" s="2">
        <f t="shared" si="75"/>
        <v>0</v>
      </c>
      <c r="W219" s="2">
        <f t="shared" si="76"/>
        <v>0</v>
      </c>
      <c r="X219" s="2">
        <f t="shared" si="77"/>
        <v>0</v>
      </c>
      <c r="Y219" s="2">
        <f t="shared" si="78"/>
        <v>0</v>
      </c>
      <c r="Z219" s="2">
        <f t="shared" si="79"/>
        <v>1</v>
      </c>
      <c r="AA219" s="2">
        <f t="shared" si="80"/>
        <v>0</v>
      </c>
      <c r="AC219" s="2">
        <f t="shared" si="81"/>
        <v>0</v>
      </c>
      <c r="AD219" s="2">
        <f t="shared" si="82"/>
        <v>1</v>
      </c>
      <c r="AE219" s="2">
        <f t="shared" si="67"/>
        <v>0</v>
      </c>
      <c r="AF219" s="2">
        <f t="shared" si="68"/>
        <v>0</v>
      </c>
      <c r="AG219" s="2">
        <f t="shared" si="69"/>
        <v>0</v>
      </c>
      <c r="AH219" s="2">
        <f t="shared" si="70"/>
        <v>0</v>
      </c>
    </row>
    <row r="220" spans="1:34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1" t="s">
        <v>493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938</v>
      </c>
      <c r="O220" s="33">
        <v>1</v>
      </c>
      <c r="P220" s="33"/>
      <c r="R220" s="2">
        <f t="shared" si="71"/>
        <v>0</v>
      </c>
      <c r="S220" s="2">
        <f t="shared" si="72"/>
        <v>0</v>
      </c>
      <c r="T220" s="2">
        <f t="shared" si="73"/>
        <v>0</v>
      </c>
      <c r="U220" s="2">
        <f t="shared" si="74"/>
        <v>0</v>
      </c>
      <c r="V220" s="2">
        <f t="shared" si="75"/>
        <v>0</v>
      </c>
      <c r="W220" s="2">
        <f t="shared" si="76"/>
        <v>1</v>
      </c>
      <c r="X220" s="2">
        <f t="shared" si="77"/>
        <v>0</v>
      </c>
      <c r="Y220" s="2">
        <f t="shared" si="78"/>
        <v>0</v>
      </c>
      <c r="Z220" s="2">
        <f t="shared" si="79"/>
        <v>0</v>
      </c>
      <c r="AA220" s="2">
        <f t="shared" si="80"/>
        <v>0</v>
      </c>
      <c r="AC220" s="2">
        <f t="shared" si="81"/>
        <v>0</v>
      </c>
      <c r="AD220" s="2">
        <f t="shared" si="82"/>
        <v>1</v>
      </c>
      <c r="AE220" s="2">
        <f t="shared" si="67"/>
        <v>0</v>
      </c>
      <c r="AF220" s="2">
        <f t="shared" si="68"/>
        <v>1</v>
      </c>
      <c r="AG220" s="2">
        <f t="shared" si="69"/>
        <v>0</v>
      </c>
      <c r="AH220" s="2">
        <f t="shared" si="70"/>
        <v>1</v>
      </c>
    </row>
    <row r="221" spans="1:34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938</v>
      </c>
      <c r="O221" s="33">
        <v>1</v>
      </c>
      <c r="P221" s="33"/>
      <c r="R221" s="2">
        <f t="shared" si="71"/>
        <v>0</v>
      </c>
      <c r="S221" s="2">
        <f t="shared" si="72"/>
        <v>0</v>
      </c>
      <c r="T221" s="2">
        <f t="shared" si="73"/>
        <v>0</v>
      </c>
      <c r="U221" s="2">
        <f t="shared" si="74"/>
        <v>0</v>
      </c>
      <c r="V221" s="2">
        <f t="shared" si="75"/>
        <v>0</v>
      </c>
      <c r="W221" s="2">
        <f t="shared" si="76"/>
        <v>0</v>
      </c>
      <c r="X221" s="2">
        <f t="shared" si="77"/>
        <v>1</v>
      </c>
      <c r="Y221" s="2">
        <f t="shared" si="78"/>
        <v>0</v>
      </c>
      <c r="Z221" s="2">
        <f t="shared" si="79"/>
        <v>0</v>
      </c>
      <c r="AA221" s="2">
        <f t="shared" si="80"/>
        <v>0</v>
      </c>
      <c r="AC221" s="2">
        <f t="shared" si="81"/>
        <v>0</v>
      </c>
      <c r="AD221" s="2">
        <f t="shared" si="82"/>
        <v>1</v>
      </c>
      <c r="AE221" s="2">
        <f t="shared" si="67"/>
        <v>0</v>
      </c>
      <c r="AF221" s="2">
        <f t="shared" si="68"/>
        <v>0</v>
      </c>
      <c r="AG221" s="2">
        <f t="shared" si="69"/>
        <v>0</v>
      </c>
      <c r="AH221" s="2">
        <f t="shared" si="70"/>
        <v>0</v>
      </c>
    </row>
    <row r="222" spans="1:34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494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938</v>
      </c>
      <c r="O222" s="33">
        <v>1</v>
      </c>
      <c r="P222" s="33"/>
      <c r="R222" s="2">
        <f t="shared" si="71"/>
        <v>0</v>
      </c>
      <c r="S222" s="2">
        <f t="shared" si="72"/>
        <v>0</v>
      </c>
      <c r="T222" s="2">
        <f t="shared" si="73"/>
        <v>0</v>
      </c>
      <c r="U222" s="2">
        <f t="shared" si="74"/>
        <v>0</v>
      </c>
      <c r="V222" s="2">
        <f t="shared" si="75"/>
        <v>0</v>
      </c>
      <c r="W222" s="2">
        <f t="shared" si="76"/>
        <v>0</v>
      </c>
      <c r="X222" s="2">
        <f t="shared" si="77"/>
        <v>0</v>
      </c>
      <c r="Y222" s="2">
        <f t="shared" si="78"/>
        <v>0</v>
      </c>
      <c r="Z222" s="2">
        <f t="shared" si="79"/>
        <v>0</v>
      </c>
      <c r="AA222" s="2">
        <f t="shared" si="80"/>
        <v>0</v>
      </c>
      <c r="AC222" s="2">
        <f t="shared" si="81"/>
        <v>0</v>
      </c>
      <c r="AD222" s="2">
        <f t="shared" si="82"/>
        <v>1</v>
      </c>
      <c r="AE222" s="2">
        <f t="shared" si="67"/>
        <v>0</v>
      </c>
      <c r="AF222" s="2">
        <f t="shared" si="68"/>
        <v>0</v>
      </c>
      <c r="AG222" s="2">
        <f t="shared" si="69"/>
        <v>0</v>
      </c>
      <c r="AH222" s="2">
        <f t="shared" si="70"/>
        <v>0</v>
      </c>
    </row>
    <row r="223" spans="1:34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495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914</v>
      </c>
      <c r="O223" s="33">
        <v>1</v>
      </c>
      <c r="P223" s="33"/>
      <c r="R223" s="2">
        <f t="shared" si="71"/>
        <v>0</v>
      </c>
      <c r="S223" s="2">
        <f t="shared" si="72"/>
        <v>0</v>
      </c>
      <c r="T223" s="2">
        <f t="shared" si="73"/>
        <v>0</v>
      </c>
      <c r="U223" s="2">
        <f t="shared" si="74"/>
        <v>0</v>
      </c>
      <c r="V223" s="2">
        <f t="shared" si="75"/>
        <v>0</v>
      </c>
      <c r="W223" s="2">
        <f t="shared" si="76"/>
        <v>0</v>
      </c>
      <c r="X223" s="2">
        <f t="shared" si="77"/>
        <v>0</v>
      </c>
      <c r="Y223" s="2">
        <f t="shared" si="78"/>
        <v>0</v>
      </c>
      <c r="Z223" s="2">
        <f t="shared" si="79"/>
        <v>0</v>
      </c>
      <c r="AA223" s="2">
        <f t="shared" si="80"/>
        <v>0</v>
      </c>
      <c r="AC223" s="2">
        <f t="shared" si="81"/>
        <v>0</v>
      </c>
      <c r="AD223" s="2">
        <f t="shared" si="82"/>
        <v>1</v>
      </c>
      <c r="AE223" s="2">
        <f t="shared" si="67"/>
        <v>0</v>
      </c>
      <c r="AF223" s="2">
        <f t="shared" si="68"/>
        <v>1</v>
      </c>
      <c r="AG223" s="2">
        <f t="shared" si="69"/>
        <v>0</v>
      </c>
      <c r="AH223" s="2">
        <f t="shared" si="70"/>
        <v>1</v>
      </c>
    </row>
    <row r="224" spans="1:34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1" t="s">
        <v>697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914</v>
      </c>
      <c r="O224" s="33">
        <v>1</v>
      </c>
      <c r="P224" s="33"/>
      <c r="R224" s="2">
        <f t="shared" si="71"/>
        <v>0</v>
      </c>
      <c r="S224" s="2">
        <f t="shared" si="72"/>
        <v>0</v>
      </c>
      <c r="T224" s="2">
        <f t="shared" si="73"/>
        <v>0</v>
      </c>
      <c r="U224" s="2">
        <f t="shared" si="74"/>
        <v>0</v>
      </c>
      <c r="V224" s="2">
        <f t="shared" si="75"/>
        <v>0</v>
      </c>
      <c r="W224" s="2">
        <f t="shared" si="76"/>
        <v>0</v>
      </c>
      <c r="X224" s="2">
        <f t="shared" si="77"/>
        <v>0</v>
      </c>
      <c r="Y224" s="2">
        <f t="shared" si="78"/>
        <v>0</v>
      </c>
      <c r="Z224" s="2">
        <f t="shared" si="79"/>
        <v>0</v>
      </c>
      <c r="AA224" s="2">
        <f t="shared" si="80"/>
        <v>0</v>
      </c>
      <c r="AC224" s="2">
        <f t="shared" si="81"/>
        <v>0</v>
      </c>
      <c r="AD224" s="2">
        <f t="shared" si="82"/>
        <v>1</v>
      </c>
      <c r="AE224" s="2">
        <f t="shared" si="67"/>
        <v>0</v>
      </c>
      <c r="AF224" s="2">
        <f t="shared" si="68"/>
        <v>0</v>
      </c>
      <c r="AG224" s="2">
        <f t="shared" si="69"/>
        <v>0</v>
      </c>
      <c r="AH224" s="2">
        <f t="shared" si="70"/>
        <v>0</v>
      </c>
    </row>
    <row r="225" spans="1:34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916</v>
      </c>
      <c r="O225" s="33">
        <v>1</v>
      </c>
      <c r="P225" s="33"/>
      <c r="R225" s="2">
        <f t="shared" si="71"/>
        <v>0</v>
      </c>
      <c r="S225" s="2">
        <f t="shared" si="72"/>
        <v>0</v>
      </c>
      <c r="T225" s="2">
        <f t="shared" si="73"/>
        <v>0</v>
      </c>
      <c r="U225" s="2">
        <f t="shared" si="74"/>
        <v>0</v>
      </c>
      <c r="V225" s="2">
        <f t="shared" si="75"/>
        <v>1</v>
      </c>
      <c r="W225" s="2">
        <f t="shared" si="76"/>
        <v>0</v>
      </c>
      <c r="X225" s="2">
        <f t="shared" si="77"/>
        <v>0</v>
      </c>
      <c r="Y225" s="2">
        <f t="shared" si="78"/>
        <v>0</v>
      </c>
      <c r="Z225" s="2">
        <f t="shared" si="79"/>
        <v>0</v>
      </c>
      <c r="AA225" s="2">
        <f t="shared" si="80"/>
        <v>0</v>
      </c>
      <c r="AC225" s="2">
        <f t="shared" si="81"/>
        <v>0</v>
      </c>
      <c r="AD225" s="2">
        <f t="shared" si="82"/>
        <v>1</v>
      </c>
      <c r="AE225" s="2">
        <f t="shared" si="67"/>
        <v>0</v>
      </c>
      <c r="AF225" s="2">
        <f t="shared" si="68"/>
        <v>1</v>
      </c>
      <c r="AG225" s="2">
        <f t="shared" si="69"/>
        <v>0</v>
      </c>
      <c r="AH225" s="2">
        <f t="shared" si="70"/>
        <v>1</v>
      </c>
    </row>
    <row r="226" spans="1:34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903</v>
      </c>
      <c r="O226" s="36"/>
      <c r="P226" s="36"/>
      <c r="R226" s="2">
        <f t="shared" si="71"/>
        <v>0</v>
      </c>
      <c r="S226" s="2">
        <f t="shared" si="72"/>
        <v>0</v>
      </c>
      <c r="T226" s="2">
        <f t="shared" si="73"/>
        <v>0</v>
      </c>
      <c r="U226" s="2">
        <f t="shared" si="74"/>
        <v>0</v>
      </c>
      <c r="V226" s="2">
        <f t="shared" si="75"/>
        <v>0</v>
      </c>
      <c r="W226" s="2">
        <f t="shared" si="76"/>
        <v>1</v>
      </c>
      <c r="X226" s="2">
        <f t="shared" si="77"/>
        <v>0</v>
      </c>
      <c r="Y226" s="2">
        <f t="shared" si="78"/>
        <v>0</v>
      </c>
      <c r="Z226" s="2">
        <f t="shared" si="79"/>
        <v>0</v>
      </c>
      <c r="AA226" s="2">
        <f t="shared" si="80"/>
        <v>0</v>
      </c>
      <c r="AC226" s="2">
        <f t="shared" si="81"/>
        <v>0</v>
      </c>
      <c r="AD226" s="2">
        <f t="shared" si="82"/>
        <v>0</v>
      </c>
      <c r="AE226" s="2">
        <f t="shared" si="67"/>
        <v>0</v>
      </c>
      <c r="AF226" s="2">
        <f t="shared" si="68"/>
        <v>0</v>
      </c>
      <c r="AG226" s="2">
        <f t="shared" si="69"/>
        <v>0</v>
      </c>
      <c r="AH226" s="2">
        <f t="shared" si="70"/>
        <v>1</v>
      </c>
    </row>
    <row r="227" spans="1:34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903</v>
      </c>
      <c r="O227" s="36"/>
      <c r="P227" s="36"/>
      <c r="R227" s="2">
        <f t="shared" si="71"/>
        <v>0</v>
      </c>
      <c r="S227" s="2">
        <f t="shared" si="72"/>
        <v>0</v>
      </c>
      <c r="T227" s="2">
        <f t="shared" si="73"/>
        <v>0</v>
      </c>
      <c r="U227" s="2">
        <f t="shared" si="74"/>
        <v>0</v>
      </c>
      <c r="V227" s="2">
        <f t="shared" si="75"/>
        <v>0</v>
      </c>
      <c r="W227" s="2">
        <f t="shared" si="76"/>
        <v>0</v>
      </c>
      <c r="X227" s="2">
        <f t="shared" si="77"/>
        <v>1</v>
      </c>
      <c r="Y227" s="2">
        <f t="shared" si="78"/>
        <v>0</v>
      </c>
      <c r="Z227" s="2">
        <f t="shared" si="79"/>
        <v>0</v>
      </c>
      <c r="AA227" s="2">
        <f t="shared" si="80"/>
        <v>0</v>
      </c>
      <c r="AC227" s="2">
        <f t="shared" si="81"/>
        <v>0</v>
      </c>
      <c r="AD227" s="2">
        <f t="shared" si="82"/>
        <v>0</v>
      </c>
      <c r="AE227" s="2">
        <f t="shared" si="67"/>
        <v>0</v>
      </c>
      <c r="AF227" s="2">
        <f t="shared" si="68"/>
        <v>0</v>
      </c>
      <c r="AG227" s="2">
        <f t="shared" si="69"/>
        <v>0</v>
      </c>
      <c r="AH227" s="2">
        <f t="shared" si="70"/>
        <v>0</v>
      </c>
    </row>
    <row r="228" spans="1:34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903</v>
      </c>
      <c r="O228" s="36"/>
      <c r="P228" s="36"/>
      <c r="R228" s="2">
        <f t="shared" si="71"/>
        <v>0</v>
      </c>
      <c r="S228" s="2">
        <f t="shared" si="72"/>
        <v>0</v>
      </c>
      <c r="T228" s="2">
        <f t="shared" si="73"/>
        <v>0</v>
      </c>
      <c r="U228" s="2">
        <f t="shared" si="74"/>
        <v>0</v>
      </c>
      <c r="V228" s="2">
        <f t="shared" si="75"/>
        <v>0</v>
      </c>
      <c r="W228" s="2">
        <f t="shared" si="76"/>
        <v>0</v>
      </c>
      <c r="X228" s="2">
        <f t="shared" si="77"/>
        <v>0</v>
      </c>
      <c r="Y228" s="2">
        <f t="shared" si="78"/>
        <v>1</v>
      </c>
      <c r="Z228" s="2">
        <f t="shared" si="79"/>
        <v>0</v>
      </c>
      <c r="AA228" s="2">
        <f t="shared" si="80"/>
        <v>0</v>
      </c>
      <c r="AC228" s="2">
        <f t="shared" si="81"/>
        <v>0</v>
      </c>
      <c r="AD228" s="2">
        <f t="shared" si="82"/>
        <v>0</v>
      </c>
      <c r="AE228" s="2">
        <f t="shared" si="67"/>
        <v>0</v>
      </c>
      <c r="AF228" s="2">
        <f t="shared" si="68"/>
        <v>0</v>
      </c>
      <c r="AG228" s="2">
        <f t="shared" si="69"/>
        <v>0</v>
      </c>
      <c r="AH228" s="2">
        <f t="shared" si="70"/>
        <v>0</v>
      </c>
    </row>
    <row r="229" spans="1:34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</row>
    <row r="230" spans="1:34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</row>
    <row r="231" spans="1:34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</row>
    <row r="232" spans="1:34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</row>
    <row r="233" spans="1:34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</row>
    <row r="234" spans="1:34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</row>
    <row r="235" spans="1:34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</row>
    <row r="236" spans="1:34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</row>
    <row r="237" spans="1:34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</row>
    <row r="238" spans="1:34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</row>
    <row r="239" spans="1:34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</row>
    <row r="240" spans="1:34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</row>
    <row r="241" spans="1:16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</row>
    <row r="242" spans="1:16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</row>
    <row r="243" spans="1:16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</row>
    <row r="244" spans="1:16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</row>
    <row r="245" spans="1:16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</row>
    <row r="246" spans="1:16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</row>
    <row r="247" spans="1:16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</row>
    <row r="248" spans="1:16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</row>
    <row r="249" spans="1:16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</row>
    <row r="250" spans="1:16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</row>
    <row r="251" spans="1:16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</row>
    <row r="252" spans="1:16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</row>
    <row r="253" spans="1:16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</row>
    <row r="254" spans="1:16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</row>
    <row r="255" spans="1:16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</row>
    <row r="256" spans="1:16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</row>
    <row r="257" spans="1:16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</row>
    <row r="258" spans="1:16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</row>
    <row r="259" spans="1:16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</row>
    <row r="260" spans="1:16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</row>
    <row r="261" spans="1:16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</row>
    <row r="262" spans="1:16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</row>
    <row r="263" spans="1:16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</row>
    <row r="264" spans="1:16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</row>
    <row r="265" spans="1:16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</row>
    <row r="266" spans="1:16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</row>
    <row r="267" spans="1:16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</row>
    <row r="268" spans="1:16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</row>
    <row r="269" spans="1:16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</row>
    <row r="270" spans="1:16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</row>
    <row r="271" spans="1:16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</row>
    <row r="272" spans="1:16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</row>
    <row r="273" spans="1:16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</row>
    <row r="274" spans="1:16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</row>
    <row r="275" spans="1:16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</row>
    <row r="276" spans="1:16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</row>
    <row r="277" spans="1:16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</row>
    <row r="278" spans="1:16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</row>
    <row r="279" spans="1:16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</row>
    <row r="280" spans="1:16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</row>
    <row r="281" spans="1:16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</row>
    <row r="282" spans="1:16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</row>
    <row r="283" spans="1:16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</row>
    <row r="284" spans="1:16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</row>
    <row r="285" spans="1:16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</row>
    <row r="286" spans="1:16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</row>
    <row r="287" spans="1:16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</row>
    <row r="288" spans="1:16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</row>
    <row r="289" spans="1:16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</row>
    <row r="290" spans="1:16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</row>
    <row r="291" spans="1:16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</row>
    <row r="292" spans="1:16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</row>
    <row r="293" spans="1:16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</row>
    <row r="294" spans="1:16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</row>
    <row r="295" spans="1:16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</row>
    <row r="296" spans="1:16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</row>
    <row r="297" spans="1:16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</row>
    <row r="298" spans="1:16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</row>
    <row r="299" spans="1:16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</row>
    <row r="300" spans="1:16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</row>
    <row r="301" spans="1:16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</row>
    <row r="302" spans="1:16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</row>
    <row r="303" spans="1:16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</row>
    <row r="304" spans="1:16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</row>
    <row r="305" spans="1:16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</row>
    <row r="306" spans="1:16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</row>
    <row r="307" spans="1:16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</row>
    <row r="308" spans="1:16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</row>
    <row r="309" spans="1:16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</row>
    <row r="310" spans="1:16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</row>
    <row r="311" spans="1:16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</row>
    <row r="312" spans="1:16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</row>
    <row r="313" spans="1:16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</row>
    <row r="314" spans="1:16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</row>
    <row r="315" spans="1:16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</row>
    <row r="316" spans="1:16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</row>
    <row r="317" spans="1:16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</row>
    <row r="318" spans="1:16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</row>
    <row r="319" spans="1:16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</row>
    <row r="320" spans="1:16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</row>
    <row r="321" spans="1:16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</row>
    <row r="322" spans="1:16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</row>
    <row r="323" spans="1:16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</row>
    <row r="324" spans="1:16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</row>
    <row r="325" spans="1:16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</row>
    <row r="326" spans="1:16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</row>
    <row r="327" spans="1:16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</row>
    <row r="328" spans="1:16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</row>
    <row r="329" spans="1:16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</row>
    <row r="330" spans="1:16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</row>
    <row r="331" spans="1:16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</row>
    <row r="332" spans="1:16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</row>
    <row r="333" spans="1:16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</row>
    <row r="334" spans="1:16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</row>
    <row r="335" spans="1:16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</row>
    <row r="336" spans="1:16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</row>
    <row r="337" spans="1:16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</row>
    <row r="338" spans="1:16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</row>
    <row r="339" spans="1:16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</row>
    <row r="340" spans="1:16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</row>
    <row r="341" spans="1:16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</row>
    <row r="342" spans="1:16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</row>
    <row r="343" spans="1:16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</row>
    <row r="344" spans="1:16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</row>
    <row r="345" spans="1:16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</row>
    <row r="346" spans="1:16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</row>
    <row r="347" spans="1:16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</row>
    <row r="348" spans="1:16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</row>
    <row r="349" spans="1:16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</row>
    <row r="350" spans="1:16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</row>
    <row r="351" spans="1:16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</row>
    <row r="352" spans="1:16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</row>
    <row r="353" spans="1:16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</row>
    <row r="354" spans="1:16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</row>
    <row r="355" spans="1:16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</row>
    <row r="356" spans="1:16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</row>
    <row r="357" spans="1:16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</row>
    <row r="358" spans="1:16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</row>
    <row r="359" spans="1:16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</row>
    <row r="360" spans="1:16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</row>
    <row r="361" spans="1:16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</row>
    <row r="362" spans="1:16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</row>
    <row r="363" spans="1:16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</row>
    <row r="364" spans="1:16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</row>
    <row r="365" spans="1:16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</row>
    <row r="366" spans="1:16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</row>
    <row r="367" spans="1:16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</row>
    <row r="368" spans="1:16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</row>
    <row r="369" spans="1:16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</row>
    <row r="370" spans="1:16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</row>
    <row r="371" spans="1:16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</row>
    <row r="372" spans="1:16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</row>
    <row r="373" spans="1:16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</row>
    <row r="374" spans="1:16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</row>
    <row r="375" spans="1:16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</row>
    <row r="376" spans="1:16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</row>
    <row r="377" spans="1:16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</row>
    <row r="378" spans="1:16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</row>
    <row r="379" spans="1:16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</row>
    <row r="380" spans="1:16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</row>
    <row r="381" spans="1:16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</row>
    <row r="382" spans="1:16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</row>
    <row r="383" spans="1:16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</row>
    <row r="384" spans="1:16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</row>
    <row r="385" spans="1:16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</row>
    <row r="386" spans="1:16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</row>
    <row r="387" spans="1:16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</row>
    <row r="388" spans="1:16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</row>
    <row r="389" spans="1:16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</row>
    <row r="390" spans="1:16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</row>
    <row r="391" spans="1:16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</row>
    <row r="392" spans="1:16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</row>
    <row r="393" spans="1:16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</row>
    <row r="394" spans="1:16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</row>
    <row r="395" spans="1:16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</row>
    <row r="396" spans="1:16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</row>
    <row r="397" spans="1:16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</row>
    <row r="398" spans="1:16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</row>
    <row r="399" spans="1:16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</row>
    <row r="400" spans="1:16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</row>
    <row r="401" spans="1:16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</row>
    <row r="402" spans="1:16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</row>
    <row r="403" spans="1:16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</row>
    <row r="404" spans="1:16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</row>
    <row r="405" spans="1:16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</row>
    <row r="406" spans="1:16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</row>
    <row r="407" spans="1:16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</row>
    <row r="408" spans="1:16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</row>
    <row r="409" spans="1:16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</row>
    <row r="410" spans="1:16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</row>
    <row r="411" spans="1:16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</row>
    <row r="412" spans="1:16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</row>
    <row r="413" spans="1:16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</row>
    <row r="414" spans="1:16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</row>
    <row r="415" spans="1:16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</row>
    <row r="416" spans="1:16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</row>
    <row r="417" spans="1:16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</row>
    <row r="418" spans="1:16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</row>
    <row r="419" spans="1:16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</row>
    <row r="420" spans="1:16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</row>
    <row r="421" spans="1:16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</row>
    <row r="422" spans="1:16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</row>
    <row r="423" spans="1:16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</row>
    <row r="424" spans="1:16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</row>
    <row r="425" spans="1:16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</row>
    <row r="426" spans="1:16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</row>
    <row r="427" spans="1:16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</row>
    <row r="428" spans="1:16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</row>
    <row r="429" spans="1:16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</row>
    <row r="430" spans="1:16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</row>
    <row r="431" spans="1:16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</row>
    <row r="432" spans="1:16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</row>
    <row r="433" spans="1:16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</row>
    <row r="434" spans="1:16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</row>
    <row r="435" spans="1:16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</row>
    <row r="436" spans="1:16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</row>
    <row r="437" spans="1:16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</row>
  </sheetData>
  <autoFilter ref="A7:AH228" xr:uid="{11EDAB9D-D4E1-484F-984E-C23E0F5BA036}">
    <sortState xmlns:xlrd2="http://schemas.microsoft.com/office/spreadsheetml/2017/richdata2" ref="A8:AH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2026-05-19T09:31:00Z</dcterms:modified>
</cp:coreProperties>
</file>