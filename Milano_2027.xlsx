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E0B38624-CD32-40FF-B5C9-18E1C2A349CB}" xr6:coauthVersionLast="47" xr6:coauthVersionMax="47" xr10:uidLastSave="{00000000-0000-0000-0000-000000000000}"/>
  <bookViews>
    <workbookView xWindow="-120" yWindow="-120" windowWidth="29040" windowHeight="15840" tabRatio="665" xr2:uid="{0118EB4B-1337-43BA-A7E3-0EBAC20BAF10}"/>
  </bookViews>
  <sheets>
    <sheet name="Tavole e pause golose" sheetId="6" r:id="rId1"/>
  </sheets>
  <definedNames>
    <definedName name="_xlnm._FilterDatabase" localSheetId="0" hidden="1">'Tavole e pause golose'!$A$7:$AI$228</definedName>
    <definedName name="_xlnm.Print_Area" localSheetId="0">'Tavole e pause golose'!$B$7:$I$7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6" l="1"/>
  <c r="AD13" i="6"/>
  <c r="AE13" i="6"/>
  <c r="AF13" i="6"/>
  <c r="AG13" i="6"/>
  <c r="AH13" i="6"/>
  <c r="AI13" i="6"/>
  <c r="S14" i="6"/>
  <c r="AD14" i="6"/>
  <c r="AE14" i="6"/>
  <c r="AF14" i="6"/>
  <c r="AG14" i="6"/>
  <c r="AH14" i="6"/>
  <c r="AI14" i="6"/>
  <c r="S15" i="6"/>
  <c r="AD15" i="6"/>
  <c r="AE15" i="6"/>
  <c r="AF15" i="6"/>
  <c r="AG15" i="6"/>
  <c r="AH15" i="6"/>
  <c r="AI15" i="6"/>
  <c r="S16" i="6"/>
  <c r="AD16" i="6"/>
  <c r="AE16" i="6"/>
  <c r="AF16" i="6"/>
  <c r="AG16" i="6"/>
  <c r="AH16" i="6"/>
  <c r="AI16" i="6"/>
  <c r="S17" i="6"/>
  <c r="AD17" i="6"/>
  <c r="AE17" i="6"/>
  <c r="AF17" i="6"/>
  <c r="AG17" i="6"/>
  <c r="AH17" i="6"/>
  <c r="AI17" i="6"/>
  <c r="S18" i="6"/>
  <c r="AD18" i="6"/>
  <c r="AE18" i="6"/>
  <c r="AF18" i="6"/>
  <c r="AG18" i="6"/>
  <c r="AH18" i="6"/>
  <c r="AI18" i="6"/>
  <c r="S19" i="6"/>
  <c r="AD19" i="6"/>
  <c r="AE19" i="6"/>
  <c r="AF19" i="6"/>
  <c r="AG19" i="6"/>
  <c r="AH19" i="6"/>
  <c r="AI19" i="6"/>
  <c r="S20" i="6"/>
  <c r="AD20" i="6"/>
  <c r="AE20" i="6"/>
  <c r="AF20" i="6"/>
  <c r="AG20" i="6"/>
  <c r="AH20" i="6"/>
  <c r="AI20" i="6"/>
  <c r="S21" i="6"/>
  <c r="AD21" i="6"/>
  <c r="AE21" i="6"/>
  <c r="AF21" i="6"/>
  <c r="AG21" i="6"/>
  <c r="AH21" i="6"/>
  <c r="AI21" i="6"/>
  <c r="S22" i="6"/>
  <c r="AD22" i="6"/>
  <c r="AE22" i="6"/>
  <c r="AF22" i="6"/>
  <c r="AG22" i="6"/>
  <c r="AH22" i="6"/>
  <c r="AI22" i="6"/>
  <c r="S23" i="6"/>
  <c r="AD23" i="6"/>
  <c r="AE23" i="6"/>
  <c r="AF23" i="6"/>
  <c r="AG23" i="6"/>
  <c r="AH23" i="6"/>
  <c r="AI23" i="6"/>
  <c r="S24" i="6"/>
  <c r="AD24" i="6"/>
  <c r="AE24" i="6"/>
  <c r="AF24" i="6"/>
  <c r="AG24" i="6"/>
  <c r="AH24" i="6"/>
  <c r="AI24" i="6"/>
  <c r="S25" i="6"/>
  <c r="AD25" i="6"/>
  <c r="AE25" i="6"/>
  <c r="AF25" i="6"/>
  <c r="AG25" i="6"/>
  <c r="AH25" i="6"/>
  <c r="AI25" i="6"/>
  <c r="S26" i="6"/>
  <c r="AD26" i="6"/>
  <c r="AE26" i="6"/>
  <c r="AF26" i="6"/>
  <c r="AG26" i="6"/>
  <c r="AH26" i="6"/>
  <c r="AI26" i="6"/>
  <c r="S27" i="6"/>
  <c r="AD27" i="6"/>
  <c r="AE27" i="6"/>
  <c r="AF27" i="6"/>
  <c r="AG27" i="6"/>
  <c r="AH27" i="6"/>
  <c r="AI27" i="6"/>
  <c r="S28" i="6"/>
  <c r="AD28" i="6"/>
  <c r="AE28" i="6"/>
  <c r="AF28" i="6"/>
  <c r="AG28" i="6"/>
  <c r="AH28" i="6"/>
  <c r="AI28" i="6"/>
  <c r="S29" i="6"/>
  <c r="AD29" i="6"/>
  <c r="AE29" i="6"/>
  <c r="AF29" i="6"/>
  <c r="AG29" i="6"/>
  <c r="AH29" i="6"/>
  <c r="AI29" i="6"/>
  <c r="S30" i="6"/>
  <c r="AD30" i="6"/>
  <c r="AE30" i="6"/>
  <c r="AF30" i="6"/>
  <c r="AG30" i="6"/>
  <c r="AH30" i="6"/>
  <c r="AI30" i="6"/>
  <c r="S31" i="6"/>
  <c r="AD31" i="6"/>
  <c r="AE31" i="6"/>
  <c r="AF31" i="6"/>
  <c r="AG31" i="6"/>
  <c r="AH31" i="6"/>
  <c r="AI31" i="6"/>
  <c r="S32" i="6"/>
  <c r="AD32" i="6"/>
  <c r="AE32" i="6"/>
  <c r="AF32" i="6"/>
  <c r="AG32" i="6"/>
  <c r="AH32" i="6"/>
  <c r="AI32" i="6"/>
  <c r="S33" i="6"/>
  <c r="AD33" i="6"/>
  <c r="AE33" i="6"/>
  <c r="AF33" i="6"/>
  <c r="AG33" i="6"/>
  <c r="AH33" i="6"/>
  <c r="AI33" i="6"/>
  <c r="S34" i="6"/>
  <c r="AD34" i="6"/>
  <c r="AE34" i="6"/>
  <c r="AF34" i="6"/>
  <c r="AG34" i="6"/>
  <c r="AH34" i="6"/>
  <c r="AI34" i="6"/>
  <c r="S35" i="6"/>
  <c r="AD35" i="6"/>
  <c r="AE35" i="6"/>
  <c r="AF35" i="6"/>
  <c r="AG35" i="6"/>
  <c r="AH35" i="6"/>
  <c r="AI35" i="6"/>
  <c r="S36" i="6"/>
  <c r="AD36" i="6"/>
  <c r="AE36" i="6"/>
  <c r="AF36" i="6"/>
  <c r="AG36" i="6"/>
  <c r="AH36" i="6"/>
  <c r="AI36" i="6"/>
  <c r="S37" i="6"/>
  <c r="AD37" i="6"/>
  <c r="AE37" i="6"/>
  <c r="AF37" i="6"/>
  <c r="AG37" i="6"/>
  <c r="AH37" i="6"/>
  <c r="AI37" i="6"/>
  <c r="S38" i="6"/>
  <c r="AD38" i="6"/>
  <c r="AE38" i="6"/>
  <c r="AF38" i="6"/>
  <c r="AG38" i="6"/>
  <c r="AH38" i="6"/>
  <c r="AI38" i="6"/>
  <c r="S39" i="6"/>
  <c r="AD39" i="6"/>
  <c r="AE39" i="6"/>
  <c r="AF39" i="6"/>
  <c r="AG39" i="6"/>
  <c r="AH39" i="6"/>
  <c r="AI39" i="6"/>
  <c r="S40" i="6"/>
  <c r="AD40" i="6"/>
  <c r="AE40" i="6"/>
  <c r="AF40" i="6"/>
  <c r="AG40" i="6"/>
  <c r="AH40" i="6"/>
  <c r="AI40" i="6"/>
  <c r="S41" i="6"/>
  <c r="AD41" i="6"/>
  <c r="AE41" i="6"/>
  <c r="AF41" i="6"/>
  <c r="AG41" i="6"/>
  <c r="AH41" i="6"/>
  <c r="AI41" i="6"/>
  <c r="S42" i="6"/>
  <c r="AD42" i="6"/>
  <c r="AE42" i="6"/>
  <c r="AF42" i="6"/>
  <c r="AG42" i="6"/>
  <c r="AH42" i="6"/>
  <c r="AI42" i="6"/>
  <c r="S43" i="6"/>
  <c r="AD43" i="6"/>
  <c r="AE43" i="6"/>
  <c r="AF43" i="6"/>
  <c r="AG43" i="6"/>
  <c r="AH43" i="6"/>
  <c r="AI43" i="6"/>
  <c r="S44" i="6"/>
  <c r="AD44" i="6"/>
  <c r="AE44" i="6"/>
  <c r="AF44" i="6"/>
  <c r="AG44" i="6"/>
  <c r="AH44" i="6"/>
  <c r="AI44" i="6"/>
  <c r="S45" i="6"/>
  <c r="AD45" i="6"/>
  <c r="AE45" i="6"/>
  <c r="AF45" i="6"/>
  <c r="AG45" i="6"/>
  <c r="AH45" i="6"/>
  <c r="AI45" i="6"/>
  <c r="S46" i="6"/>
  <c r="AD46" i="6"/>
  <c r="AE46" i="6"/>
  <c r="AF46" i="6"/>
  <c r="AG46" i="6"/>
  <c r="AH46" i="6"/>
  <c r="AI46" i="6"/>
  <c r="S47" i="6"/>
  <c r="AD47" i="6"/>
  <c r="AE47" i="6"/>
  <c r="AF47" i="6"/>
  <c r="AG47" i="6"/>
  <c r="AH47" i="6"/>
  <c r="AI47" i="6"/>
  <c r="S48" i="6"/>
  <c r="AD48" i="6"/>
  <c r="AE48" i="6"/>
  <c r="AF48" i="6"/>
  <c r="AG48" i="6"/>
  <c r="AH48" i="6"/>
  <c r="AI48" i="6"/>
  <c r="S49" i="6"/>
  <c r="AD49" i="6"/>
  <c r="AE49" i="6"/>
  <c r="AF49" i="6"/>
  <c r="AG49" i="6"/>
  <c r="AH49" i="6"/>
  <c r="AI49" i="6"/>
  <c r="S50" i="6"/>
  <c r="AD50" i="6"/>
  <c r="AE50" i="6"/>
  <c r="AF50" i="6"/>
  <c r="AG50" i="6"/>
  <c r="AH50" i="6"/>
  <c r="AI50" i="6"/>
  <c r="S51" i="6"/>
  <c r="AD51" i="6"/>
  <c r="AE51" i="6"/>
  <c r="AF51" i="6"/>
  <c r="AG51" i="6"/>
  <c r="AH51" i="6"/>
  <c r="AI51" i="6"/>
  <c r="S52" i="6"/>
  <c r="AD52" i="6"/>
  <c r="AE52" i="6"/>
  <c r="AF52" i="6"/>
  <c r="AG52" i="6"/>
  <c r="AH52" i="6"/>
  <c r="AI52" i="6"/>
  <c r="S53" i="6"/>
  <c r="AD53" i="6"/>
  <c r="AE53" i="6"/>
  <c r="AF53" i="6"/>
  <c r="AG53" i="6"/>
  <c r="AH53" i="6"/>
  <c r="AI53" i="6"/>
  <c r="S54" i="6"/>
  <c r="AD54" i="6"/>
  <c r="AE54" i="6"/>
  <c r="AF54" i="6"/>
  <c r="AG54" i="6"/>
  <c r="AH54" i="6"/>
  <c r="AI54" i="6"/>
  <c r="S55" i="6"/>
  <c r="AD55" i="6"/>
  <c r="AE55" i="6"/>
  <c r="AF55" i="6"/>
  <c r="AG55" i="6"/>
  <c r="AH55" i="6"/>
  <c r="AI55" i="6"/>
  <c r="S56" i="6"/>
  <c r="AD56" i="6"/>
  <c r="AE56" i="6"/>
  <c r="AF56" i="6"/>
  <c r="AG56" i="6"/>
  <c r="AH56" i="6"/>
  <c r="AI56" i="6"/>
  <c r="S57" i="6"/>
  <c r="AD57" i="6"/>
  <c r="AE57" i="6"/>
  <c r="AF57" i="6"/>
  <c r="AG57" i="6"/>
  <c r="AH57" i="6"/>
  <c r="AI57" i="6"/>
  <c r="S58" i="6"/>
  <c r="AD58" i="6"/>
  <c r="AE58" i="6"/>
  <c r="AF58" i="6"/>
  <c r="AG58" i="6"/>
  <c r="AH58" i="6"/>
  <c r="AI58" i="6"/>
  <c r="S59" i="6"/>
  <c r="AD59" i="6"/>
  <c r="AE59" i="6"/>
  <c r="AF59" i="6"/>
  <c r="AG59" i="6"/>
  <c r="AH59" i="6"/>
  <c r="AI59" i="6"/>
  <c r="S60" i="6"/>
  <c r="AD60" i="6"/>
  <c r="AE60" i="6"/>
  <c r="AF60" i="6"/>
  <c r="AG60" i="6"/>
  <c r="AH60" i="6"/>
  <c r="AI60" i="6"/>
  <c r="S61" i="6"/>
  <c r="AD61" i="6"/>
  <c r="AE61" i="6"/>
  <c r="AF61" i="6"/>
  <c r="AG61" i="6"/>
  <c r="AH61" i="6"/>
  <c r="AI61" i="6"/>
  <c r="S62" i="6"/>
  <c r="AD62" i="6"/>
  <c r="AE62" i="6"/>
  <c r="AF62" i="6"/>
  <c r="AG62" i="6"/>
  <c r="AH62" i="6"/>
  <c r="AI62" i="6"/>
  <c r="S63" i="6"/>
  <c r="AD63" i="6"/>
  <c r="AE63" i="6"/>
  <c r="AF63" i="6"/>
  <c r="AG63" i="6"/>
  <c r="AH63" i="6"/>
  <c r="AI63" i="6"/>
  <c r="S64" i="6"/>
  <c r="AD64" i="6"/>
  <c r="AE64" i="6"/>
  <c r="AF64" i="6"/>
  <c r="AG64" i="6"/>
  <c r="AH64" i="6"/>
  <c r="AI64" i="6"/>
  <c r="S65" i="6"/>
  <c r="AD65" i="6"/>
  <c r="AE65" i="6"/>
  <c r="AF65" i="6"/>
  <c r="AG65" i="6"/>
  <c r="AH65" i="6"/>
  <c r="AI65" i="6"/>
  <c r="S66" i="6"/>
  <c r="AD66" i="6"/>
  <c r="AE66" i="6"/>
  <c r="AF66" i="6"/>
  <c r="AG66" i="6"/>
  <c r="AH66" i="6"/>
  <c r="AI66" i="6"/>
  <c r="S67" i="6"/>
  <c r="AD67" i="6"/>
  <c r="AE67" i="6"/>
  <c r="AF67" i="6"/>
  <c r="AG67" i="6"/>
  <c r="AH67" i="6"/>
  <c r="AI67" i="6"/>
  <c r="S68" i="6"/>
  <c r="AD68" i="6"/>
  <c r="AE68" i="6"/>
  <c r="AF68" i="6"/>
  <c r="AG68" i="6"/>
  <c r="AH68" i="6"/>
  <c r="AI68" i="6"/>
  <c r="S69" i="6"/>
  <c r="AD69" i="6"/>
  <c r="AE69" i="6"/>
  <c r="AF69" i="6"/>
  <c r="AG69" i="6"/>
  <c r="AH69" i="6"/>
  <c r="AI69" i="6"/>
  <c r="S70" i="6"/>
  <c r="AD70" i="6"/>
  <c r="AE70" i="6"/>
  <c r="AF70" i="6"/>
  <c r="AG70" i="6"/>
  <c r="AH70" i="6"/>
  <c r="AI70" i="6"/>
  <c r="S71" i="6"/>
  <c r="AD71" i="6"/>
  <c r="AE71" i="6"/>
  <c r="AF71" i="6"/>
  <c r="AG71" i="6"/>
  <c r="AH71" i="6"/>
  <c r="AI71" i="6"/>
  <c r="S72" i="6"/>
  <c r="AD72" i="6"/>
  <c r="AE72" i="6"/>
  <c r="AF72" i="6"/>
  <c r="AG72" i="6"/>
  <c r="AH72" i="6"/>
  <c r="AI72" i="6"/>
  <c r="S73" i="6"/>
  <c r="AD73" i="6"/>
  <c r="AE73" i="6"/>
  <c r="AF73" i="6"/>
  <c r="AG73" i="6"/>
  <c r="AH73" i="6"/>
  <c r="AI73" i="6"/>
  <c r="S74" i="6"/>
  <c r="AD74" i="6"/>
  <c r="AE74" i="6"/>
  <c r="AF74" i="6"/>
  <c r="AG74" i="6"/>
  <c r="AH74" i="6"/>
  <c r="AI74" i="6"/>
  <c r="S75" i="6"/>
  <c r="AD75" i="6"/>
  <c r="AE75" i="6"/>
  <c r="AF75" i="6"/>
  <c r="AG75" i="6"/>
  <c r="AH75" i="6"/>
  <c r="AI75" i="6"/>
  <c r="S76" i="6"/>
  <c r="AD76" i="6"/>
  <c r="AE76" i="6"/>
  <c r="AF76" i="6"/>
  <c r="AG76" i="6"/>
  <c r="AH76" i="6"/>
  <c r="AI76" i="6"/>
  <c r="S77" i="6"/>
  <c r="AD77" i="6"/>
  <c r="AE77" i="6"/>
  <c r="AF77" i="6"/>
  <c r="AG77" i="6"/>
  <c r="AH77" i="6"/>
  <c r="AI77" i="6"/>
  <c r="S78" i="6"/>
  <c r="AD78" i="6"/>
  <c r="AE78" i="6"/>
  <c r="AF78" i="6"/>
  <c r="AG78" i="6"/>
  <c r="AH78" i="6"/>
  <c r="AI78" i="6"/>
  <c r="S79" i="6"/>
  <c r="AD79" i="6"/>
  <c r="AE79" i="6"/>
  <c r="AF79" i="6"/>
  <c r="AG79" i="6"/>
  <c r="AH79" i="6"/>
  <c r="AI79" i="6"/>
  <c r="S80" i="6"/>
  <c r="AD80" i="6"/>
  <c r="AE80" i="6"/>
  <c r="AF80" i="6"/>
  <c r="AG80" i="6"/>
  <c r="AH80" i="6"/>
  <c r="AI80" i="6"/>
  <c r="S81" i="6"/>
  <c r="AD81" i="6"/>
  <c r="AE81" i="6"/>
  <c r="AF81" i="6"/>
  <c r="AG81" i="6"/>
  <c r="AH81" i="6"/>
  <c r="AI81" i="6"/>
  <c r="S82" i="6"/>
  <c r="AD82" i="6"/>
  <c r="AE82" i="6"/>
  <c r="AF82" i="6"/>
  <c r="AG82" i="6"/>
  <c r="AH82" i="6"/>
  <c r="AI82" i="6"/>
  <c r="S83" i="6"/>
  <c r="AD83" i="6"/>
  <c r="AE83" i="6"/>
  <c r="AF83" i="6"/>
  <c r="AG83" i="6"/>
  <c r="AH83" i="6"/>
  <c r="AI83" i="6"/>
  <c r="S84" i="6"/>
  <c r="AD84" i="6"/>
  <c r="AE84" i="6"/>
  <c r="AF84" i="6"/>
  <c r="AG84" i="6"/>
  <c r="AH84" i="6"/>
  <c r="AI84" i="6"/>
  <c r="S85" i="6"/>
  <c r="AD85" i="6"/>
  <c r="AE85" i="6"/>
  <c r="AF85" i="6"/>
  <c r="AG85" i="6"/>
  <c r="AH85" i="6"/>
  <c r="AI85" i="6"/>
  <c r="S86" i="6"/>
  <c r="AD86" i="6"/>
  <c r="AE86" i="6"/>
  <c r="AF86" i="6"/>
  <c r="AG86" i="6"/>
  <c r="AH86" i="6"/>
  <c r="AI86" i="6"/>
  <c r="S87" i="6"/>
  <c r="AD87" i="6"/>
  <c r="AE87" i="6"/>
  <c r="AF87" i="6"/>
  <c r="AG87" i="6"/>
  <c r="AH87" i="6"/>
  <c r="AI87" i="6"/>
  <c r="S88" i="6"/>
  <c r="AD88" i="6"/>
  <c r="AE88" i="6"/>
  <c r="AF88" i="6"/>
  <c r="AG88" i="6"/>
  <c r="AH88" i="6"/>
  <c r="AI88" i="6"/>
  <c r="S89" i="6"/>
  <c r="AD89" i="6"/>
  <c r="AE89" i="6"/>
  <c r="AF89" i="6"/>
  <c r="AG89" i="6"/>
  <c r="AH89" i="6"/>
  <c r="AI89" i="6"/>
  <c r="S90" i="6"/>
  <c r="AD90" i="6"/>
  <c r="AE90" i="6"/>
  <c r="AF90" i="6"/>
  <c r="AG90" i="6"/>
  <c r="AH90" i="6"/>
  <c r="AI90" i="6"/>
  <c r="S91" i="6"/>
  <c r="AD91" i="6"/>
  <c r="AE91" i="6"/>
  <c r="AF91" i="6"/>
  <c r="AG91" i="6"/>
  <c r="AH91" i="6"/>
  <c r="AI91" i="6"/>
  <c r="S92" i="6"/>
  <c r="AD92" i="6"/>
  <c r="AE92" i="6"/>
  <c r="AF92" i="6"/>
  <c r="AG92" i="6"/>
  <c r="AH92" i="6"/>
  <c r="AI92" i="6"/>
  <c r="S93" i="6"/>
  <c r="AD93" i="6"/>
  <c r="AE93" i="6"/>
  <c r="AF93" i="6"/>
  <c r="AG93" i="6"/>
  <c r="AH93" i="6"/>
  <c r="AI93" i="6"/>
  <c r="S94" i="6"/>
  <c r="AD94" i="6"/>
  <c r="AE94" i="6"/>
  <c r="AF94" i="6"/>
  <c r="AG94" i="6"/>
  <c r="AH94" i="6"/>
  <c r="AI94" i="6"/>
  <c r="S95" i="6"/>
  <c r="AD95" i="6"/>
  <c r="AE95" i="6"/>
  <c r="AF95" i="6"/>
  <c r="AG95" i="6"/>
  <c r="AH95" i="6"/>
  <c r="AI95" i="6"/>
  <c r="S96" i="6"/>
  <c r="AD96" i="6"/>
  <c r="AE96" i="6"/>
  <c r="AF96" i="6"/>
  <c r="AG96" i="6"/>
  <c r="AH96" i="6"/>
  <c r="AI96" i="6"/>
  <c r="S97" i="6"/>
  <c r="AD97" i="6"/>
  <c r="AE97" i="6"/>
  <c r="AF97" i="6"/>
  <c r="AG97" i="6"/>
  <c r="AH97" i="6"/>
  <c r="AI97" i="6"/>
  <c r="S98" i="6"/>
  <c r="AD98" i="6"/>
  <c r="AE98" i="6"/>
  <c r="AF98" i="6"/>
  <c r="AG98" i="6"/>
  <c r="AH98" i="6"/>
  <c r="AI98" i="6"/>
  <c r="S99" i="6"/>
  <c r="AD99" i="6"/>
  <c r="AE99" i="6"/>
  <c r="AF99" i="6"/>
  <c r="AG99" i="6"/>
  <c r="AH99" i="6"/>
  <c r="AI99" i="6"/>
  <c r="S100" i="6"/>
  <c r="AD100" i="6"/>
  <c r="AE100" i="6"/>
  <c r="AF100" i="6"/>
  <c r="AG100" i="6"/>
  <c r="AH100" i="6"/>
  <c r="AI100" i="6"/>
  <c r="S101" i="6"/>
  <c r="AD101" i="6"/>
  <c r="AE101" i="6"/>
  <c r="AF101" i="6"/>
  <c r="AG101" i="6"/>
  <c r="AH101" i="6"/>
  <c r="AI101" i="6"/>
  <c r="S102" i="6"/>
  <c r="AD102" i="6"/>
  <c r="AE102" i="6"/>
  <c r="AF102" i="6"/>
  <c r="AG102" i="6"/>
  <c r="AH102" i="6"/>
  <c r="AI102" i="6"/>
  <c r="S103" i="6"/>
  <c r="AD103" i="6"/>
  <c r="AE103" i="6"/>
  <c r="AF103" i="6"/>
  <c r="AG103" i="6"/>
  <c r="AH103" i="6"/>
  <c r="AI103" i="6"/>
  <c r="S104" i="6"/>
  <c r="AD104" i="6"/>
  <c r="AE104" i="6"/>
  <c r="AF104" i="6"/>
  <c r="AG104" i="6"/>
  <c r="AH104" i="6"/>
  <c r="AI104" i="6"/>
  <c r="S105" i="6"/>
  <c r="AD105" i="6"/>
  <c r="AE105" i="6"/>
  <c r="AF105" i="6"/>
  <c r="AG105" i="6"/>
  <c r="AH105" i="6"/>
  <c r="AI105" i="6"/>
  <c r="S106" i="6"/>
  <c r="AD106" i="6"/>
  <c r="AE106" i="6"/>
  <c r="AF106" i="6"/>
  <c r="AG106" i="6"/>
  <c r="AH106" i="6"/>
  <c r="AI106" i="6"/>
  <c r="S107" i="6"/>
  <c r="AD107" i="6"/>
  <c r="AE107" i="6"/>
  <c r="AF107" i="6"/>
  <c r="AG107" i="6"/>
  <c r="AH107" i="6"/>
  <c r="AI107" i="6"/>
  <c r="S108" i="6"/>
  <c r="AD108" i="6"/>
  <c r="AE108" i="6"/>
  <c r="AF108" i="6"/>
  <c r="AG108" i="6"/>
  <c r="AH108" i="6"/>
  <c r="AI108" i="6"/>
  <c r="S109" i="6"/>
  <c r="AD109" i="6"/>
  <c r="AE109" i="6"/>
  <c r="AF109" i="6"/>
  <c r="AG109" i="6"/>
  <c r="AH109" i="6"/>
  <c r="AI109" i="6"/>
  <c r="S110" i="6"/>
  <c r="AD110" i="6"/>
  <c r="AE110" i="6"/>
  <c r="AF110" i="6"/>
  <c r="AG110" i="6"/>
  <c r="AH110" i="6"/>
  <c r="AI110" i="6"/>
  <c r="S111" i="6"/>
  <c r="AD111" i="6"/>
  <c r="AE111" i="6"/>
  <c r="AF111" i="6"/>
  <c r="AG111" i="6"/>
  <c r="AH111" i="6"/>
  <c r="AI111" i="6"/>
  <c r="S112" i="6"/>
  <c r="AD112" i="6"/>
  <c r="AE112" i="6"/>
  <c r="AF112" i="6"/>
  <c r="AG112" i="6"/>
  <c r="AH112" i="6"/>
  <c r="AI112" i="6"/>
  <c r="S113" i="6"/>
  <c r="AD113" i="6"/>
  <c r="AE113" i="6"/>
  <c r="AF113" i="6"/>
  <c r="AG113" i="6"/>
  <c r="AH113" i="6"/>
  <c r="AI113" i="6"/>
  <c r="S114" i="6"/>
  <c r="AD114" i="6"/>
  <c r="AE114" i="6"/>
  <c r="AF114" i="6"/>
  <c r="AG114" i="6"/>
  <c r="AH114" i="6"/>
  <c r="AI114" i="6"/>
  <c r="S115" i="6"/>
  <c r="AD115" i="6"/>
  <c r="AE115" i="6"/>
  <c r="AF115" i="6"/>
  <c r="AG115" i="6"/>
  <c r="AH115" i="6"/>
  <c r="AI115" i="6"/>
  <c r="S116" i="6"/>
  <c r="AD116" i="6"/>
  <c r="AE116" i="6"/>
  <c r="AF116" i="6"/>
  <c r="AG116" i="6"/>
  <c r="AH116" i="6"/>
  <c r="AI116" i="6"/>
  <c r="S117" i="6"/>
  <c r="AD117" i="6"/>
  <c r="AE117" i="6"/>
  <c r="AF117" i="6"/>
  <c r="AG117" i="6"/>
  <c r="AH117" i="6"/>
  <c r="AI117" i="6"/>
  <c r="S118" i="6"/>
  <c r="AD118" i="6"/>
  <c r="AE118" i="6"/>
  <c r="AF118" i="6"/>
  <c r="AG118" i="6"/>
  <c r="AH118" i="6"/>
  <c r="AI118" i="6"/>
  <c r="S119" i="6"/>
  <c r="AD119" i="6"/>
  <c r="AE119" i="6"/>
  <c r="AF119" i="6"/>
  <c r="AG119" i="6"/>
  <c r="AH119" i="6"/>
  <c r="AI119" i="6"/>
  <c r="S120" i="6"/>
  <c r="AD120" i="6"/>
  <c r="AE120" i="6"/>
  <c r="AF120" i="6"/>
  <c r="AG120" i="6"/>
  <c r="AH120" i="6"/>
  <c r="AI120" i="6"/>
  <c r="S121" i="6"/>
  <c r="AD121" i="6"/>
  <c r="AE121" i="6"/>
  <c r="AF121" i="6"/>
  <c r="AG121" i="6"/>
  <c r="AH121" i="6"/>
  <c r="AI121" i="6"/>
  <c r="S122" i="6"/>
  <c r="AD122" i="6"/>
  <c r="AE122" i="6"/>
  <c r="AF122" i="6"/>
  <c r="AG122" i="6"/>
  <c r="AH122" i="6"/>
  <c r="AI122" i="6"/>
  <c r="S123" i="6"/>
  <c r="AD123" i="6"/>
  <c r="AE123" i="6"/>
  <c r="AF123" i="6"/>
  <c r="AG123" i="6"/>
  <c r="AH123" i="6"/>
  <c r="AI123" i="6"/>
  <c r="S124" i="6"/>
  <c r="AD124" i="6"/>
  <c r="AE124" i="6"/>
  <c r="AF124" i="6"/>
  <c r="AG124" i="6"/>
  <c r="AH124" i="6"/>
  <c r="AI124" i="6"/>
  <c r="S125" i="6"/>
  <c r="AD125" i="6"/>
  <c r="AE125" i="6"/>
  <c r="AF125" i="6"/>
  <c r="AG125" i="6"/>
  <c r="AH125" i="6"/>
  <c r="AI125" i="6"/>
  <c r="S126" i="6"/>
  <c r="AD126" i="6"/>
  <c r="AE126" i="6"/>
  <c r="AF126" i="6"/>
  <c r="AG126" i="6"/>
  <c r="AH126" i="6"/>
  <c r="AI126" i="6"/>
  <c r="S127" i="6"/>
  <c r="AD127" i="6"/>
  <c r="AE127" i="6"/>
  <c r="AF127" i="6"/>
  <c r="AG127" i="6"/>
  <c r="AH127" i="6"/>
  <c r="AI127" i="6"/>
  <c r="S128" i="6"/>
  <c r="AD128" i="6"/>
  <c r="AE128" i="6"/>
  <c r="AF128" i="6"/>
  <c r="AG128" i="6"/>
  <c r="AH128" i="6"/>
  <c r="AI128" i="6"/>
  <c r="S129" i="6"/>
  <c r="AD129" i="6"/>
  <c r="AE129" i="6"/>
  <c r="AF129" i="6"/>
  <c r="AG129" i="6"/>
  <c r="AH129" i="6"/>
  <c r="AI129" i="6"/>
  <c r="S130" i="6"/>
  <c r="AD130" i="6"/>
  <c r="AE130" i="6"/>
  <c r="AF130" i="6"/>
  <c r="AG130" i="6"/>
  <c r="AH130" i="6"/>
  <c r="AI130" i="6"/>
  <c r="S131" i="6"/>
  <c r="AD131" i="6"/>
  <c r="AE131" i="6"/>
  <c r="AF131" i="6"/>
  <c r="AG131" i="6"/>
  <c r="AH131" i="6"/>
  <c r="AI131" i="6"/>
  <c r="S132" i="6"/>
  <c r="AD132" i="6"/>
  <c r="AE132" i="6"/>
  <c r="AF132" i="6"/>
  <c r="AG132" i="6"/>
  <c r="AH132" i="6"/>
  <c r="AI132" i="6"/>
  <c r="S133" i="6"/>
  <c r="AD133" i="6"/>
  <c r="AE133" i="6"/>
  <c r="AF133" i="6"/>
  <c r="AG133" i="6"/>
  <c r="AH133" i="6"/>
  <c r="AI133" i="6"/>
  <c r="S134" i="6"/>
  <c r="AD134" i="6"/>
  <c r="AE134" i="6"/>
  <c r="AF134" i="6"/>
  <c r="AG134" i="6"/>
  <c r="AH134" i="6"/>
  <c r="AI134" i="6"/>
  <c r="S135" i="6"/>
  <c r="AD135" i="6"/>
  <c r="AE135" i="6"/>
  <c r="AF135" i="6"/>
  <c r="AG135" i="6"/>
  <c r="AH135" i="6"/>
  <c r="AI135" i="6"/>
  <c r="S136" i="6"/>
  <c r="AD136" i="6"/>
  <c r="AE136" i="6"/>
  <c r="AF136" i="6"/>
  <c r="AG136" i="6"/>
  <c r="AH136" i="6"/>
  <c r="AI136" i="6"/>
  <c r="S137" i="6"/>
  <c r="AD137" i="6"/>
  <c r="AE137" i="6"/>
  <c r="AF137" i="6"/>
  <c r="AG137" i="6"/>
  <c r="AH137" i="6"/>
  <c r="AI137" i="6"/>
  <c r="S138" i="6"/>
  <c r="AD138" i="6"/>
  <c r="AE138" i="6"/>
  <c r="AF138" i="6"/>
  <c r="AG138" i="6"/>
  <c r="AH138" i="6"/>
  <c r="AI138" i="6"/>
  <c r="S139" i="6"/>
  <c r="AD139" i="6"/>
  <c r="AE139" i="6"/>
  <c r="AF139" i="6"/>
  <c r="AG139" i="6"/>
  <c r="AH139" i="6"/>
  <c r="AI139" i="6"/>
  <c r="S140" i="6"/>
  <c r="AD140" i="6"/>
  <c r="AE140" i="6"/>
  <c r="AF140" i="6"/>
  <c r="AG140" i="6"/>
  <c r="AH140" i="6"/>
  <c r="AI140" i="6"/>
  <c r="S141" i="6"/>
  <c r="AD141" i="6"/>
  <c r="AE141" i="6"/>
  <c r="AF141" i="6"/>
  <c r="AG141" i="6"/>
  <c r="AH141" i="6"/>
  <c r="AI141" i="6"/>
  <c r="S142" i="6"/>
  <c r="AD142" i="6"/>
  <c r="AE142" i="6"/>
  <c r="AF142" i="6"/>
  <c r="AG142" i="6"/>
  <c r="AH142" i="6"/>
  <c r="AI142" i="6"/>
  <c r="S143" i="6"/>
  <c r="AD143" i="6"/>
  <c r="AE143" i="6"/>
  <c r="AF143" i="6"/>
  <c r="AG143" i="6"/>
  <c r="AH143" i="6"/>
  <c r="AI143" i="6"/>
  <c r="S144" i="6"/>
  <c r="AD144" i="6"/>
  <c r="AE144" i="6"/>
  <c r="AF144" i="6"/>
  <c r="AG144" i="6"/>
  <c r="AH144" i="6"/>
  <c r="AI144" i="6"/>
  <c r="S145" i="6"/>
  <c r="AD145" i="6"/>
  <c r="AE145" i="6"/>
  <c r="AF145" i="6"/>
  <c r="AG145" i="6"/>
  <c r="AH145" i="6"/>
  <c r="AI145" i="6"/>
  <c r="S146" i="6"/>
  <c r="AD146" i="6"/>
  <c r="AE146" i="6"/>
  <c r="AF146" i="6"/>
  <c r="AG146" i="6"/>
  <c r="AH146" i="6"/>
  <c r="AI146" i="6"/>
  <c r="S147" i="6"/>
  <c r="AD147" i="6"/>
  <c r="AE147" i="6"/>
  <c r="AF147" i="6"/>
  <c r="AG147" i="6"/>
  <c r="AH147" i="6"/>
  <c r="AI147" i="6"/>
  <c r="S148" i="6"/>
  <c r="AD148" i="6"/>
  <c r="AE148" i="6"/>
  <c r="AF148" i="6"/>
  <c r="AG148" i="6"/>
  <c r="AH148" i="6"/>
  <c r="AI148" i="6"/>
  <c r="S149" i="6"/>
  <c r="AD149" i="6"/>
  <c r="AE149" i="6"/>
  <c r="AF149" i="6"/>
  <c r="AG149" i="6"/>
  <c r="AH149" i="6"/>
  <c r="AI149" i="6"/>
  <c r="S150" i="6"/>
  <c r="AD150" i="6"/>
  <c r="AE150" i="6"/>
  <c r="AF150" i="6"/>
  <c r="AG150" i="6"/>
  <c r="AH150" i="6"/>
  <c r="AI150" i="6"/>
  <c r="S151" i="6"/>
  <c r="AD151" i="6"/>
  <c r="AE151" i="6"/>
  <c r="AF151" i="6"/>
  <c r="AG151" i="6"/>
  <c r="AH151" i="6"/>
  <c r="AI151" i="6"/>
  <c r="S152" i="6"/>
  <c r="AD152" i="6"/>
  <c r="AE152" i="6"/>
  <c r="AF152" i="6"/>
  <c r="AG152" i="6"/>
  <c r="AH152" i="6"/>
  <c r="AI152" i="6"/>
  <c r="S153" i="6"/>
  <c r="AD153" i="6"/>
  <c r="AE153" i="6"/>
  <c r="AF153" i="6"/>
  <c r="AG153" i="6"/>
  <c r="AH153" i="6"/>
  <c r="AI153" i="6"/>
  <c r="S154" i="6"/>
  <c r="AD154" i="6"/>
  <c r="AE154" i="6"/>
  <c r="AF154" i="6"/>
  <c r="AG154" i="6"/>
  <c r="AH154" i="6"/>
  <c r="AI154" i="6"/>
  <c r="S155" i="6"/>
  <c r="AD155" i="6"/>
  <c r="AE155" i="6"/>
  <c r="AF155" i="6"/>
  <c r="AG155" i="6"/>
  <c r="AH155" i="6"/>
  <c r="AI155" i="6"/>
  <c r="S156" i="6"/>
  <c r="AD156" i="6"/>
  <c r="AE156" i="6"/>
  <c r="AF156" i="6"/>
  <c r="AG156" i="6"/>
  <c r="AH156" i="6"/>
  <c r="AI156" i="6"/>
  <c r="S157" i="6"/>
  <c r="AD157" i="6"/>
  <c r="AE157" i="6"/>
  <c r="AF157" i="6"/>
  <c r="AG157" i="6"/>
  <c r="AH157" i="6"/>
  <c r="AI157" i="6"/>
  <c r="S158" i="6"/>
  <c r="AD158" i="6"/>
  <c r="AE158" i="6"/>
  <c r="AF158" i="6"/>
  <c r="AG158" i="6"/>
  <c r="AH158" i="6"/>
  <c r="AI158" i="6"/>
  <c r="S159" i="6"/>
  <c r="AD159" i="6"/>
  <c r="AE159" i="6"/>
  <c r="AF159" i="6"/>
  <c r="AG159" i="6"/>
  <c r="AH159" i="6"/>
  <c r="AI159" i="6"/>
  <c r="S160" i="6"/>
  <c r="AD160" i="6"/>
  <c r="AE160" i="6"/>
  <c r="AF160" i="6"/>
  <c r="AG160" i="6"/>
  <c r="AH160" i="6"/>
  <c r="AI160" i="6"/>
  <c r="S161" i="6"/>
  <c r="AD161" i="6"/>
  <c r="AE161" i="6"/>
  <c r="AF161" i="6"/>
  <c r="AG161" i="6"/>
  <c r="AH161" i="6"/>
  <c r="AI161" i="6"/>
  <c r="S162" i="6"/>
  <c r="AD162" i="6"/>
  <c r="AE162" i="6"/>
  <c r="AF162" i="6"/>
  <c r="AG162" i="6"/>
  <c r="AH162" i="6"/>
  <c r="AI162" i="6"/>
  <c r="S163" i="6"/>
  <c r="AD163" i="6"/>
  <c r="AE163" i="6"/>
  <c r="AF163" i="6"/>
  <c r="AG163" i="6"/>
  <c r="AH163" i="6"/>
  <c r="AI163" i="6"/>
  <c r="S164" i="6"/>
  <c r="AD164" i="6"/>
  <c r="AE164" i="6"/>
  <c r="AF164" i="6"/>
  <c r="AG164" i="6"/>
  <c r="AH164" i="6"/>
  <c r="AI164" i="6"/>
  <c r="S165" i="6"/>
  <c r="AD165" i="6"/>
  <c r="AE165" i="6"/>
  <c r="AF165" i="6"/>
  <c r="AG165" i="6"/>
  <c r="AH165" i="6"/>
  <c r="AI165" i="6"/>
  <c r="S166" i="6"/>
  <c r="AD166" i="6"/>
  <c r="AE166" i="6"/>
  <c r="AF166" i="6"/>
  <c r="AG166" i="6"/>
  <c r="AH166" i="6"/>
  <c r="AI166" i="6"/>
  <c r="S167" i="6"/>
  <c r="AD167" i="6"/>
  <c r="AE167" i="6"/>
  <c r="AF167" i="6"/>
  <c r="AG167" i="6"/>
  <c r="AH167" i="6"/>
  <c r="AI167" i="6"/>
  <c r="S168" i="6"/>
  <c r="AD168" i="6"/>
  <c r="AE168" i="6"/>
  <c r="AF168" i="6"/>
  <c r="AG168" i="6"/>
  <c r="AH168" i="6"/>
  <c r="AI168" i="6"/>
  <c r="S169" i="6"/>
  <c r="AD169" i="6"/>
  <c r="AE169" i="6"/>
  <c r="AF169" i="6"/>
  <c r="AG169" i="6"/>
  <c r="AH169" i="6"/>
  <c r="AI169" i="6"/>
  <c r="S170" i="6"/>
  <c r="AD170" i="6"/>
  <c r="AE170" i="6"/>
  <c r="AF170" i="6"/>
  <c r="AG170" i="6"/>
  <c r="AH170" i="6"/>
  <c r="AI170" i="6"/>
  <c r="S171" i="6"/>
  <c r="AD171" i="6"/>
  <c r="AE171" i="6"/>
  <c r="AF171" i="6"/>
  <c r="AG171" i="6"/>
  <c r="AH171" i="6"/>
  <c r="AI171" i="6"/>
  <c r="S172" i="6"/>
  <c r="AD172" i="6"/>
  <c r="AE172" i="6"/>
  <c r="AF172" i="6"/>
  <c r="AG172" i="6"/>
  <c r="AH172" i="6"/>
  <c r="AI172" i="6"/>
  <c r="S173" i="6"/>
  <c r="AD173" i="6"/>
  <c r="AE173" i="6"/>
  <c r="AF173" i="6"/>
  <c r="AG173" i="6"/>
  <c r="AH173" i="6"/>
  <c r="AI173" i="6"/>
  <c r="S174" i="6"/>
  <c r="AD174" i="6"/>
  <c r="AE174" i="6"/>
  <c r="AF174" i="6"/>
  <c r="AG174" i="6"/>
  <c r="AH174" i="6"/>
  <c r="AI174" i="6"/>
  <c r="S175" i="6"/>
  <c r="AD175" i="6"/>
  <c r="AE175" i="6"/>
  <c r="AF175" i="6"/>
  <c r="AG175" i="6"/>
  <c r="AH175" i="6"/>
  <c r="AI175" i="6"/>
  <c r="S176" i="6"/>
  <c r="AD176" i="6"/>
  <c r="AE176" i="6"/>
  <c r="AF176" i="6"/>
  <c r="AG176" i="6"/>
  <c r="AH176" i="6"/>
  <c r="AI176" i="6"/>
  <c r="S177" i="6"/>
  <c r="AD177" i="6"/>
  <c r="AE177" i="6"/>
  <c r="AF177" i="6"/>
  <c r="AG177" i="6"/>
  <c r="AH177" i="6"/>
  <c r="AI177" i="6"/>
  <c r="S178" i="6"/>
  <c r="AD178" i="6"/>
  <c r="AE178" i="6"/>
  <c r="AF178" i="6"/>
  <c r="AG178" i="6"/>
  <c r="AH178" i="6"/>
  <c r="AI178" i="6"/>
  <c r="S179" i="6"/>
  <c r="AD179" i="6"/>
  <c r="AE179" i="6"/>
  <c r="AF179" i="6"/>
  <c r="AG179" i="6"/>
  <c r="AH179" i="6"/>
  <c r="AI179" i="6"/>
  <c r="S180" i="6"/>
  <c r="AD180" i="6"/>
  <c r="AE180" i="6"/>
  <c r="AF180" i="6"/>
  <c r="AG180" i="6"/>
  <c r="AH180" i="6"/>
  <c r="AI180" i="6"/>
  <c r="S181" i="6"/>
  <c r="AD181" i="6"/>
  <c r="AE181" i="6"/>
  <c r="AF181" i="6"/>
  <c r="AG181" i="6"/>
  <c r="AH181" i="6"/>
  <c r="AI181" i="6"/>
  <c r="S182" i="6"/>
  <c r="AD182" i="6"/>
  <c r="AE182" i="6"/>
  <c r="AF182" i="6"/>
  <c r="AG182" i="6"/>
  <c r="AH182" i="6"/>
  <c r="AI182" i="6"/>
  <c r="S183" i="6"/>
  <c r="AD183" i="6"/>
  <c r="AE183" i="6"/>
  <c r="AF183" i="6"/>
  <c r="AG183" i="6"/>
  <c r="AH183" i="6"/>
  <c r="AI183" i="6"/>
  <c r="S184" i="6"/>
  <c r="AD184" i="6"/>
  <c r="AE184" i="6"/>
  <c r="AF184" i="6"/>
  <c r="AG184" i="6"/>
  <c r="AH184" i="6"/>
  <c r="AI184" i="6"/>
  <c r="S185" i="6"/>
  <c r="AD185" i="6"/>
  <c r="AE185" i="6"/>
  <c r="AF185" i="6"/>
  <c r="AG185" i="6"/>
  <c r="AH185" i="6"/>
  <c r="AI185" i="6"/>
  <c r="S186" i="6"/>
  <c r="AD186" i="6"/>
  <c r="AE186" i="6"/>
  <c r="AF186" i="6"/>
  <c r="AG186" i="6"/>
  <c r="AH186" i="6"/>
  <c r="AI186" i="6"/>
  <c r="S187" i="6"/>
  <c r="AD187" i="6"/>
  <c r="AE187" i="6"/>
  <c r="AF187" i="6"/>
  <c r="AG187" i="6"/>
  <c r="AH187" i="6"/>
  <c r="AI187" i="6"/>
  <c r="S188" i="6"/>
  <c r="AD188" i="6"/>
  <c r="AE188" i="6"/>
  <c r="AF188" i="6"/>
  <c r="AG188" i="6"/>
  <c r="AH188" i="6"/>
  <c r="AI188" i="6"/>
  <c r="S189" i="6"/>
  <c r="AD189" i="6"/>
  <c r="AE189" i="6"/>
  <c r="AF189" i="6"/>
  <c r="AG189" i="6"/>
  <c r="AH189" i="6"/>
  <c r="AI189" i="6"/>
  <c r="S190" i="6"/>
  <c r="AD190" i="6"/>
  <c r="AE190" i="6"/>
  <c r="AF190" i="6"/>
  <c r="AG190" i="6"/>
  <c r="AH190" i="6"/>
  <c r="AI190" i="6"/>
  <c r="S191" i="6"/>
  <c r="AD191" i="6"/>
  <c r="AE191" i="6"/>
  <c r="AF191" i="6"/>
  <c r="AG191" i="6"/>
  <c r="AH191" i="6"/>
  <c r="AI191" i="6"/>
  <c r="S192" i="6"/>
  <c r="AD192" i="6"/>
  <c r="AE192" i="6"/>
  <c r="AF192" i="6"/>
  <c r="AG192" i="6"/>
  <c r="AH192" i="6"/>
  <c r="AI192" i="6"/>
  <c r="S193" i="6"/>
  <c r="AD193" i="6"/>
  <c r="AE193" i="6"/>
  <c r="AF193" i="6"/>
  <c r="AG193" i="6"/>
  <c r="AH193" i="6"/>
  <c r="AI193" i="6"/>
  <c r="S194" i="6"/>
  <c r="AD194" i="6"/>
  <c r="AE194" i="6"/>
  <c r="AF194" i="6"/>
  <c r="AG194" i="6"/>
  <c r="AH194" i="6"/>
  <c r="AI194" i="6"/>
  <c r="S195" i="6"/>
  <c r="AD195" i="6"/>
  <c r="AE195" i="6"/>
  <c r="AF195" i="6"/>
  <c r="AG195" i="6"/>
  <c r="AH195" i="6"/>
  <c r="AI195" i="6"/>
  <c r="S196" i="6"/>
  <c r="AD196" i="6"/>
  <c r="AE196" i="6"/>
  <c r="AF196" i="6"/>
  <c r="AG196" i="6"/>
  <c r="AH196" i="6"/>
  <c r="AI196" i="6"/>
  <c r="S197" i="6"/>
  <c r="AD197" i="6"/>
  <c r="AE197" i="6"/>
  <c r="AF197" i="6"/>
  <c r="AG197" i="6"/>
  <c r="AH197" i="6"/>
  <c r="AI197" i="6"/>
  <c r="S198" i="6"/>
  <c r="AD198" i="6"/>
  <c r="AE198" i="6"/>
  <c r="AF198" i="6"/>
  <c r="AG198" i="6"/>
  <c r="AH198" i="6"/>
  <c r="AI198" i="6"/>
  <c r="S199" i="6"/>
  <c r="AD199" i="6"/>
  <c r="AE199" i="6"/>
  <c r="AF199" i="6"/>
  <c r="AG199" i="6"/>
  <c r="AH199" i="6"/>
  <c r="AI199" i="6"/>
  <c r="S200" i="6"/>
  <c r="AD200" i="6"/>
  <c r="AE200" i="6"/>
  <c r="AF200" i="6"/>
  <c r="AG200" i="6"/>
  <c r="AH200" i="6"/>
  <c r="AI200" i="6"/>
  <c r="S201" i="6"/>
  <c r="AD201" i="6"/>
  <c r="AE201" i="6"/>
  <c r="AF201" i="6"/>
  <c r="AG201" i="6"/>
  <c r="AH201" i="6"/>
  <c r="AI201" i="6"/>
  <c r="S202" i="6"/>
  <c r="AD202" i="6"/>
  <c r="AE202" i="6"/>
  <c r="AF202" i="6"/>
  <c r="AG202" i="6"/>
  <c r="AH202" i="6"/>
  <c r="AI202" i="6"/>
  <c r="S203" i="6"/>
  <c r="AD203" i="6"/>
  <c r="AE203" i="6"/>
  <c r="AF203" i="6"/>
  <c r="AG203" i="6"/>
  <c r="AH203" i="6"/>
  <c r="AI203" i="6"/>
  <c r="S204" i="6"/>
  <c r="AD204" i="6"/>
  <c r="AE204" i="6"/>
  <c r="AF204" i="6"/>
  <c r="AG204" i="6"/>
  <c r="AH204" i="6"/>
  <c r="AI204" i="6"/>
  <c r="S205" i="6"/>
  <c r="AD205" i="6"/>
  <c r="AE205" i="6"/>
  <c r="AF205" i="6"/>
  <c r="AG205" i="6"/>
  <c r="AH205" i="6"/>
  <c r="AI205" i="6"/>
  <c r="S206" i="6"/>
  <c r="AD206" i="6"/>
  <c r="AE206" i="6"/>
  <c r="AF206" i="6"/>
  <c r="AG206" i="6"/>
  <c r="AH206" i="6"/>
  <c r="AI206" i="6"/>
  <c r="S207" i="6"/>
  <c r="AD207" i="6"/>
  <c r="AE207" i="6"/>
  <c r="AF207" i="6"/>
  <c r="AG207" i="6"/>
  <c r="AH207" i="6"/>
  <c r="AI207" i="6"/>
  <c r="S208" i="6"/>
  <c r="AD208" i="6"/>
  <c r="AE208" i="6"/>
  <c r="AF208" i="6"/>
  <c r="AG208" i="6"/>
  <c r="AH208" i="6"/>
  <c r="AI208" i="6"/>
  <c r="S209" i="6"/>
  <c r="AD209" i="6"/>
  <c r="AE209" i="6"/>
  <c r="AF209" i="6"/>
  <c r="AG209" i="6"/>
  <c r="AH209" i="6"/>
  <c r="AI209" i="6"/>
  <c r="S210" i="6"/>
  <c r="AD210" i="6"/>
  <c r="AE210" i="6"/>
  <c r="AF210" i="6"/>
  <c r="AG210" i="6"/>
  <c r="AH210" i="6"/>
  <c r="AI210" i="6"/>
  <c r="S211" i="6"/>
  <c r="AD211" i="6"/>
  <c r="AE211" i="6"/>
  <c r="AF211" i="6"/>
  <c r="AG211" i="6"/>
  <c r="AH211" i="6"/>
  <c r="AI211" i="6"/>
  <c r="S212" i="6"/>
  <c r="AD212" i="6"/>
  <c r="AE212" i="6"/>
  <c r="AF212" i="6"/>
  <c r="AG212" i="6"/>
  <c r="AH212" i="6"/>
  <c r="AI212" i="6"/>
  <c r="S213" i="6"/>
  <c r="AD213" i="6"/>
  <c r="AE213" i="6"/>
  <c r="AF213" i="6"/>
  <c r="AG213" i="6"/>
  <c r="AH213" i="6"/>
  <c r="AI213" i="6"/>
  <c r="S214" i="6"/>
  <c r="AD214" i="6"/>
  <c r="AE214" i="6"/>
  <c r="AF214" i="6"/>
  <c r="AG214" i="6"/>
  <c r="AH214" i="6"/>
  <c r="AI214" i="6"/>
  <c r="S215" i="6"/>
  <c r="AD215" i="6"/>
  <c r="AE215" i="6"/>
  <c r="AF215" i="6"/>
  <c r="AG215" i="6"/>
  <c r="AH215" i="6"/>
  <c r="AI215" i="6"/>
  <c r="S216" i="6"/>
  <c r="AD216" i="6"/>
  <c r="AE216" i="6"/>
  <c r="AF216" i="6"/>
  <c r="AG216" i="6"/>
  <c r="AH216" i="6"/>
  <c r="AI216" i="6"/>
  <c r="S217" i="6"/>
  <c r="AD217" i="6"/>
  <c r="AE217" i="6"/>
  <c r="AF217" i="6"/>
  <c r="AG217" i="6"/>
  <c r="AH217" i="6"/>
  <c r="AI217" i="6"/>
  <c r="S218" i="6"/>
  <c r="AD218" i="6"/>
  <c r="AE218" i="6"/>
  <c r="AF218" i="6"/>
  <c r="AG218" i="6"/>
  <c r="AH218" i="6"/>
  <c r="AI218" i="6"/>
  <c r="S219" i="6"/>
  <c r="AD219" i="6"/>
  <c r="AE219" i="6"/>
  <c r="AF219" i="6"/>
  <c r="AG219" i="6"/>
  <c r="AH219" i="6"/>
  <c r="AI219" i="6"/>
  <c r="S220" i="6"/>
  <c r="AD220" i="6"/>
  <c r="AE220" i="6"/>
  <c r="AF220" i="6"/>
  <c r="AG220" i="6"/>
  <c r="AH220" i="6"/>
  <c r="AI220" i="6"/>
  <c r="S221" i="6"/>
  <c r="AD221" i="6"/>
  <c r="AE221" i="6"/>
  <c r="AF221" i="6"/>
  <c r="AG221" i="6"/>
  <c r="AH221" i="6"/>
  <c r="AI221" i="6"/>
  <c r="S222" i="6"/>
  <c r="AD222" i="6"/>
  <c r="AE222" i="6"/>
  <c r="AF222" i="6"/>
  <c r="AG222" i="6"/>
  <c r="AH222" i="6"/>
  <c r="AI222" i="6"/>
  <c r="S223" i="6"/>
  <c r="AD223" i="6"/>
  <c r="AE223" i="6"/>
  <c r="AF223" i="6"/>
  <c r="AG223" i="6"/>
  <c r="AH223" i="6"/>
  <c r="AI223" i="6"/>
  <c r="S224" i="6"/>
  <c r="AD224" i="6"/>
  <c r="AE224" i="6"/>
  <c r="AF224" i="6"/>
  <c r="AG224" i="6"/>
  <c r="AH224" i="6"/>
  <c r="AI224" i="6"/>
  <c r="S225" i="6"/>
  <c r="AD225" i="6"/>
  <c r="AE225" i="6"/>
  <c r="AF225" i="6"/>
  <c r="AG225" i="6"/>
  <c r="AH225" i="6"/>
  <c r="AI225" i="6"/>
  <c r="S226" i="6"/>
  <c r="AD226" i="6"/>
  <c r="AE226" i="6"/>
  <c r="AF226" i="6"/>
  <c r="AG226" i="6"/>
  <c r="AH226" i="6"/>
  <c r="AI226" i="6"/>
  <c r="S227" i="6"/>
  <c r="AD227" i="6"/>
  <c r="AE227" i="6"/>
  <c r="AF227" i="6"/>
  <c r="AG227" i="6"/>
  <c r="AH227" i="6"/>
  <c r="AI227" i="6"/>
  <c r="S228" i="6"/>
  <c r="AD228" i="6"/>
  <c r="AE228" i="6"/>
  <c r="AF228" i="6"/>
  <c r="AG228" i="6"/>
  <c r="AH228" i="6"/>
  <c r="AI228" i="6"/>
  <c r="S10" i="6"/>
  <c r="AD10" i="6"/>
  <c r="AE10" i="6"/>
  <c r="AF10" i="6"/>
  <c r="AG10" i="6"/>
  <c r="AH10" i="6"/>
  <c r="AI10" i="6"/>
  <c r="S11" i="6"/>
  <c r="AD11" i="6"/>
  <c r="AE11" i="6"/>
  <c r="AF11" i="6"/>
  <c r="AG11" i="6"/>
  <c r="AH11" i="6"/>
  <c r="AI11" i="6"/>
  <c r="S12" i="6"/>
  <c r="AD12" i="6"/>
  <c r="AE12" i="6"/>
  <c r="AF12" i="6"/>
  <c r="AG12" i="6"/>
  <c r="AH12" i="6"/>
  <c r="AI12" i="6"/>
  <c r="S9" i="6"/>
  <c r="AD9" i="6"/>
  <c r="AE9" i="6"/>
  <c r="AF9" i="6"/>
  <c r="AG9" i="6"/>
  <c r="AH9" i="6"/>
  <c r="AI9" i="6"/>
  <c r="T7" i="6"/>
  <c r="T156" i="6" s="1"/>
  <c r="S8" i="6"/>
  <c r="AD8" i="6"/>
  <c r="AE8" i="6"/>
  <c r="AF8" i="6"/>
  <c r="AG8" i="6"/>
  <c r="AH8" i="6"/>
  <c r="AI8" i="6"/>
  <c r="T104" i="6" l="1"/>
  <c r="T222" i="6"/>
  <c r="T74" i="6"/>
  <c r="T60" i="6"/>
  <c r="T148" i="6"/>
  <c r="T96" i="6"/>
  <c r="T223" i="6"/>
  <c r="T143" i="6"/>
  <c r="T120" i="6"/>
  <c r="T213" i="6"/>
  <c r="T209" i="6"/>
  <c r="T205" i="6"/>
  <c r="T197" i="6"/>
  <c r="T193" i="6"/>
  <c r="T189" i="6"/>
  <c r="T185" i="6"/>
  <c r="T181" i="6"/>
  <c r="T177" i="6"/>
  <c r="T173" i="6"/>
  <c r="T136" i="6"/>
  <c r="T217" i="6"/>
  <c r="T201" i="6"/>
  <c r="T228" i="6"/>
  <c r="T227" i="6"/>
  <c r="T226" i="6"/>
  <c r="T225" i="6"/>
  <c r="T224" i="6"/>
  <c r="T155" i="6"/>
  <c r="T132" i="6"/>
  <c r="T127" i="6"/>
  <c r="T118" i="6"/>
  <c r="T218" i="6"/>
  <c r="T214" i="6"/>
  <c r="T210" i="6"/>
  <c r="T206" i="6"/>
  <c r="T202" i="6"/>
  <c r="T198" i="6"/>
  <c r="T194" i="6"/>
  <c r="T190" i="6"/>
  <c r="T186" i="6"/>
  <c r="T182" i="6"/>
  <c r="T178" i="6"/>
  <c r="T174" i="6"/>
  <c r="T170" i="6"/>
  <c r="T164" i="6"/>
  <c r="T161" i="6"/>
  <c r="T112" i="6"/>
  <c r="T144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68" i="6"/>
  <c r="T82" i="6"/>
  <c r="T57" i="6"/>
  <c r="T65" i="6"/>
  <c r="T87" i="6"/>
  <c r="T52" i="6"/>
  <c r="T71" i="6"/>
  <c r="T76" i="6"/>
  <c r="T92" i="6"/>
  <c r="T62" i="6"/>
  <c r="T81" i="6"/>
  <c r="T54" i="6"/>
  <c r="T86" i="6"/>
  <c r="T59" i="6"/>
  <c r="T67" i="6"/>
  <c r="T75" i="6"/>
  <c r="T70" i="6"/>
  <c r="T80" i="6"/>
  <c r="T97" i="6"/>
  <c r="T56" i="6"/>
  <c r="T64" i="6"/>
  <c r="T85" i="6"/>
  <c r="T61" i="6"/>
  <c r="T79" i="6"/>
  <c r="T84" i="6"/>
  <c r="T95" i="6"/>
  <c r="T53" i="6"/>
  <c r="T58" i="6"/>
  <c r="T66" i="6"/>
  <c r="T69" i="6"/>
  <c r="T73" i="6"/>
  <c r="T89" i="6"/>
  <c r="T78" i="6"/>
  <c r="T94" i="6"/>
  <c r="T115" i="6"/>
  <c r="T153" i="6"/>
  <c r="T169" i="6"/>
  <c r="T91" i="6"/>
  <c r="T98" i="6"/>
  <c r="T106" i="6"/>
  <c r="T126" i="6"/>
  <c r="T134" i="6"/>
  <c r="T142" i="6"/>
  <c r="T152" i="6"/>
  <c r="T168" i="6"/>
  <c r="T93" i="6"/>
  <c r="T119" i="6"/>
  <c r="T151" i="6"/>
  <c r="T167" i="6"/>
  <c r="T103" i="6"/>
  <c r="T125" i="6"/>
  <c r="T133" i="6"/>
  <c r="T141" i="6"/>
  <c r="T150" i="6"/>
  <c r="T166" i="6"/>
  <c r="T63" i="6"/>
  <c r="T111" i="6"/>
  <c r="T149" i="6"/>
  <c r="T165" i="6"/>
  <c r="T88" i="6"/>
  <c r="T100" i="6"/>
  <c r="T108" i="6"/>
  <c r="T114" i="6"/>
  <c r="T77" i="6"/>
  <c r="T163" i="6"/>
  <c r="T55" i="6"/>
  <c r="T105" i="6"/>
  <c r="T123" i="6"/>
  <c r="T131" i="6"/>
  <c r="T139" i="6"/>
  <c r="T147" i="6"/>
  <c r="T162" i="6"/>
  <c r="T83" i="6"/>
  <c r="T90" i="6"/>
  <c r="T102" i="6"/>
  <c r="T110" i="6"/>
  <c r="T122" i="6"/>
  <c r="T130" i="6"/>
  <c r="T138" i="6"/>
  <c r="T146" i="6"/>
  <c r="T160" i="6"/>
  <c r="T113" i="6"/>
  <c r="T159" i="6"/>
  <c r="T72" i="6"/>
  <c r="T99" i="6"/>
  <c r="T107" i="6"/>
  <c r="T129" i="6"/>
  <c r="T137" i="6"/>
  <c r="T145" i="6"/>
  <c r="T158" i="6"/>
  <c r="T116" i="6"/>
  <c r="T121" i="6"/>
  <c r="T157" i="6"/>
  <c r="T175" i="6"/>
  <c r="T171" i="6"/>
  <c r="T101" i="6"/>
  <c r="T215" i="6"/>
  <c r="T195" i="6"/>
  <c r="T191" i="6"/>
  <c r="T187" i="6"/>
  <c r="T140" i="6"/>
  <c r="T135" i="6"/>
  <c r="T183" i="6"/>
  <c r="T179" i="6"/>
  <c r="T220" i="6"/>
  <c r="T154" i="6"/>
  <c r="T128" i="6"/>
  <c r="T219" i="6"/>
  <c r="T211" i="6"/>
  <c r="T207" i="6"/>
  <c r="T203" i="6"/>
  <c r="T199" i="6"/>
  <c r="T109" i="6"/>
  <c r="T221" i="6"/>
  <c r="T216" i="6"/>
  <c r="T212" i="6"/>
  <c r="T208" i="6"/>
  <c r="T204" i="6"/>
  <c r="T200" i="6"/>
  <c r="T196" i="6"/>
  <c r="T192" i="6"/>
  <c r="T188" i="6"/>
  <c r="T184" i="6"/>
  <c r="T180" i="6"/>
  <c r="T176" i="6"/>
  <c r="T172" i="6"/>
  <c r="T117" i="6"/>
  <c r="T124" i="6"/>
  <c r="T10" i="6"/>
  <c r="T11" i="6"/>
  <c r="T12" i="6"/>
  <c r="U7" i="6"/>
  <c r="T9" i="6"/>
  <c r="T8" i="6"/>
  <c r="AH6" i="6"/>
  <c r="E3" i="6" s="1"/>
  <c r="S5" i="6"/>
  <c r="AD6" i="6"/>
  <c r="F3" i="6" s="1"/>
  <c r="AI6" i="6"/>
  <c r="E4" i="6" s="1"/>
  <c r="AF6" i="6"/>
  <c r="G3" i="6" s="1"/>
  <c r="AE6" i="6"/>
  <c r="F4" i="6" s="1"/>
  <c r="AG6" i="6"/>
  <c r="G4" i="6" s="1"/>
  <c r="U13" i="6" l="1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7" i="6"/>
  <c r="U93" i="6"/>
  <c r="U82" i="6"/>
  <c r="U87" i="6"/>
  <c r="U76" i="6"/>
  <c r="U92" i="6"/>
  <c r="U81" i="6"/>
  <c r="U75" i="6"/>
  <c r="U91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80" i="6"/>
  <c r="U97" i="6"/>
  <c r="U74" i="6"/>
  <c r="U90" i="6"/>
  <c r="U96" i="6"/>
  <c r="U79" i="6"/>
  <c r="U84" i="6"/>
  <c r="U95" i="6"/>
  <c r="U73" i="6"/>
  <c r="U89" i="6"/>
  <c r="U120" i="6"/>
  <c r="U127" i="6"/>
  <c r="U135" i="6"/>
  <c r="U143" i="6"/>
  <c r="U154" i="6"/>
  <c r="U115" i="6"/>
  <c r="U153" i="6"/>
  <c r="U169" i="6"/>
  <c r="U126" i="6"/>
  <c r="U134" i="6"/>
  <c r="U142" i="6"/>
  <c r="U152" i="6"/>
  <c r="U168" i="6"/>
  <c r="U119" i="6"/>
  <c r="U151" i="6"/>
  <c r="U167" i="6"/>
  <c r="U86" i="6"/>
  <c r="U125" i="6"/>
  <c r="U133" i="6"/>
  <c r="U141" i="6"/>
  <c r="U150" i="6"/>
  <c r="U166" i="6"/>
  <c r="U88" i="6"/>
  <c r="U118" i="6"/>
  <c r="U124" i="6"/>
  <c r="U132" i="6"/>
  <c r="U140" i="6"/>
  <c r="U148" i="6"/>
  <c r="U164" i="6"/>
  <c r="U163" i="6"/>
  <c r="U83" i="6"/>
  <c r="U117" i="6"/>
  <c r="U161" i="6"/>
  <c r="U94" i="6"/>
  <c r="U122" i="6"/>
  <c r="U130" i="6"/>
  <c r="U138" i="6"/>
  <c r="U146" i="6"/>
  <c r="U160" i="6"/>
  <c r="U159" i="6"/>
  <c r="U72" i="6"/>
  <c r="U85" i="6"/>
  <c r="U129" i="6"/>
  <c r="U137" i="6"/>
  <c r="U145" i="6"/>
  <c r="U158" i="6"/>
  <c r="U157" i="6"/>
  <c r="U222" i="6"/>
  <c r="U201" i="6"/>
  <c r="U131" i="6"/>
  <c r="U215" i="6"/>
  <c r="U209" i="6"/>
  <c r="U165" i="6"/>
  <c r="U172" i="6"/>
  <c r="U176" i="6"/>
  <c r="U180" i="6"/>
  <c r="U184" i="6"/>
  <c r="U188" i="6"/>
  <c r="U192" i="6"/>
  <c r="U196" i="6"/>
  <c r="U200" i="6"/>
  <c r="U204" i="6"/>
  <c r="U208" i="6"/>
  <c r="U212" i="6"/>
  <c r="U216" i="6"/>
  <c r="U221" i="6"/>
  <c r="U121" i="6"/>
  <c r="U162" i="6"/>
  <c r="U139" i="6"/>
  <c r="U217" i="6"/>
  <c r="U128" i="6"/>
  <c r="U220" i="6"/>
  <c r="U147" i="6"/>
  <c r="U177" i="6"/>
  <c r="U171" i="6"/>
  <c r="U175" i="6"/>
  <c r="U179" i="6"/>
  <c r="U183" i="6"/>
  <c r="U187" i="6"/>
  <c r="U191" i="6"/>
  <c r="U195" i="6"/>
  <c r="U199" i="6"/>
  <c r="U203" i="6"/>
  <c r="U207" i="6"/>
  <c r="U211" i="6"/>
  <c r="U173" i="6"/>
  <c r="U193" i="6"/>
  <c r="U205" i="6"/>
  <c r="U116" i="6"/>
  <c r="U123" i="6"/>
  <c r="U149" i="6"/>
  <c r="U156" i="6"/>
  <c r="U219" i="6"/>
  <c r="U223" i="6"/>
  <c r="U144" i="6"/>
  <c r="U170" i="6"/>
  <c r="U174" i="6"/>
  <c r="U178" i="6"/>
  <c r="U182" i="6"/>
  <c r="U186" i="6"/>
  <c r="U190" i="6"/>
  <c r="U194" i="6"/>
  <c r="U198" i="6"/>
  <c r="U202" i="6"/>
  <c r="U206" i="6"/>
  <c r="U210" i="6"/>
  <c r="U214" i="6"/>
  <c r="U218" i="6"/>
  <c r="U189" i="6"/>
  <c r="U78" i="6"/>
  <c r="U225" i="6"/>
  <c r="U227" i="6"/>
  <c r="U185" i="6"/>
  <c r="U197" i="6"/>
  <c r="U155" i="6"/>
  <c r="U224" i="6"/>
  <c r="U226" i="6"/>
  <c r="U228" i="6"/>
  <c r="U136" i="6"/>
  <c r="U181" i="6"/>
  <c r="U213" i="6"/>
  <c r="T5" i="6"/>
  <c r="U8" i="6"/>
  <c r="U11" i="6"/>
  <c r="V7" i="6"/>
  <c r="U12" i="6"/>
  <c r="U10" i="6"/>
  <c r="U9" i="6"/>
  <c r="H4" i="6"/>
  <c r="H3" i="6"/>
  <c r="E5" i="6"/>
  <c r="F5" i="6"/>
  <c r="G5" i="6"/>
  <c r="V13" i="6" l="1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55" i="6"/>
  <c r="V127" i="6"/>
  <c r="V135" i="6"/>
  <c r="V143" i="6"/>
  <c r="V154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153" i="6"/>
  <c r="V169" i="6"/>
  <c r="V126" i="6"/>
  <c r="V134" i="6"/>
  <c r="V142" i="6"/>
  <c r="V152" i="6"/>
  <c r="V168" i="6"/>
  <c r="V151" i="6"/>
  <c r="V167" i="6"/>
  <c r="V149" i="6"/>
  <c r="V165" i="6"/>
  <c r="V124" i="6"/>
  <c r="V132" i="6"/>
  <c r="V140" i="6"/>
  <c r="V148" i="6"/>
  <c r="V164" i="6"/>
  <c r="V97" i="6"/>
  <c r="V123" i="6"/>
  <c r="V131" i="6"/>
  <c r="V139" i="6"/>
  <c r="V147" i="6"/>
  <c r="V162" i="6"/>
  <c r="V161" i="6"/>
  <c r="V122" i="6"/>
  <c r="V130" i="6"/>
  <c r="V138" i="6"/>
  <c r="V146" i="6"/>
  <c r="V160" i="6"/>
  <c r="V159" i="6"/>
  <c r="V150" i="6"/>
  <c r="V145" i="6"/>
  <c r="V157" i="6"/>
  <c r="V225" i="6"/>
  <c r="V223" i="6"/>
  <c r="V133" i="6"/>
  <c r="V128" i="6"/>
  <c r="V227" i="6"/>
  <c r="V137" i="6"/>
  <c r="V156" i="6"/>
  <c r="V224" i="6"/>
  <c r="V125" i="6"/>
  <c r="V144" i="6"/>
  <c r="V158" i="6"/>
  <c r="V226" i="6"/>
  <c r="V166" i="6"/>
  <c r="V136" i="6"/>
  <c r="V129" i="6"/>
  <c r="V141" i="6"/>
  <c r="V163" i="6"/>
  <c r="V228" i="6"/>
  <c r="V9" i="6"/>
  <c r="V11" i="6"/>
  <c r="V8" i="6"/>
  <c r="V10" i="6"/>
  <c r="W7" i="6"/>
  <c r="V12" i="6"/>
  <c r="U5" i="6"/>
  <c r="H5" i="6"/>
  <c r="W13" i="6" l="1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7" i="6"/>
  <c r="W96" i="6"/>
  <c r="W95" i="6"/>
  <c r="W101" i="6"/>
  <c r="W109" i="6"/>
  <c r="W112" i="6"/>
  <c r="W128" i="6"/>
  <c r="W136" i="6"/>
  <c r="W144" i="6"/>
  <c r="W156" i="6"/>
  <c r="W120" i="6"/>
  <c r="W155" i="6"/>
  <c r="W98" i="6"/>
  <c r="W106" i="6"/>
  <c r="W115" i="6"/>
  <c r="W127" i="6"/>
  <c r="W135" i="6"/>
  <c r="W143" i="6"/>
  <c r="W154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153" i="6"/>
  <c r="W169" i="6"/>
  <c r="W103" i="6"/>
  <c r="W119" i="6"/>
  <c r="W126" i="6"/>
  <c r="W134" i="6"/>
  <c r="W142" i="6"/>
  <c r="W152" i="6"/>
  <c r="W168" i="6"/>
  <c r="W111" i="6"/>
  <c r="W100" i="6"/>
  <c r="W108" i="6"/>
  <c r="W114" i="6"/>
  <c r="W125" i="6"/>
  <c r="W133" i="6"/>
  <c r="W141" i="6"/>
  <c r="W150" i="6"/>
  <c r="W166" i="6"/>
  <c r="W118" i="6"/>
  <c r="W149" i="6"/>
  <c r="W105" i="6"/>
  <c r="W163" i="6"/>
  <c r="W102" i="6"/>
  <c r="W110" i="6"/>
  <c r="W117" i="6"/>
  <c r="W123" i="6"/>
  <c r="W131" i="6"/>
  <c r="W139" i="6"/>
  <c r="W147" i="6"/>
  <c r="W162" i="6"/>
  <c r="W94" i="6"/>
  <c r="W113" i="6"/>
  <c r="W161" i="6"/>
  <c r="W99" i="6"/>
  <c r="W107" i="6"/>
  <c r="W122" i="6"/>
  <c r="W130" i="6"/>
  <c r="W138" i="6"/>
  <c r="W146" i="6"/>
  <c r="W160" i="6"/>
  <c r="W124" i="6"/>
  <c r="W227" i="6"/>
  <c r="W145" i="6"/>
  <c r="W157" i="6"/>
  <c r="W148" i="6"/>
  <c r="W165" i="6"/>
  <c r="W226" i="6"/>
  <c r="W121" i="6"/>
  <c r="W159" i="6"/>
  <c r="W225" i="6"/>
  <c r="W140" i="6"/>
  <c r="W116" i="6"/>
  <c r="W137" i="6"/>
  <c r="W151" i="6"/>
  <c r="W164" i="6"/>
  <c r="W167" i="6"/>
  <c r="W228" i="6"/>
  <c r="W132" i="6"/>
  <c r="W158" i="6"/>
  <c r="W104" i="6"/>
  <c r="W129" i="6"/>
  <c r="W224" i="6"/>
  <c r="V5" i="6"/>
  <c r="W11" i="6"/>
  <c r="W10" i="6"/>
  <c r="W12" i="6"/>
  <c r="W8" i="6"/>
  <c r="X7" i="6"/>
  <c r="W9" i="6"/>
  <c r="X13" i="6" l="1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57" i="6"/>
  <c r="X156" i="6"/>
  <c r="X155" i="6"/>
  <c r="X154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153" i="6"/>
  <c r="X169" i="6"/>
  <c r="X151" i="6"/>
  <c r="X167" i="6"/>
  <c r="X150" i="6"/>
  <c r="X148" i="6"/>
  <c r="X164" i="6"/>
  <c r="X163" i="6"/>
  <c r="X161" i="6"/>
  <c r="X223" i="6"/>
  <c r="X224" i="6"/>
  <c r="X225" i="6"/>
  <c r="X226" i="6"/>
  <c r="X227" i="6"/>
  <c r="X228" i="6"/>
  <c r="X222" i="6"/>
  <c r="X152" i="6"/>
  <c r="X221" i="6"/>
  <c r="X220" i="6"/>
  <c r="X162" i="6"/>
  <c r="X165" i="6"/>
  <c r="X168" i="6"/>
  <c r="X166" i="6"/>
  <c r="X159" i="6"/>
  <c r="X149" i="6"/>
  <c r="X160" i="6"/>
  <c r="X158" i="6"/>
  <c r="X12" i="6"/>
  <c r="X10" i="6"/>
  <c r="X11" i="6"/>
  <c r="X8" i="6"/>
  <c r="X9" i="6"/>
  <c r="Y7" i="6"/>
  <c r="W5" i="6"/>
  <c r="Y13" i="6" l="1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60" i="6"/>
  <c r="Y72" i="6"/>
  <c r="Y88" i="6"/>
  <c r="Y68" i="6"/>
  <c r="Y77" i="6"/>
  <c r="Y93" i="6"/>
  <c r="Y57" i="6"/>
  <c r="Y65" i="6"/>
  <c r="Y82" i="6"/>
  <c r="Y52" i="6"/>
  <c r="Y71" i="6"/>
  <c r="Y87" i="6"/>
  <c r="Y62" i="6"/>
  <c r="Y76" i="6"/>
  <c r="Y92" i="6"/>
  <c r="Y54" i="6"/>
  <c r="Y81" i="6"/>
  <c r="Y59" i="6"/>
  <c r="Y67" i="6"/>
  <c r="Y86" i="6"/>
  <c r="Y70" i="6"/>
  <c r="Y75" i="6"/>
  <c r="Y91" i="6"/>
  <c r="Y56" i="6"/>
  <c r="Y64" i="6"/>
  <c r="Y85" i="6"/>
  <c r="Y61" i="6"/>
  <c r="Y74" i="6"/>
  <c r="Y90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79" i="6"/>
  <c r="Y96" i="6"/>
  <c r="Y53" i="6"/>
  <c r="Y58" i="6"/>
  <c r="Y66" i="6"/>
  <c r="Y69" i="6"/>
  <c r="Y84" i="6"/>
  <c r="Y80" i="6"/>
  <c r="Y73" i="6"/>
  <c r="Y95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63" i="6"/>
  <c r="Y55" i="6"/>
  <c r="Y83" i="6"/>
  <c r="Y94" i="6"/>
  <c r="Y223" i="6"/>
  <c r="Y224" i="6"/>
  <c r="Y225" i="6"/>
  <c r="Y226" i="6"/>
  <c r="Y227" i="6"/>
  <c r="Y228" i="6"/>
  <c r="Y222" i="6"/>
  <c r="Y218" i="6"/>
  <c r="Y220" i="6"/>
  <c r="Y219" i="6"/>
  <c r="Y221" i="6"/>
  <c r="Y89" i="6"/>
  <c r="Y78" i="6"/>
  <c r="Y12" i="6"/>
  <c r="Y10" i="6"/>
  <c r="Y9" i="6"/>
  <c r="Y11" i="6"/>
  <c r="Y8" i="6"/>
  <c r="Z7" i="6"/>
  <c r="X5" i="6"/>
  <c r="Z13" i="6" l="1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83" i="6"/>
  <c r="Z94" i="6"/>
  <c r="Z72" i="6"/>
  <c r="Z88" i="6"/>
  <c r="Z68" i="6"/>
  <c r="Z77" i="6"/>
  <c r="Z93" i="6"/>
  <c r="Z82" i="6"/>
  <c r="Z71" i="6"/>
  <c r="Z87" i="6"/>
  <c r="Z76" i="6"/>
  <c r="Z81" i="6"/>
  <c r="Z67" i="6"/>
  <c r="Z86" i="6"/>
  <c r="Z80" i="6"/>
  <c r="Z85" i="6"/>
  <c r="Z74" i="6"/>
  <c r="Z90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79" i="6"/>
  <c r="Z96" i="6"/>
  <c r="Z78" i="6"/>
  <c r="Z158" i="6"/>
  <c r="Z112" i="6"/>
  <c r="Z128" i="6"/>
  <c r="Z136" i="6"/>
  <c r="Z144" i="6"/>
  <c r="Z157" i="6"/>
  <c r="Z84" i="6"/>
  <c r="Z91" i="6"/>
  <c r="Z120" i="6"/>
  <c r="Z156" i="6"/>
  <c r="Z69" i="6"/>
  <c r="Z115" i="6"/>
  <c r="Z127" i="6"/>
  <c r="Z135" i="6"/>
  <c r="Z143" i="6"/>
  <c r="Z155" i="6"/>
  <c r="Z154" i="6"/>
  <c r="Z73" i="6"/>
  <c r="Z95" i="6"/>
  <c r="Z111" i="6"/>
  <c r="Z152" i="6"/>
  <c r="Z75" i="6"/>
  <c r="Z114" i="6"/>
  <c r="Z125" i="6"/>
  <c r="Z133" i="6"/>
  <c r="Z141" i="6"/>
  <c r="Z151" i="6"/>
  <c r="Z124" i="6"/>
  <c r="Z132" i="6"/>
  <c r="Z140" i="6"/>
  <c r="Z149" i="6"/>
  <c r="Z92" i="6"/>
  <c r="Z148" i="6"/>
  <c r="Z164" i="6"/>
  <c r="Z110" i="6"/>
  <c r="Z117" i="6"/>
  <c r="Z123" i="6"/>
  <c r="Z131" i="6"/>
  <c r="Z139" i="6"/>
  <c r="Z147" i="6"/>
  <c r="Z70" i="6"/>
  <c r="Z113" i="6"/>
  <c r="Z162" i="6"/>
  <c r="Z166" i="6"/>
  <c r="Z177" i="6"/>
  <c r="Z138" i="6"/>
  <c r="Z150" i="6"/>
  <c r="Z206" i="6"/>
  <c r="Z126" i="6"/>
  <c r="Z223" i="6"/>
  <c r="Z224" i="6"/>
  <c r="Z225" i="6"/>
  <c r="Z226" i="6"/>
  <c r="Z227" i="6"/>
  <c r="Z228" i="6"/>
  <c r="Z212" i="6"/>
  <c r="Z216" i="6"/>
  <c r="Z186" i="6"/>
  <c r="Z163" i="6"/>
  <c r="Z209" i="6"/>
  <c r="Z119" i="6"/>
  <c r="Z145" i="6"/>
  <c r="Z172" i="6"/>
  <c r="Z176" i="6"/>
  <c r="Z180" i="6"/>
  <c r="Z184" i="6"/>
  <c r="Z188" i="6"/>
  <c r="Z192" i="6"/>
  <c r="Z196" i="6"/>
  <c r="Z200" i="6"/>
  <c r="Z204" i="6"/>
  <c r="Z208" i="6"/>
  <c r="Z222" i="6"/>
  <c r="Z221" i="6"/>
  <c r="Z210" i="6"/>
  <c r="Z193" i="6"/>
  <c r="Z178" i="6"/>
  <c r="Z190" i="6"/>
  <c r="Z202" i="6"/>
  <c r="Z129" i="6"/>
  <c r="Z201" i="6"/>
  <c r="Z121" i="6"/>
  <c r="Z165" i="6"/>
  <c r="Z168" i="6"/>
  <c r="Z198" i="6"/>
  <c r="Z142" i="6"/>
  <c r="Z159" i="6"/>
  <c r="Z130" i="6"/>
  <c r="Z171" i="6"/>
  <c r="Z175" i="6"/>
  <c r="Z179" i="6"/>
  <c r="Z183" i="6"/>
  <c r="Z187" i="6"/>
  <c r="Z191" i="6"/>
  <c r="Z195" i="6"/>
  <c r="Z199" i="6"/>
  <c r="Z203" i="6"/>
  <c r="Z207" i="6"/>
  <c r="Z211" i="6"/>
  <c r="Z215" i="6"/>
  <c r="Z220" i="6"/>
  <c r="Z174" i="6"/>
  <c r="Z189" i="6"/>
  <c r="Z146" i="6"/>
  <c r="Z217" i="6"/>
  <c r="Z116" i="6"/>
  <c r="Z137" i="6"/>
  <c r="Z161" i="6"/>
  <c r="Z219" i="6"/>
  <c r="Z167" i="6"/>
  <c r="Z118" i="6"/>
  <c r="Z153" i="6"/>
  <c r="Z170" i="6"/>
  <c r="Z182" i="6"/>
  <c r="Z194" i="6"/>
  <c r="Z214" i="6"/>
  <c r="Z160" i="6"/>
  <c r="Z185" i="6"/>
  <c r="Z197" i="6"/>
  <c r="Z205" i="6"/>
  <c r="Z213" i="6"/>
  <c r="Z134" i="6"/>
  <c r="Z218" i="6"/>
  <c r="Z173" i="6"/>
  <c r="Z181" i="6"/>
  <c r="Z89" i="6"/>
  <c r="Z122" i="6"/>
  <c r="Z169" i="6"/>
  <c r="Z8" i="6"/>
  <c r="Z10" i="6"/>
  <c r="AA7" i="6"/>
  <c r="Z11" i="6"/>
  <c r="Z9" i="6"/>
  <c r="Z12" i="6"/>
  <c r="Y5" i="6"/>
  <c r="AA13" i="6" l="1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8" i="6"/>
  <c r="AA83" i="6"/>
  <c r="AA94" i="6"/>
  <c r="AA72" i="6"/>
  <c r="AA88" i="6"/>
  <c r="AA77" i="6"/>
  <c r="AA93" i="6"/>
  <c r="AA82" i="6"/>
  <c r="AA71" i="6"/>
  <c r="AA76" i="6"/>
  <c r="AA92" i="6"/>
  <c r="AA81" i="6"/>
  <c r="AA70" i="6"/>
  <c r="AA75" i="6"/>
  <c r="AA91" i="6"/>
  <c r="AA80" i="6"/>
  <c r="AA85" i="6"/>
  <c r="AA74" i="6"/>
  <c r="AA90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89" i="6"/>
  <c r="AA121" i="6"/>
  <c r="AA129" i="6"/>
  <c r="AA137" i="6"/>
  <c r="AA145" i="6"/>
  <c r="AA159" i="6"/>
  <c r="AA158" i="6"/>
  <c r="AA128" i="6"/>
  <c r="AA136" i="6"/>
  <c r="AA144" i="6"/>
  <c r="AA157" i="6"/>
  <c r="AA84" i="6"/>
  <c r="AA120" i="6"/>
  <c r="AA156" i="6"/>
  <c r="AA127" i="6"/>
  <c r="AA135" i="6"/>
  <c r="AA143" i="6"/>
  <c r="AA155" i="6"/>
  <c r="AA86" i="6"/>
  <c r="AA73" i="6"/>
  <c r="AA95" i="6"/>
  <c r="AA119" i="6"/>
  <c r="AA126" i="6"/>
  <c r="AA134" i="6"/>
  <c r="AA142" i="6"/>
  <c r="AA153" i="6"/>
  <c r="AA152" i="6"/>
  <c r="AA79" i="6"/>
  <c r="AA118" i="6"/>
  <c r="AA150" i="6"/>
  <c r="AA124" i="6"/>
  <c r="AA132" i="6"/>
  <c r="AA140" i="6"/>
  <c r="AA149" i="6"/>
  <c r="AA165" i="6"/>
  <c r="AA148" i="6"/>
  <c r="AA117" i="6"/>
  <c r="AA123" i="6"/>
  <c r="AA131" i="6"/>
  <c r="AA139" i="6"/>
  <c r="AA147" i="6"/>
  <c r="AA163" i="6"/>
  <c r="AA96" i="6"/>
  <c r="AA160" i="6"/>
  <c r="AA169" i="6"/>
  <c r="AA173" i="6"/>
  <c r="AA177" i="6"/>
  <c r="AA181" i="6"/>
  <c r="AA185" i="6"/>
  <c r="AA189" i="6"/>
  <c r="AA193" i="6"/>
  <c r="AA197" i="6"/>
  <c r="AA201" i="6"/>
  <c r="AA205" i="6"/>
  <c r="AA209" i="6"/>
  <c r="AA213" i="6"/>
  <c r="AA217" i="6"/>
  <c r="AA199" i="6"/>
  <c r="AA166" i="6"/>
  <c r="AA138" i="6"/>
  <c r="AA223" i="6"/>
  <c r="AA225" i="6"/>
  <c r="AA227" i="6"/>
  <c r="AA191" i="6"/>
  <c r="AA203" i="6"/>
  <c r="AA220" i="6"/>
  <c r="AA224" i="6"/>
  <c r="AA226" i="6"/>
  <c r="AA228" i="6"/>
  <c r="AA179" i="6"/>
  <c r="AA133" i="6"/>
  <c r="AA154" i="6"/>
  <c r="AA172" i="6"/>
  <c r="AA176" i="6"/>
  <c r="AA180" i="6"/>
  <c r="AA184" i="6"/>
  <c r="AA188" i="6"/>
  <c r="AA192" i="6"/>
  <c r="AA196" i="6"/>
  <c r="AA200" i="6"/>
  <c r="AA204" i="6"/>
  <c r="AA208" i="6"/>
  <c r="AA212" i="6"/>
  <c r="AA216" i="6"/>
  <c r="AA222" i="6"/>
  <c r="AA221" i="6"/>
  <c r="AA195" i="6"/>
  <c r="AA211" i="6"/>
  <c r="AA167" i="6"/>
  <c r="AA162" i="6"/>
  <c r="AA187" i="6"/>
  <c r="AA168" i="6"/>
  <c r="AA207" i="6"/>
  <c r="AA130" i="6"/>
  <c r="AA171" i="6"/>
  <c r="AA175" i="6"/>
  <c r="AA183" i="6"/>
  <c r="AA215" i="6"/>
  <c r="AA125" i="6"/>
  <c r="AA151" i="6"/>
  <c r="AA161" i="6"/>
  <c r="AA164" i="6"/>
  <c r="AA219" i="6"/>
  <c r="AA146" i="6"/>
  <c r="AA170" i="6"/>
  <c r="AA174" i="6"/>
  <c r="AA178" i="6"/>
  <c r="AA182" i="6"/>
  <c r="AA186" i="6"/>
  <c r="AA190" i="6"/>
  <c r="AA194" i="6"/>
  <c r="AA198" i="6"/>
  <c r="AA202" i="6"/>
  <c r="AA206" i="6"/>
  <c r="AA210" i="6"/>
  <c r="AA214" i="6"/>
  <c r="AA218" i="6"/>
  <c r="AA122" i="6"/>
  <c r="AA87" i="6"/>
  <c r="AA141" i="6"/>
  <c r="Z5" i="6"/>
  <c r="AA9" i="6"/>
  <c r="AA12" i="6"/>
  <c r="AA8" i="6"/>
  <c r="AB7" i="6"/>
  <c r="AA10" i="6"/>
  <c r="AA11" i="6"/>
  <c r="AB13" i="6" l="1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73" i="6"/>
  <c r="AB89" i="6"/>
  <c r="AB95" i="6"/>
  <c r="AB60" i="6"/>
  <c r="AB78" i="6"/>
  <c r="AB83" i="6"/>
  <c r="AB94" i="6"/>
  <c r="AB57" i="6"/>
  <c r="AB65" i="6"/>
  <c r="AB68" i="6"/>
  <c r="AB72" i="6"/>
  <c r="AB88" i="6"/>
  <c r="AB77" i="6"/>
  <c r="AB93" i="6"/>
  <c r="AB62" i="6"/>
  <c r="AB82" i="6"/>
  <c r="AB71" i="6"/>
  <c r="AB87" i="6"/>
  <c r="AB59" i="6"/>
  <c r="AB76" i="6"/>
  <c r="AB92" i="6"/>
  <c r="AB56" i="6"/>
  <c r="AB64" i="6"/>
  <c r="AB86" i="6"/>
  <c r="AB70" i="6"/>
  <c r="AB75" i="6"/>
  <c r="AB91" i="6"/>
  <c r="AB61" i="6"/>
  <c r="AB80" i="6"/>
  <c r="AB85" i="6"/>
  <c r="AB96" i="6"/>
  <c r="AB116" i="6"/>
  <c r="AB160" i="6"/>
  <c r="AB101" i="6"/>
  <c r="AB109" i="6"/>
  <c r="AB121" i="6"/>
  <c r="AB129" i="6"/>
  <c r="AB137" i="6"/>
  <c r="AB145" i="6"/>
  <c r="AB159" i="6"/>
  <c r="AB112" i="6"/>
  <c r="AB158" i="6"/>
  <c r="AB98" i="6"/>
  <c r="AB106" i="6"/>
  <c r="AB128" i="6"/>
  <c r="AB136" i="6"/>
  <c r="AB144" i="6"/>
  <c r="AB157" i="6"/>
  <c r="AB67" i="6"/>
  <c r="AB69" i="6"/>
  <c r="AB84" i="6"/>
  <c r="AB115" i="6"/>
  <c r="AB120" i="6"/>
  <c r="AB156" i="6"/>
  <c r="AB103" i="6"/>
  <c r="AB63" i="6"/>
  <c r="AB154" i="6"/>
  <c r="AB100" i="6"/>
  <c r="AB108" i="6"/>
  <c r="AB111" i="6"/>
  <c r="AB119" i="6"/>
  <c r="AB126" i="6"/>
  <c r="AB134" i="6"/>
  <c r="AB142" i="6"/>
  <c r="AB153" i="6"/>
  <c r="AB55" i="6"/>
  <c r="AB79" i="6"/>
  <c r="AB81" i="6"/>
  <c r="AB90" i="6"/>
  <c r="AB97" i="6"/>
  <c r="AB105" i="6"/>
  <c r="AB125" i="6"/>
  <c r="AB133" i="6"/>
  <c r="AB141" i="6"/>
  <c r="AB151" i="6"/>
  <c r="AB118" i="6"/>
  <c r="AB150" i="6"/>
  <c r="AB166" i="6"/>
  <c r="AB102" i="6"/>
  <c r="AB124" i="6"/>
  <c r="AB132" i="6"/>
  <c r="AB140" i="6"/>
  <c r="AB149" i="6"/>
  <c r="AB66" i="6"/>
  <c r="AB110" i="6"/>
  <c r="AB148" i="6"/>
  <c r="AB164" i="6"/>
  <c r="AB113" i="6"/>
  <c r="AB163" i="6"/>
  <c r="AB169" i="6"/>
  <c r="AB173" i="6"/>
  <c r="AB177" i="6"/>
  <c r="AB181" i="6"/>
  <c r="AB185" i="6"/>
  <c r="AB189" i="6"/>
  <c r="AB193" i="6"/>
  <c r="AB197" i="6"/>
  <c r="AB201" i="6"/>
  <c r="AB205" i="6"/>
  <c r="AB209" i="6"/>
  <c r="AB213" i="6"/>
  <c r="AB217" i="6"/>
  <c r="AB117" i="6"/>
  <c r="AB131" i="6"/>
  <c r="AB184" i="6"/>
  <c r="AB188" i="6"/>
  <c r="AB192" i="6"/>
  <c r="AB196" i="6"/>
  <c r="AB216" i="6"/>
  <c r="AB221" i="6"/>
  <c r="AB155" i="6"/>
  <c r="AB107" i="6"/>
  <c r="AB138" i="6"/>
  <c r="AB152" i="6"/>
  <c r="AB200" i="6"/>
  <c r="AB204" i="6"/>
  <c r="AB219" i="6"/>
  <c r="AB74" i="6"/>
  <c r="AB223" i="6"/>
  <c r="AB224" i="6"/>
  <c r="AB225" i="6"/>
  <c r="AB226" i="6"/>
  <c r="AB227" i="6"/>
  <c r="AB228" i="6"/>
  <c r="AB172" i="6"/>
  <c r="AB176" i="6"/>
  <c r="AB208" i="6"/>
  <c r="AB212" i="6"/>
  <c r="AB222" i="6"/>
  <c r="AB127" i="6"/>
  <c r="AB135" i="6"/>
  <c r="AB180" i="6"/>
  <c r="AB99" i="6"/>
  <c r="AB147" i="6"/>
  <c r="AB162" i="6"/>
  <c r="AB165" i="6"/>
  <c r="AB218" i="6"/>
  <c r="AB168" i="6"/>
  <c r="AB114" i="6"/>
  <c r="AB123" i="6"/>
  <c r="AB130" i="6"/>
  <c r="AB171" i="6"/>
  <c r="AB175" i="6"/>
  <c r="AB179" i="6"/>
  <c r="AB183" i="6"/>
  <c r="AB187" i="6"/>
  <c r="AB191" i="6"/>
  <c r="AB195" i="6"/>
  <c r="AB199" i="6"/>
  <c r="AB203" i="6"/>
  <c r="AB207" i="6"/>
  <c r="AB211" i="6"/>
  <c r="AB215" i="6"/>
  <c r="AB220" i="6"/>
  <c r="AB122" i="6"/>
  <c r="AB143" i="6"/>
  <c r="AB161" i="6"/>
  <c r="AB58" i="6"/>
  <c r="AB139" i="6"/>
  <c r="AB167" i="6"/>
  <c r="AB214" i="6"/>
  <c r="AB104" i="6"/>
  <c r="AB146" i="6"/>
  <c r="AB170" i="6"/>
  <c r="AB174" i="6"/>
  <c r="AB178" i="6"/>
  <c r="AB182" i="6"/>
  <c r="AB186" i="6"/>
  <c r="AB190" i="6"/>
  <c r="AB194" i="6"/>
  <c r="AB198" i="6"/>
  <c r="AB202" i="6"/>
  <c r="AB206" i="6"/>
  <c r="AB210" i="6"/>
  <c r="AA5" i="6"/>
  <c r="AB9" i="6"/>
  <c r="AB11" i="6"/>
  <c r="AB10" i="6"/>
  <c r="AB8" i="6"/>
  <c r="AB12" i="6"/>
  <c r="AB5" i="6" l="1"/>
</calcChain>
</file>

<file path=xl/sharedStrings.xml><?xml version="1.0" encoding="utf-8"?>
<sst xmlns="http://schemas.openxmlformats.org/spreadsheetml/2006/main" count="2121" uniqueCount="963">
  <si>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</si>
  <si>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</si>
  <si>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</si>
  <si>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</si>
  <si>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</si>
  <si>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</si>
  <si>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</si>
  <si>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</si>
  <si>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</si>
  <si>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</si>
  <si>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</si>
  <si>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</si>
  <si>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</si>
  <si>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</si>
  <si>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</si>
  <si>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</si>
  <si>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</si>
  <si>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indirizzo plurimo</t>
  </si>
  <si>
    <t>riservato per</t>
  </si>
  <si>
    <t>Rimborso</t>
  </si>
  <si>
    <t>Zona</t>
  </si>
  <si>
    <t>da finire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</si>
  <si>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</si>
  <si>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</si>
  <si>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</si>
  <si>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</si>
  <si>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</si>
  <si>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</si>
  <si>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</si>
  <si>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enoteca con cucina</t>
  </si>
  <si>
    <t>bistrot</t>
  </si>
  <si>
    <t>gelateria</t>
  </si>
  <si>
    <t>pizzeria</t>
  </si>
  <si>
    <t>n.d.</t>
  </si>
  <si>
    <t>cocktail bar</t>
  </si>
  <si>
    <t>pasticceria / caffetteria</t>
  </si>
  <si>
    <t>enoteca</t>
  </si>
  <si>
    <t>bar / pasticceria</t>
  </si>
  <si>
    <t>Centro</t>
  </si>
  <si>
    <t>Crocetta</t>
  </si>
  <si>
    <t/>
  </si>
  <si>
    <t>Berberè</t>
  </si>
  <si>
    <t>Cod_Percorso</t>
  </si>
  <si>
    <t>non recensibile</t>
  </si>
  <si>
    <t>pasticceria</t>
  </si>
  <si>
    <t>Città</t>
  </si>
  <si>
    <t>Trippa</t>
  </si>
  <si>
    <t>Pavè</t>
  </si>
  <si>
    <t>La Teiera Eclettica</t>
  </si>
  <si>
    <t>Un posto a Milano</t>
  </si>
  <si>
    <t>I Dolci Namura</t>
  </si>
  <si>
    <t>Joia</t>
  </si>
  <si>
    <t>Lacerba</t>
  </si>
  <si>
    <t>Iyo</t>
  </si>
  <si>
    <t>La Ravioleria Sarpi</t>
  </si>
  <si>
    <t>Orsonero Coffee</t>
  </si>
  <si>
    <t>Trattoria del Nuovo Macello</t>
  </si>
  <si>
    <t>Osteria del Biliardo</t>
  </si>
  <si>
    <t>Rita</t>
  </si>
  <si>
    <t>Trapizzino</t>
  </si>
  <si>
    <t>Manna</t>
  </si>
  <si>
    <t>Le Nove Scodelle</t>
  </si>
  <si>
    <t>Cantine Isola</t>
  </si>
  <si>
    <t>Gelateria Paganelli</t>
  </si>
  <si>
    <t>Morelli</t>
  </si>
  <si>
    <t>Ceresio 7</t>
  </si>
  <si>
    <t>28 Posti</t>
  </si>
  <si>
    <t>Tipografia Alimentare</t>
  </si>
  <si>
    <t>Macelleria Popolare</t>
  </si>
  <si>
    <t>Contraste</t>
  </si>
  <si>
    <t>Casa Ramen Super</t>
  </si>
  <si>
    <t>Dry</t>
  </si>
  <si>
    <t>Gelato Giusto</t>
  </si>
  <si>
    <t>Gusto 17</t>
  </si>
  <si>
    <t>La Gelateria della Musica</t>
  </si>
  <si>
    <t>Erba Brusca</t>
  </si>
  <si>
    <t>Ratanà</t>
  </si>
  <si>
    <t>Il Liberty</t>
  </si>
  <si>
    <t>Trattoria Mirta</t>
  </si>
  <si>
    <t>Tra le righe Gelato &amp; Friends</t>
  </si>
  <si>
    <t>Zazà Ramen</t>
  </si>
  <si>
    <t>Cru</t>
  </si>
  <si>
    <t>forno / pasticceria / bistrot</t>
  </si>
  <si>
    <t>negozio con sala da tè</t>
  </si>
  <si>
    <t>ravioleria cinese</t>
  </si>
  <si>
    <t>vineria / ristorante</t>
  </si>
  <si>
    <t>panineria</t>
  </si>
  <si>
    <t>street food romanesco</t>
  </si>
  <si>
    <t>ristorante / american bar</t>
  </si>
  <si>
    <t>caffetteria / enoteca</t>
  </si>
  <si>
    <t>macelleria con cucina</t>
  </si>
  <si>
    <t>Colonne di San Lorenzo</t>
  </si>
  <si>
    <t>Brera</t>
  </si>
  <si>
    <t>Porta Romana</t>
  </si>
  <si>
    <t>Montenapoleone</t>
  </si>
  <si>
    <t>Casoretto</t>
  </si>
  <si>
    <t>Porta Venezia</t>
  </si>
  <si>
    <t>Bocconi</t>
  </si>
  <si>
    <t>Via Felice Casati, 27</t>
  </si>
  <si>
    <t>Buenos Aires</t>
  </si>
  <si>
    <t>Via Melzo, 30</t>
  </si>
  <si>
    <t>Via Cuccagna, 2</t>
  </si>
  <si>
    <t>Sempione</t>
  </si>
  <si>
    <t>Navigli</t>
  </si>
  <si>
    <t>Via Panfilo Castaldi, 18</t>
  </si>
  <si>
    <t>Via Orti, 4</t>
  </si>
  <si>
    <t>Via Piero della Francesca, 74</t>
  </si>
  <si>
    <t>Cenisio</t>
  </si>
  <si>
    <t>Via Paolo Sarpi, 27</t>
  </si>
  <si>
    <t>Porta Vittoria</t>
  </si>
  <si>
    <t>Via Giuseppe Broggi, 15</t>
  </si>
  <si>
    <t>Via Cesare Lombroso, 20</t>
  </si>
  <si>
    <t>Piazzale Martini</t>
  </si>
  <si>
    <t>Via Enrico Cialdini, 107</t>
  </si>
  <si>
    <t>Affori</t>
  </si>
  <si>
    <t>Via Montecuccoli, 6</t>
  </si>
  <si>
    <t>Primaticcio</t>
  </si>
  <si>
    <t>Duomo</t>
  </si>
  <si>
    <t>Via Pier Candido Decembrio, 33</t>
  </si>
  <si>
    <t>Corso Lodi</t>
  </si>
  <si>
    <t>Tortona</t>
  </si>
  <si>
    <t>Via Corsico, 1</t>
  </si>
  <si>
    <t>Porta Genova</t>
  </si>
  <si>
    <t>Via Marghera, 12</t>
  </si>
  <si>
    <t>Wagner</t>
  </si>
  <si>
    <t>Stazione Centrale</t>
  </si>
  <si>
    <t>Maggiolina</t>
  </si>
  <si>
    <t>Garibaldi</t>
  </si>
  <si>
    <t>Piazzale Governo Provvisorio, 6</t>
  </si>
  <si>
    <t>Turro</t>
  </si>
  <si>
    <t>Isola</t>
  </si>
  <si>
    <t>Viale Monza, 4</t>
  </si>
  <si>
    <t>Loreto</t>
  </si>
  <si>
    <t>Porta Ticinese</t>
  </si>
  <si>
    <t>Via Paolo Sarpi, 30</t>
  </si>
  <si>
    <t>Via Solferino, 48</t>
  </si>
  <si>
    <t>Corso Italia, 6</t>
  </si>
  <si>
    <t>Missori</t>
  </si>
  <si>
    <t>Via Adda, 3</t>
  </si>
  <si>
    <t>Via Aristotile Fioravanti, 4</t>
  </si>
  <si>
    <t>Monumentale</t>
  </si>
  <si>
    <t>Via Ceresio, 7</t>
  </si>
  <si>
    <t>Via Sebenico, 21</t>
  </si>
  <si>
    <t>Via Vigevano, 8</t>
  </si>
  <si>
    <t>Via Dolomiti, 1</t>
  </si>
  <si>
    <t>Moscova</t>
  </si>
  <si>
    <t>Piazza XXIV Maggio - Mercato Coperto</t>
  </si>
  <si>
    <t>Via Giuseppe Meda, 2</t>
  </si>
  <si>
    <t>Bastioni di Porta Nuova</t>
  </si>
  <si>
    <t>Via Ugo Bassi, 26</t>
  </si>
  <si>
    <t>Via Solferino, 33</t>
  </si>
  <si>
    <t>Via San Gregorio, 17</t>
  </si>
  <si>
    <t>Via Savona, 17</t>
  </si>
  <si>
    <t>Via Cesare Battisti, 21</t>
  </si>
  <si>
    <t>Repubblica</t>
  </si>
  <si>
    <t>Via Vigevano, 27</t>
  </si>
  <si>
    <t>Alzaia Naviglio Pavese, 286</t>
  </si>
  <si>
    <t>Chiesa Rossa</t>
  </si>
  <si>
    <t>Via Bernardino Corio, 8</t>
  </si>
  <si>
    <t>Via Gaetano de Castillia, 28</t>
  </si>
  <si>
    <t>Sant'Ambrogio</t>
  </si>
  <si>
    <t>Piazza San Materno, 12</t>
  </si>
  <si>
    <t>Via Teodosio, 44</t>
  </si>
  <si>
    <t>Lambrate</t>
  </si>
  <si>
    <t>Via Ugo Bassi, 24</t>
  </si>
  <si>
    <t>Milano</t>
  </si>
  <si>
    <t>327/6687908</t>
  </si>
  <si>
    <t>02/83630074</t>
  </si>
  <si>
    <t>02/29419101</t>
  </si>
  <si>
    <t>02/5457785</t>
  </si>
  <si>
    <t>02/34534176</t>
  </si>
  <si>
    <t>02/29522124</t>
  </si>
  <si>
    <t>02/45476898</t>
  </si>
  <si>
    <t>331/8870596</t>
  </si>
  <si>
    <t>366/5477441</t>
  </si>
  <si>
    <t>02/59902122</t>
  </si>
  <si>
    <t>02/36756256</t>
  </si>
  <si>
    <t>02/416886</t>
  </si>
  <si>
    <t>02/45487032</t>
  </si>
  <si>
    <t>02/8372865</t>
  </si>
  <si>
    <t>02/4693265</t>
  </si>
  <si>
    <t>02/26809153</t>
  </si>
  <si>
    <t>331/8001116</t>
  </si>
  <si>
    <t>02/3315249</t>
  </si>
  <si>
    <t>02/89093781</t>
  </si>
  <si>
    <t>02/80010918</t>
  </si>
  <si>
    <t>02/31039221</t>
  </si>
  <si>
    <t>02/8392377</t>
  </si>
  <si>
    <t>02/36707820</t>
  </si>
  <si>
    <t>02/36758428</t>
  </si>
  <si>
    <t>02/83537868</t>
  </si>
  <si>
    <t>02/39468368</t>
  </si>
  <si>
    <t>02/49536597</t>
  </si>
  <si>
    <t>02/83529210</t>
  </si>
  <si>
    <t>02/63793414</t>
  </si>
  <si>
    <t>02/29510284</t>
  </si>
  <si>
    <t>02/39811835</t>
  </si>
  <si>
    <t>02/94383619</t>
  </si>
  <si>
    <t>02/39811258</t>
  </si>
  <si>
    <t>02/55190020</t>
  </si>
  <si>
    <t>02/87128855</t>
  </si>
  <si>
    <t>02/29011439</t>
  </si>
  <si>
    <t>02/91762549</t>
  </si>
  <si>
    <t>02/36799000</t>
  </si>
  <si>
    <t>342/3040081</t>
  </si>
  <si>
    <t>formula aperitivo</t>
  </si>
  <si>
    <t>menù degustazione</t>
  </si>
  <si>
    <t>Via Mercalli ang. Via S.F. d'Assisi</t>
  </si>
  <si>
    <t>02/62065383</t>
  </si>
  <si>
    <t>Corso Lodi, 15</t>
  </si>
  <si>
    <t>02/36536410</t>
  </si>
  <si>
    <t>bakery / caffetteria</t>
  </si>
  <si>
    <t>02/32960708</t>
  </si>
  <si>
    <t>Via Salasco, 21</t>
  </si>
  <si>
    <t>Vinodromo</t>
  </si>
  <si>
    <t>Wineria</t>
  </si>
  <si>
    <t>wine bar</t>
  </si>
  <si>
    <t>Piazza Carlo Caneva, 4</t>
  </si>
  <si>
    <t>02/39464196</t>
  </si>
  <si>
    <t>Nebbia</t>
  </si>
  <si>
    <t>Via Evangelista Torricelli, 15</t>
  </si>
  <si>
    <t>02/82781557</t>
  </si>
  <si>
    <t>338/3582658</t>
  </si>
  <si>
    <t>Via Melzo, 22</t>
  </si>
  <si>
    <t>02/49787361</t>
  </si>
  <si>
    <t>L'ile Douce</t>
  </si>
  <si>
    <t>02/49780658</t>
  </si>
  <si>
    <t>Bussarakham</t>
  </si>
  <si>
    <t>Via Valenza, 13</t>
  </si>
  <si>
    <t>02/89422415</t>
  </si>
  <si>
    <t>Da Zero</t>
  </si>
  <si>
    <t>02/83529189</t>
  </si>
  <si>
    <t>Via Federico Faruffini, 2</t>
  </si>
  <si>
    <t>Porcobrado</t>
  </si>
  <si>
    <t>vineria con cucina</t>
  </si>
  <si>
    <t>Viale Premuda, 44</t>
  </si>
  <si>
    <t>02/23189915</t>
  </si>
  <si>
    <t>Crosta</t>
  </si>
  <si>
    <t>forno / pizzeria</t>
  </si>
  <si>
    <t>Via Bellotti, 13</t>
  </si>
  <si>
    <t>02/38248570</t>
  </si>
  <si>
    <t>Gong - Oriental Attitude</t>
  </si>
  <si>
    <t>Corso Concordia, 8</t>
  </si>
  <si>
    <t>Piazza Risorgimento</t>
  </si>
  <si>
    <t>02/76023873</t>
  </si>
  <si>
    <t>Via Alfredo Cappellini, 18</t>
  </si>
  <si>
    <t>02/38316849</t>
  </si>
  <si>
    <t>Marlà</t>
  </si>
  <si>
    <t>Ziva</t>
  </si>
  <si>
    <t>Mu dimsum</t>
  </si>
  <si>
    <t>bu:r</t>
  </si>
  <si>
    <t>Mao Hunan</t>
  </si>
  <si>
    <t>CIZ - cantina e cucina</t>
  </si>
  <si>
    <t>Via Lodovico Castelvetro, 16</t>
  </si>
  <si>
    <t>Via Jacopo dal Verme, 17</t>
  </si>
  <si>
    <t>Via Aminto Caretto, 3</t>
  </si>
  <si>
    <t>Viale Monte Grappa, 6</t>
  </si>
  <si>
    <t>Via Bernardino Luini, 9</t>
  </si>
  <si>
    <t>giapponese</t>
  </si>
  <si>
    <t>tradizionale</t>
  </si>
  <si>
    <t>ricercata</t>
  </si>
  <si>
    <t>cinese</t>
  </si>
  <si>
    <t>creativa</t>
  </si>
  <si>
    <t>tradizionale con spunti creativi</t>
  </si>
  <si>
    <t>ligure</t>
  </si>
  <si>
    <t>02/99266436</t>
  </si>
  <si>
    <t>primo, secondo e dolce (o antipasto)</t>
  </si>
  <si>
    <t>2 tipi di ramen</t>
  </si>
  <si>
    <t>1 focaccia, 1 pizza, 1 cocktail</t>
  </si>
  <si>
    <t>1 caffè, 1 cappuccino, 1 lievito</t>
  </si>
  <si>
    <t>tè + fetta di torta o dolce monoporzione</t>
  </si>
  <si>
    <t>2 panini diversi o un panino e un tagliere</t>
  </si>
  <si>
    <t>2 cocktail diversi</t>
  </si>
  <si>
    <t>1 cono o 1 coppetta con tre gusti+panna</t>
  </si>
  <si>
    <t>2 panini diversi o due preparazioni diverse</t>
  </si>
  <si>
    <t>2 trapizzini diversi + 1 supplì</t>
  </si>
  <si>
    <t>02/87318897</t>
  </si>
  <si>
    <t>Ristorante Berton</t>
  </si>
  <si>
    <t>Via Mike Bongiorno, 13</t>
  </si>
  <si>
    <t>02/67075801</t>
  </si>
  <si>
    <t>Mater Bistrot</t>
  </si>
  <si>
    <t>Via Pasquale Sottocorno, 1</t>
  </si>
  <si>
    <t>02/91321602</t>
  </si>
  <si>
    <t>Via Gerolamo Turroni, 2</t>
  </si>
  <si>
    <t>Piazzale Susa</t>
  </si>
  <si>
    <t>351/8578998</t>
  </si>
  <si>
    <t>Kanpai</t>
  </si>
  <si>
    <t>Via Melzo, 12</t>
  </si>
  <si>
    <t>Enoteca Naturale</t>
  </si>
  <si>
    <t>02/82770589</t>
  </si>
  <si>
    <t>Trattoria Sabbioneda</t>
  </si>
  <si>
    <t>Via Alessandro Tadino, 32</t>
  </si>
  <si>
    <t>02/29521014</t>
  </si>
  <si>
    <t>Via Privata Nino Bonnet, 11</t>
  </si>
  <si>
    <t>Via Popoli Uniti, 26</t>
  </si>
  <si>
    <t>02/28381700</t>
  </si>
  <si>
    <t>milanese</t>
  </si>
  <si>
    <t>02/4818134</t>
  </si>
  <si>
    <t>2 pizze diverse + 1 antipasto</t>
  </si>
  <si>
    <t>Bentoteca</t>
  </si>
  <si>
    <t>Via San Calocero, 3</t>
  </si>
  <si>
    <t>340/8357453</t>
  </si>
  <si>
    <t>Antica Osteria Magenes</t>
  </si>
  <si>
    <t>Gaggiano</t>
  </si>
  <si>
    <t>02/9085125</t>
  </si>
  <si>
    <t>GnomoGelato</t>
  </si>
  <si>
    <t>Seta</t>
  </si>
  <si>
    <t>O|Nest</t>
  </si>
  <si>
    <t>Piazza XXIV Maggio</t>
  </si>
  <si>
    <t>Carrobbio</t>
  </si>
  <si>
    <t>Via Luigi Cagnola, 10</t>
  </si>
  <si>
    <t>Via Lodovico il Moro, 3</t>
  </si>
  <si>
    <t>Via Cavour, 7 - fraz. Barate</t>
  </si>
  <si>
    <t>Ticinese</t>
  </si>
  <si>
    <t>Via Monte di Pietà, 18</t>
  </si>
  <si>
    <t>Viale Vittorio Veneto, 28</t>
  </si>
  <si>
    <t>02/49709618</t>
  </si>
  <si>
    <t>02/63471564</t>
  </si>
  <si>
    <t>4</t>
  </si>
  <si>
    <t>3,5</t>
  </si>
  <si>
    <t>4,5</t>
  </si>
  <si>
    <t>5</t>
  </si>
  <si>
    <t>8+</t>
  </si>
  <si>
    <t>9-</t>
  </si>
  <si>
    <t>9</t>
  </si>
  <si>
    <t>8</t>
  </si>
  <si>
    <t>8-</t>
  </si>
  <si>
    <t>9+</t>
  </si>
  <si>
    <t>8½</t>
  </si>
  <si>
    <t>7</t>
  </si>
  <si>
    <t>7½</t>
  </si>
  <si>
    <t>7-</t>
  </si>
  <si>
    <t>7+</t>
  </si>
  <si>
    <t>15</t>
  </si>
  <si>
    <t>35</t>
  </si>
  <si>
    <t>25</t>
  </si>
  <si>
    <t>10</t>
  </si>
  <si>
    <t>1 raviolo, 1 crepe, 1 panino al vapore</t>
  </si>
  <si>
    <t>18</t>
  </si>
  <si>
    <t>20</t>
  </si>
  <si>
    <t>2 pizze diverse + 1 dolce</t>
  </si>
  <si>
    <t>40</t>
  </si>
  <si>
    <t>48</t>
  </si>
  <si>
    <t>30</t>
  </si>
  <si>
    <t>antipasto, primo e dolce o primo, secondo e dolce</t>
  </si>
  <si>
    <t>45</t>
  </si>
  <si>
    <t>50</t>
  </si>
  <si>
    <t>Motelombroso</t>
  </si>
  <si>
    <t>Corso Lodi, 1</t>
  </si>
  <si>
    <t>02/49716304</t>
  </si>
  <si>
    <t>02/91570928</t>
  </si>
  <si>
    <t>Ripa di Porta Ticinese, 2</t>
  </si>
  <si>
    <t>Loste Cafè</t>
  </si>
  <si>
    <t>Via Francesco Guicciardini, 3</t>
  </si>
  <si>
    <t>Eastern Leaves</t>
  </si>
  <si>
    <t>Via Macedonio Melloni, 32</t>
  </si>
  <si>
    <t>02/36706513</t>
  </si>
  <si>
    <t>389/1078092</t>
  </si>
  <si>
    <t>Osteria della Stazione</t>
  </si>
  <si>
    <t>Il Gusto della Nebbia</t>
  </si>
  <si>
    <t>Wicky’s Innovative Japanese Cuisine</t>
  </si>
  <si>
    <t>Nowhere - Coffee &amp; Community</t>
  </si>
  <si>
    <t>Pavè Gelati&amp;Granite</t>
  </si>
  <si>
    <t>friulana</t>
  </si>
  <si>
    <t>Alzaia Naviglio Pavese, 256</t>
  </si>
  <si>
    <t>Via Carlo Botta, 4</t>
  </si>
  <si>
    <t>Corso di Porta Ticinese, 1</t>
  </si>
  <si>
    <t>Piazza Sempione, 6</t>
  </si>
  <si>
    <t>Via Santa Croce, 19/A</t>
  </si>
  <si>
    <t>Via Cadore, 30</t>
  </si>
  <si>
    <t>Porta Monforte</t>
  </si>
  <si>
    <t>333/1855267</t>
  </si>
  <si>
    <t>338/6251114</t>
  </si>
  <si>
    <t>02/50030751</t>
  </si>
  <si>
    <t>02/49784877</t>
  </si>
  <si>
    <t>02/42441183</t>
  </si>
  <si>
    <t>02/37905496</t>
  </si>
  <si>
    <t>9½</t>
  </si>
  <si>
    <t>novità</t>
  </si>
  <si>
    <t>Ristorante D'O</t>
  </si>
  <si>
    <t>Piazza della Chiesa, 14</t>
  </si>
  <si>
    <t>Fraz. San Pietro all'olmo</t>
  </si>
  <si>
    <t>Cornaredo</t>
  </si>
  <si>
    <t>02/9362209</t>
  </si>
  <si>
    <t>La Cucina dei Frigoriferi Milanesi</t>
  </si>
  <si>
    <t>Via Giovanni Battista Piranesi, 10</t>
  </si>
  <si>
    <t>02/39666784</t>
  </si>
  <si>
    <t>Al Garghet</t>
  </si>
  <si>
    <t>Via Selvanesco, 36</t>
  </si>
  <si>
    <t>02/534698</t>
  </si>
  <si>
    <t>Mido</t>
  </si>
  <si>
    <t>araba</t>
  </si>
  <si>
    <t>Tre Chicchere</t>
  </si>
  <si>
    <t>02/69007248</t>
  </si>
  <si>
    <t>02/39562875</t>
  </si>
  <si>
    <t>Il Massimo del Gelato</t>
  </si>
  <si>
    <t>02/3494943</t>
  </si>
  <si>
    <t>Via Salvatore Pianell, 45</t>
  </si>
  <si>
    <t>Rigoletto</t>
  </si>
  <si>
    <t>Via San Siro, 2</t>
  </si>
  <si>
    <t>02/4981820</t>
  </si>
  <si>
    <t>Via Cola di Rienzo, 2</t>
  </si>
  <si>
    <t>Piazza Po, 10</t>
  </si>
  <si>
    <t>Washington</t>
  </si>
  <si>
    <t>Osteria alla Concorrenza</t>
  </si>
  <si>
    <t>Conciliazione</t>
  </si>
  <si>
    <t>Insieme</t>
  </si>
  <si>
    <t>Via Giovanni Rasori, 12</t>
  </si>
  <si>
    <t>391/7182416</t>
  </si>
  <si>
    <t>02/49713413</t>
  </si>
  <si>
    <t>Alberto Marchetti</t>
  </si>
  <si>
    <t>Viale Monte Nero, 73</t>
  </si>
  <si>
    <t>02/5463245</t>
  </si>
  <si>
    <t>Locanda del Menarost</t>
  </si>
  <si>
    <t>02/73951036</t>
  </si>
  <si>
    <t>Remulass</t>
  </si>
  <si>
    <t>Via Nino Bixio, 21</t>
  </si>
  <si>
    <t>02/52517356</t>
  </si>
  <si>
    <t>328/6641670</t>
  </si>
  <si>
    <t>02/49775083</t>
  </si>
  <si>
    <t>antipasto, primo, secondo e dolce</t>
  </si>
  <si>
    <t>Barba</t>
  </si>
  <si>
    <t>02/36515846</t>
  </si>
  <si>
    <t>cocktail bar con cucina</t>
  </si>
  <si>
    <t>Via Caminadella, 21</t>
  </si>
  <si>
    <t>02/35999463</t>
  </si>
  <si>
    <t>Vineria Eretica</t>
  </si>
  <si>
    <t>Via Rosolino Pilo, 14</t>
  </si>
  <si>
    <t>02/45942171</t>
  </si>
  <si>
    <t>Gelateria Prossima Fermata</t>
  </si>
  <si>
    <t>Via Melchiorre Gioia, 131</t>
  </si>
  <si>
    <t>Via Vitruvio, 38</t>
  </si>
  <si>
    <t>Ciacco</t>
  </si>
  <si>
    <t>Via Spadari, 13</t>
  </si>
  <si>
    <t>Via Alfredo Cappellini, 25</t>
  </si>
  <si>
    <t>Moebius</t>
  </si>
  <si>
    <t>02/36643680</t>
  </si>
  <si>
    <t>Lile in cucina</t>
  </si>
  <si>
    <t>Antica Trattoria Monluè</t>
  </si>
  <si>
    <t>Via Monluè, 75</t>
  </si>
  <si>
    <t>Linate</t>
  </si>
  <si>
    <t>02/7610246</t>
  </si>
  <si>
    <t>Stadera - gastronomia contemporanea</t>
  </si>
  <si>
    <t>gastronomia con cucina</t>
  </si>
  <si>
    <t>340/6056240</t>
  </si>
  <si>
    <t>Largo della Crocetta, 1</t>
  </si>
  <si>
    <t>Denis - pizza di montagna</t>
  </si>
  <si>
    <t>Via Statuto, 16</t>
  </si>
  <si>
    <t>375/7988835</t>
  </si>
  <si>
    <t>La Medina</t>
  </si>
  <si>
    <t>sala da tè marocchina</t>
  </si>
  <si>
    <t>Via Tolentino, 1</t>
  </si>
  <si>
    <t>388/7940829</t>
  </si>
  <si>
    <t>Andrea Aprea</t>
  </si>
  <si>
    <t>02/38273030</t>
  </si>
  <si>
    <t>Signor Lievito</t>
  </si>
  <si>
    <t>panificio / caffetteria</t>
  </si>
  <si>
    <t>Via Maestri Campionesi, 26</t>
  </si>
  <si>
    <t>Viale Umbria</t>
  </si>
  <si>
    <t>02/91678209</t>
  </si>
  <si>
    <t>Altatto</t>
  </si>
  <si>
    <t>Fòla</t>
  </si>
  <si>
    <t>Gelateria LatteNeve</t>
  </si>
  <si>
    <t>Mag cafè</t>
  </si>
  <si>
    <t>Orto Gelato</t>
  </si>
  <si>
    <t>Terra Gelato</t>
  </si>
  <si>
    <t>Zibo - campo base</t>
  </si>
  <si>
    <t>vegetariana</t>
  </si>
  <si>
    <t>pasticceria / gastronomia</t>
  </si>
  <si>
    <t>tradizionale rivisitata</t>
  </si>
  <si>
    <t>caffetteria specialty</t>
  </si>
  <si>
    <t>Piazza Cinque Giornate</t>
  </si>
  <si>
    <t>Corso Venezia, 52 c/o Fondazione Luigi Rovati</t>
  </si>
  <si>
    <t>Via dell'Orso, 4</t>
  </si>
  <si>
    <t>Via Luigi Varanini, 12</t>
  </si>
  <si>
    <t>Pasteur</t>
  </si>
  <si>
    <t>Via Lodovico Castelvetro, 18</t>
  </si>
  <si>
    <t>Gerusalemme</t>
  </si>
  <si>
    <t>Via Vigevano, 9</t>
  </si>
  <si>
    <t>Via Pietro Custodi, 4</t>
  </si>
  <si>
    <t>Ca' Granda</t>
  </si>
  <si>
    <t>Via Savona</t>
  </si>
  <si>
    <t>Via Angelo Fumagalli, 1</t>
  </si>
  <si>
    <t>Via Gian Antonio Boltraffio, 12</t>
  </si>
  <si>
    <t>02/39663592</t>
  </si>
  <si>
    <t>02/83419934</t>
  </si>
  <si>
    <t>02/91763465</t>
  </si>
  <si>
    <t>351/9866676</t>
  </si>
  <si>
    <t>02/45375475</t>
  </si>
  <si>
    <t>02/8375249</t>
  </si>
  <si>
    <t>02/09954588</t>
  </si>
  <si>
    <t>02/91672012</t>
  </si>
  <si>
    <t>02/37905491</t>
  </si>
  <si>
    <t>02/38239075</t>
  </si>
  <si>
    <t>02/22228447</t>
  </si>
  <si>
    <t>02/91948458</t>
  </si>
  <si>
    <t>primo, secono e dolce</t>
  </si>
  <si>
    <t>1 caffè, 1 cappuccino, 1 caffè specialty, 1 brioche</t>
  </si>
  <si>
    <t>1 calice di vino + tagliere misto formaggi e salumi, 1 sfizio</t>
  </si>
  <si>
    <t>siciliana</t>
  </si>
  <si>
    <t>Via Adige, 9</t>
  </si>
  <si>
    <t>02/83967642</t>
  </si>
  <si>
    <t>02/72021136</t>
  </si>
  <si>
    <t>Gastronomia Yamamoto</t>
  </si>
  <si>
    <t>Via Amedei, 5</t>
  </si>
  <si>
    <t>02/36741426</t>
  </si>
  <si>
    <t>Out of the Box</t>
  </si>
  <si>
    <t>Via Marcello Malpighi, 7</t>
  </si>
  <si>
    <t>02/36637300</t>
  </si>
  <si>
    <t>toscana</t>
  </si>
  <si>
    <t>1 antipasto (no salumi e formaggi), 1 primo, 1 secondo (no hamburger) e 1 dolce</t>
  </si>
  <si>
    <t>02/47755016</t>
  </si>
  <si>
    <t>Gli Orti del Belvedere</t>
  </si>
  <si>
    <t>Via Orti, 10</t>
  </si>
  <si>
    <t>02/49781425</t>
  </si>
  <si>
    <t>Via Bonvesin de la Riva, 3</t>
  </si>
  <si>
    <t>Risorgimento</t>
  </si>
  <si>
    <t>Via San Protaso, 5</t>
  </si>
  <si>
    <t>02/36517496</t>
  </si>
  <si>
    <t>Buonarroti</t>
  </si>
  <si>
    <t>Carmen Gelato</t>
  </si>
  <si>
    <t>Via Carlo Ravizza, 3</t>
  </si>
  <si>
    <t>02/84230543</t>
  </si>
  <si>
    <t>Katsusanderia</t>
  </si>
  <si>
    <t>street food giapponese</t>
  </si>
  <si>
    <t>Frangente</t>
  </si>
  <si>
    <t>Via Panfilo Castaldi, 4</t>
  </si>
  <si>
    <t>02/96844851</t>
  </si>
  <si>
    <t>375/5426086</t>
  </si>
  <si>
    <t>Via Vigevano, 6</t>
  </si>
  <si>
    <t>340/8587572</t>
  </si>
  <si>
    <t>Cafezal Specialty Coffee</t>
  </si>
  <si>
    <t>Via Solferino, 27</t>
  </si>
  <si>
    <t>02/62695506</t>
  </si>
  <si>
    <t>Tripstillery</t>
  </si>
  <si>
    <t>02/62061443</t>
  </si>
  <si>
    <t>Viale Premuda, 14</t>
  </si>
  <si>
    <t>Corso Magenta, 96</t>
  </si>
  <si>
    <t>02/36579282</t>
  </si>
  <si>
    <t>02/49519174</t>
  </si>
  <si>
    <t>02/36534945</t>
  </si>
  <si>
    <t>Tanishka</t>
  </si>
  <si>
    <t>Ponte Nuovo</t>
  </si>
  <si>
    <t>344/4236436</t>
  </si>
  <si>
    <t>Viale Umbria, 126</t>
  </si>
  <si>
    <t>Sine by Di Pinto</t>
  </si>
  <si>
    <t>Brylla</t>
  </si>
  <si>
    <t>02/64089167</t>
  </si>
  <si>
    <t>Modus</t>
  </si>
  <si>
    <t>Via Andrea Maffei, 12</t>
  </si>
  <si>
    <t>Viale Monte Nero</t>
  </si>
  <si>
    <t>02/82860006</t>
  </si>
  <si>
    <t>Le Polveri - panificio diurno</t>
  </si>
  <si>
    <t>Via Vespri Siciliani, 16</t>
  </si>
  <si>
    <t>Giambellino</t>
  </si>
  <si>
    <t>Certosa</t>
  </si>
  <si>
    <t>02/82763525</t>
  </si>
  <si>
    <t>Trattoria Masuelli San Marco</t>
  </si>
  <si>
    <t>Viale Umbria, 80</t>
  </si>
  <si>
    <t>02/55184138</t>
  </si>
  <si>
    <t>Tiemì</t>
  </si>
  <si>
    <t>02/82874844</t>
  </si>
  <si>
    <t>Pan</t>
  </si>
  <si>
    <t>bakery con cucina</t>
  </si>
  <si>
    <t>Via Leopoldo Cicognara, 19</t>
  </si>
  <si>
    <t>Dateo</t>
  </si>
  <si>
    <t>340/8551831</t>
  </si>
  <si>
    <t>Flor. | born to be wine</t>
  </si>
  <si>
    <t>La Bottega del Gelato Cardelli dal 1964</t>
  </si>
  <si>
    <t>Millésime 1990 - sorsi di Francia</t>
  </si>
  <si>
    <t>Palinurobar</t>
  </si>
  <si>
    <t>Confine - Pizza e Cantina</t>
  </si>
  <si>
    <t>Mìbabbo</t>
  </si>
  <si>
    <t>confetteria</t>
  </si>
  <si>
    <t>ricercata / vegetariana</t>
  </si>
  <si>
    <t>cingalese</t>
  </si>
  <si>
    <t>fusion / giapponese</t>
  </si>
  <si>
    <t>Via San Gregorio, 40</t>
  </si>
  <si>
    <t>Pagano</t>
  </si>
  <si>
    <t>Via Giovanni Battista Pergolesi, 3</t>
  </si>
  <si>
    <t>Maciachini</t>
  </si>
  <si>
    <t>Via Varesina, 204</t>
  </si>
  <si>
    <t>Via Raffaello Sanzio, 4</t>
  </si>
  <si>
    <t>Via Vetere, 14</t>
  </si>
  <si>
    <t>Varesine</t>
  </si>
  <si>
    <t>De Angeli</t>
  </si>
  <si>
    <t>Piazza Guglielmo Massaia</t>
  </si>
  <si>
    <t>Cordusio</t>
  </si>
  <si>
    <t>Calvairate</t>
  </si>
  <si>
    <t>Via Giuseppe Compagnoni, 24</t>
  </si>
  <si>
    <t>Via Nicola Antonio Porpora, 5</t>
  </si>
  <si>
    <t>Corso Lodi, 19, ang. Via Lazzaro Papi</t>
  </si>
  <si>
    <t>Parco Vittorio</t>
  </si>
  <si>
    <t>333/3112637</t>
  </si>
  <si>
    <t>02/36735997</t>
  </si>
  <si>
    <t>02/87030181 - 338/3339120</t>
  </si>
  <si>
    <t>02/45488997</t>
  </si>
  <si>
    <t>60</t>
  </si>
  <si>
    <t>menù "mini gioco"</t>
  </si>
  <si>
    <t>1antipasto, 1 primo, 1 secondo, 1 dolce</t>
  </si>
  <si>
    <t>1 antipasto, 1 primo, 1 secondo (no insalate e vellutate)</t>
  </si>
  <si>
    <t>1 tè piccolo + 3 dolcetti diversi</t>
  </si>
  <si>
    <t>1 calice + 2 piatti salati (no cose semplici e a base di sole verdure)</t>
  </si>
  <si>
    <t>1 appetizer, 1 special (tranne verdure e zuppe), 1 hamburger</t>
  </si>
  <si>
    <t>1 calice di vino + due piatti diversi (non di verdure)</t>
  </si>
  <si>
    <t>Via Nicola Antonio Porpora, 169</t>
  </si>
  <si>
    <t>Verso - Capitaneo</t>
  </si>
  <si>
    <t>Piazza Duomo, 21</t>
  </si>
  <si>
    <t>02/89750929</t>
  </si>
  <si>
    <t>Osteria Lagrandissima</t>
  </si>
  <si>
    <t>Via Ponte Nuovo, 25</t>
  </si>
  <si>
    <t>342/5593532</t>
  </si>
  <si>
    <t>Scott Bar</t>
  </si>
  <si>
    <t>Viale Bianca Maria, 4</t>
  </si>
  <si>
    <t>02/00244399</t>
  </si>
  <si>
    <t>Via Giovanni Schiaparelli, 14</t>
  </si>
  <si>
    <t>02/91571797</t>
  </si>
  <si>
    <t>02/36580751</t>
  </si>
  <si>
    <t>2 cocktail diversi + 1 piadina</t>
  </si>
  <si>
    <t>Viale Premuda, 12</t>
  </si>
  <si>
    <t>02/36799016</t>
  </si>
  <si>
    <t>Via Molino delle Armi, 23</t>
  </si>
  <si>
    <t>Via Pomè, 10</t>
  </si>
  <si>
    <t>Rho</t>
  </si>
  <si>
    <t>abruzzese</t>
  </si>
  <si>
    <t>02/91327868</t>
  </si>
  <si>
    <t>Via Antonio Porpora, 154</t>
  </si>
  <si>
    <t>Trattoria Sincera</t>
  </si>
  <si>
    <t>389/8741577</t>
  </si>
  <si>
    <t>Silvano - vini e cibi al banco</t>
  </si>
  <si>
    <t>osteria</t>
  </si>
  <si>
    <t>Piazza Morbegno, 2</t>
  </si>
  <si>
    <t>02/72193827</t>
  </si>
  <si>
    <t>Spore</t>
  </si>
  <si>
    <t>389/9191929</t>
  </si>
  <si>
    <t>Via Giacomo Boni, 25</t>
  </si>
  <si>
    <t>02/83555166</t>
  </si>
  <si>
    <t>Ricci Osteria</t>
  </si>
  <si>
    <t>pugliese</t>
  </si>
  <si>
    <t>Via Pasquale Sottocorno, 27</t>
  </si>
  <si>
    <t>02/49705612</t>
  </si>
  <si>
    <t>1 antipasto (no salumi e formaggi), 1 primo, 1 secondo, 1 dolce. Dalla foto del menù che manderete si deciderà il rimborso</t>
  </si>
  <si>
    <t>Arco della Pace</t>
  </si>
  <si>
    <t>1 tagliere, 2 piatti (no dolce), 1 calice</t>
  </si>
  <si>
    <t>Via Pasquale Sottocorno, 17</t>
  </si>
  <si>
    <t>347/2402269</t>
  </si>
  <si>
    <t>2 piatti salati (no olive, no finta pasticcera), 1 calice</t>
  </si>
  <si>
    <t>Materia</t>
  </si>
  <si>
    <t>1 antipasto (no salumi e formaggi), 1 margherita e 1 pizza stagionale o contemporanea (no a base di sole verdure)</t>
  </si>
  <si>
    <t>Via del Torchio, 1</t>
  </si>
  <si>
    <t>Corso Sempione, 10</t>
  </si>
  <si>
    <t>Piazza S. Simpliciano, 7</t>
  </si>
  <si>
    <t>02/49479421</t>
  </si>
  <si>
    <t>02/38318769</t>
  </si>
  <si>
    <t>Pasticceria Passerini dal 1919</t>
  </si>
  <si>
    <t>Via Victor Hugo, 4</t>
  </si>
  <si>
    <t>02/8693614</t>
  </si>
  <si>
    <t>Via Melzo, 16</t>
  </si>
  <si>
    <t>375/5862098</t>
  </si>
  <si>
    <t>Autem</t>
  </si>
  <si>
    <t>Via Serviliano Lattuada, 2</t>
  </si>
  <si>
    <t>351/2780368</t>
  </si>
  <si>
    <t>Corso Magenta, 25</t>
  </si>
  <si>
    <t>Clèa Pasticceria Culinaria</t>
  </si>
  <si>
    <t>Via Alfredo Albertini, 6</t>
  </si>
  <si>
    <t>Sarpi</t>
  </si>
  <si>
    <t>Via Felice Bellotti, 13</t>
  </si>
  <si>
    <t>Viale Piave</t>
  </si>
  <si>
    <t>02/66661066</t>
  </si>
  <si>
    <t>Piazza Guglielmo Oberdan, 12</t>
  </si>
  <si>
    <t>Adolfo Stefanelli</t>
  </si>
  <si>
    <t>Via Bartolomeo Eustachi, 13</t>
  </si>
  <si>
    <t>02/40130281</t>
  </si>
  <si>
    <t>Città Studi</t>
  </si>
  <si>
    <t>thailandese</t>
  </si>
  <si>
    <t>gastronomia giapponese</t>
  </si>
  <si>
    <t>pesce</t>
  </si>
  <si>
    <t>coreana</t>
  </si>
  <si>
    <t>cocktail bar / ristorante</t>
  </si>
  <si>
    <t>cocktail bar / distilleria</t>
  </si>
  <si>
    <t>Égalité</t>
  </si>
  <si>
    <t>Kilburn</t>
  </si>
  <si>
    <t>Li - Sei Deli</t>
  </si>
  <si>
    <t>Mezzolitro Vini e Cucina</t>
  </si>
  <si>
    <t>Nik’s &amp; Co</t>
  </si>
  <si>
    <t>Norah was drunk</t>
  </si>
  <si>
    <t>Particolare Milano</t>
  </si>
  <si>
    <t>Pastamadre</t>
  </si>
  <si>
    <t>Magenta</t>
  </si>
  <si>
    <t>Chinatown</t>
  </si>
  <si>
    <t>Via Gerolamo Tiraboschi, 5</t>
  </si>
  <si>
    <t>Via Passo Buole, 4</t>
  </si>
  <si>
    <t>Via Losanna, 46</t>
  </si>
  <si>
    <t>Via Giorgio Vasari, 1</t>
  </si>
  <si>
    <t>02/49714985</t>
  </si>
  <si>
    <t>02/82860326</t>
  </si>
  <si>
    <t>02/83428246 - 375/7746998</t>
  </si>
  <si>
    <t>02/36795439</t>
  </si>
  <si>
    <t>6½</t>
  </si>
  <si>
    <t>due piatti salati e un calice di vino</t>
  </si>
  <si>
    <t>2 scodelle diverse</t>
  </si>
  <si>
    <t>2 cocktail</t>
  </si>
  <si>
    <t>1 cocktail + un piatto salato</t>
  </si>
  <si>
    <t>1 calice di vino e 2 preparazioni diverse</t>
  </si>
  <si>
    <t>c.m.</t>
  </si>
  <si>
    <t>c.c.</t>
  </si>
  <si>
    <t>Piatti da provare</t>
  </si>
  <si>
    <t>pl.</t>
  </si>
  <si>
    <t>1 espresso, 1 caffè specialty con altro metodo d'infusione,1 lievito</t>
  </si>
  <si>
    <t>menù della tradizione</t>
  </si>
  <si>
    <t>Via Privata Gerli, 3</t>
  </si>
  <si>
    <t xml:space="preserve">tradizionale </t>
  </si>
  <si>
    <t xml:space="preserve"> 02/9085276</t>
  </si>
  <si>
    <t>Sandì</t>
  </si>
  <si>
    <t xml:space="preserve">Antica Trattoria del Gallo </t>
  </si>
  <si>
    <t>Via Francesco Hayez, 13</t>
  </si>
  <si>
    <t>Viale Abruzzi</t>
  </si>
  <si>
    <t>02/82046200</t>
  </si>
  <si>
    <t>formula pranzo</t>
  </si>
  <si>
    <t>Casa Nori</t>
  </si>
  <si>
    <t>Via Antonio Pollaiuolo, 5</t>
  </si>
  <si>
    <t>02/36742016</t>
  </si>
  <si>
    <t>Via Stampa</t>
  </si>
  <si>
    <t>02/30554088</t>
  </si>
  <si>
    <t>Brolo Milano - orto con cucina</t>
  </si>
  <si>
    <t>Via Melzo, 19</t>
  </si>
  <si>
    <t>02/89772534</t>
  </si>
  <si>
    <t>Via Marghera, 35</t>
  </si>
  <si>
    <t>June Collective</t>
  </si>
  <si>
    <t>3 piatti salati (non solo vegetariani e anche con un primo) + 1 dolce</t>
  </si>
  <si>
    <t>Sottobosco</t>
  </si>
  <si>
    <t>1 antipasto (no salumi e formaggi, no verdure) 1 primo,1 secodo,1 dolce</t>
  </si>
  <si>
    <t>02/39289510</t>
  </si>
  <si>
    <t>Brenta</t>
  </si>
  <si>
    <t>menùdegustazione da 75 euro</t>
  </si>
  <si>
    <t>Sakeya</t>
  </si>
  <si>
    <t>Via Cesare da Sesto, 1</t>
  </si>
  <si>
    <t>Sant'Agostino</t>
  </si>
  <si>
    <t>1 antipasto,1 primo,1 secondo,1 dolce</t>
  </si>
  <si>
    <t>menù degustazione Porta Nuova</t>
  </si>
  <si>
    <t>1antipasto (no verdure, no salumi e formaggi), 1 primo, 1 secondo, 1 dolce</t>
  </si>
  <si>
    <t>menù sine et satis</t>
  </si>
  <si>
    <t>1 antipasto, 1 primo, 1 secondo, 1 dolce (no piatti semplici e di verdure o formagi e salumi)</t>
  </si>
  <si>
    <t>1 antipasto, 1 primo,1 secondo, 1 dolce</t>
  </si>
  <si>
    <t>1 antipasto (no verdure, no salumi e formaggi), 1 primo (no zuppe), 1 secondo, 1 dolce</t>
  </si>
  <si>
    <t>1 piatto principale dal menù "viaggio in" (no COLORATO), 2 piatti dal menù "viaggio in treno Ella" (NO PETTIES), magari scegliendo qualche piatto a base di carne o pesce</t>
  </si>
  <si>
    <t>1 bibimbap, 1 sandwich, 1 dolce</t>
  </si>
  <si>
    <t>2 calici di vino + gli stuzzichini compresi nel prezzo</t>
  </si>
  <si>
    <t>calice di vino + 1 crustone, 1 sfizio o un sandwich (no cose semplici e a base di verdure)</t>
  </si>
  <si>
    <t>1 calice, 1 tagliere, 1 piattino</t>
  </si>
  <si>
    <t>2 cocktail diversi + 1 piatto della cucina</t>
  </si>
  <si>
    <t xml:space="preserve">3 piatti del menù </t>
  </si>
  <si>
    <t>due pizze diverse e 1 sfizio fritto</t>
  </si>
  <si>
    <t>1 crostone o una focaccia, 2 piatti dalla cucina (no giardineria o solo verdure)</t>
  </si>
  <si>
    <t>1 antipasto,1 pasta,1 secondo (carne o pesce), 1 dolce (no piatti semplici, no frutta per il dessert)</t>
  </si>
  <si>
    <t>Via Giulio Cesare Procaccini, 33</t>
  </si>
  <si>
    <t>Il Lughino</t>
  </si>
  <si>
    <t>vegano</t>
  </si>
  <si>
    <t>Via Solferino, 12</t>
  </si>
  <si>
    <t>02/6598972</t>
  </si>
  <si>
    <t>1 antipasto, 1 lasagna, 1 secondo, 1 dolce</t>
  </si>
  <si>
    <t>Ditta Artigianale</t>
  </si>
  <si>
    <t>Corso Magenta, 31</t>
  </si>
  <si>
    <t>02/99250284</t>
  </si>
  <si>
    <t>Cucina Franca</t>
  </si>
  <si>
    <t>Via Friuli, 78</t>
  </si>
  <si>
    <t>Horto Restaurant Milano</t>
  </si>
  <si>
    <t xml:space="preserve">1 cocktail, 1 bao, 1 piatto principale (carne o pesce), 1 piatto di pasta (noodles o riso) </t>
  </si>
  <si>
    <t>Shiua</t>
  </si>
  <si>
    <t>enoteca / wine bar</t>
  </si>
  <si>
    <t>Via Solari, 43</t>
  </si>
  <si>
    <t>345/0229180</t>
  </si>
  <si>
    <t>Via Raffaello Sanzio, 22</t>
  </si>
  <si>
    <t>02/4693206</t>
  </si>
  <si>
    <t>Osteria Conchetta</t>
  </si>
  <si>
    <t>Via Conchetta, 8</t>
  </si>
  <si>
    <t>02/8372917</t>
  </si>
  <si>
    <t>menù "Rassicuro"</t>
  </si>
  <si>
    <t>Viale Piero e Alberto Pirelli, 10</t>
  </si>
  <si>
    <t>Bicocca</t>
  </si>
  <si>
    <t>Via San Gregorio, 29</t>
  </si>
  <si>
    <t>1 antipasto,1 primo,1 secondo, 1 dolce</t>
  </si>
  <si>
    <t>Piazzale Lagosta, 7 - Mercato Isola</t>
  </si>
  <si>
    <t>antipasto, primo e secondo (no salumi e formaggi, no verdure)</t>
  </si>
  <si>
    <t>menù degustazione Uchiumi</t>
  </si>
  <si>
    <t xml:space="preserve">Menù degustazione Origini e Tradizioni </t>
  </si>
  <si>
    <t>3 piatti salati (no sfizi di apertura o sole verdure) + dolce</t>
  </si>
  <si>
    <t>antipasto, primo e secondo (no piatti semplici e di sole verdure)</t>
  </si>
  <si>
    <t>1 cocktail signature + 3 tapas</t>
  </si>
  <si>
    <t>Via Varesina, 162 c/o Certosa District</t>
  </si>
  <si>
    <t>Bugan Coffee Lab</t>
  </si>
  <si>
    <t>Via Vigevano, 15</t>
  </si>
  <si>
    <t>339/8943065</t>
  </si>
  <si>
    <t>351/8731109</t>
  </si>
  <si>
    <t>Via Donatello, 22</t>
  </si>
  <si>
    <t>Bar Affori</t>
  </si>
  <si>
    <t>Via Alessandro Astesani, 15</t>
  </si>
  <si>
    <t>02/66203236</t>
  </si>
  <si>
    <t>Hygge</t>
  </si>
  <si>
    <t>Via Giuseppe Sapeto, 3</t>
  </si>
  <si>
    <t>2 piatti principali (no sole verdure), 1 dolce,1 specialty coffee (no espresso)</t>
  </si>
  <si>
    <t>La Corte - Romanengo 1780</t>
  </si>
  <si>
    <t>Via Giuseppe Govone, 38</t>
  </si>
  <si>
    <t>351/8072573</t>
  </si>
  <si>
    <t>Procaccini Milano</t>
  </si>
  <si>
    <t>romana</t>
  </si>
  <si>
    <t>Giulio Pane e Ojo</t>
  </si>
  <si>
    <t>Via Festa del Perdono, 1</t>
  </si>
  <si>
    <t>02/92863557</t>
  </si>
  <si>
    <t>02/22224091</t>
  </si>
  <si>
    <t>Ba Restaurant</t>
  </si>
  <si>
    <t>Cous-Cous</t>
  </si>
  <si>
    <t>Il Luogo - Aimo e Nadia</t>
  </si>
  <si>
    <t>Mesté - vino e fornelli</t>
  </si>
  <si>
    <t>Temp enoteca</t>
  </si>
  <si>
    <t>Tone - Bread Lab.</t>
  </si>
  <si>
    <t>U Barba - osteria genovese</t>
  </si>
  <si>
    <t>Velavevodetto</t>
  </si>
  <si>
    <t>negozio con cucina</t>
  </si>
  <si>
    <t>bakery / bistrot</t>
  </si>
  <si>
    <t>Viale Tunisia</t>
  </si>
  <si>
    <t>Cadorna</t>
  </si>
  <si>
    <t>Via Francesco Cherubini, 3</t>
  </si>
  <si>
    <t>Via Panfilo Castaldi, 35</t>
  </si>
  <si>
    <t>Via Caminadella, 23</t>
  </si>
  <si>
    <t>Via Luigi Porro Lambertenghi, 15</t>
  </si>
  <si>
    <t>Via Corrado II il Salico, 12</t>
  </si>
  <si>
    <t>Morivione</t>
  </si>
  <si>
    <t>Crescenzago</t>
  </si>
  <si>
    <t>Via della Commenda, 25</t>
  </si>
  <si>
    <t>NoLo</t>
  </si>
  <si>
    <t>Via Privata Antonio Meucci, 50</t>
  </si>
  <si>
    <t>Via Tiziano, 13</t>
  </si>
  <si>
    <t>Via Stampa, 8</t>
  </si>
  <si>
    <t>Piazza San Luigi, 5</t>
  </si>
  <si>
    <t>Via Bonaventura Zumbini, 39</t>
  </si>
  <si>
    <t>Barona</t>
  </si>
  <si>
    <t>Via Carlo Ravizza, 8</t>
  </si>
  <si>
    <t>Via Ripa di Porta Ticinese, 67</t>
  </si>
  <si>
    <t>Via Lodovico Muratori, 10</t>
  </si>
  <si>
    <t>Largo Bellintani, 1</t>
  </si>
  <si>
    <t>02/47704656</t>
  </si>
  <si>
    <t>02/87380711 - 351/5166021</t>
  </si>
  <si>
    <t>02/38269862 - 347/5188347</t>
  </si>
  <si>
    <t>02/2940 0076</t>
  </si>
  <si>
    <t>02/39288619</t>
  </si>
  <si>
    <t>346/8061538</t>
  </si>
  <si>
    <t>02/77091277</t>
  </si>
  <si>
    <t>345/2182186</t>
  </si>
  <si>
    <t>02/ 545 5475</t>
  </si>
  <si>
    <t>02/38584247</t>
  </si>
  <si>
    <t>331/7119559</t>
  </si>
  <si>
    <t>331/7144601</t>
  </si>
  <si>
    <t>02/5456189 - 340/5806641</t>
  </si>
  <si>
    <t>55</t>
  </si>
  <si>
    <t>12</t>
  </si>
  <si>
    <t>22</t>
  </si>
  <si>
    <t>70</t>
  </si>
  <si>
    <t>65</t>
  </si>
  <si>
    <t>165</t>
  </si>
  <si>
    <t>190</t>
  </si>
  <si>
    <t>110</t>
  </si>
  <si>
    <t>80</t>
  </si>
  <si>
    <t>v.2026</t>
  </si>
  <si>
    <t>1 espresso, 1 caffè specialty con altro metodo d'infusione, 1 cappuccino, 1 lievito</t>
  </si>
  <si>
    <t>2 espresso, 1 caffè specialty con altro metodo d'infusione, 1 cappuccino, 1 lievito</t>
  </si>
  <si>
    <t>3 espresso, 1 caffè specialty con altro metodo d'infusione, 1 cappuccino, 1 lievito</t>
  </si>
  <si>
    <t>4 espresso, 1 caffè specialty con altro metodo d'infusione, 1 cappuccino, 1 lievito</t>
  </si>
  <si>
    <t>5 espresso, 1 caffè specialty con altro metodo d'infusione, 1 cappuccino, 1 lievito</t>
  </si>
  <si>
    <t>1 caffè, 1 cappuccino, 1 caffè specialty, 1 lievito</t>
  </si>
  <si>
    <t>2 caffè, 1 cappuccino, 1 caffè specialty, 1 lievito</t>
  </si>
  <si>
    <t>Nonna Maria Osteria Romana</t>
  </si>
  <si>
    <t>Via Macedonio Melloni, 9</t>
  </si>
  <si>
    <t>02/49436609</t>
  </si>
  <si>
    <t>Felice a Testaccio</t>
  </si>
  <si>
    <t>Via del Torchio, 4</t>
  </si>
  <si>
    <t>02/80506690</t>
  </si>
  <si>
    <t>antipasto, primo, secondo, dolce</t>
  </si>
  <si>
    <t>menù degustazione contemporaneità</t>
  </si>
  <si>
    <t xml:space="preserve">menù vegetariano </t>
  </si>
  <si>
    <t>menù da 3 piatti+dolce</t>
  </si>
  <si>
    <t>menù degustazione mare o terra</t>
  </si>
  <si>
    <t>menù degustazione classico /contemporaneo</t>
  </si>
  <si>
    <t>menù degustazione da 4 portate</t>
  </si>
  <si>
    <t>1 handrolls, 1 altro piatto del menù (no vegetariano), 1 sushi, 1 dolce</t>
  </si>
  <si>
    <t>1 primo, 1 secondo, 1 antipasto o 1 dolce</t>
  </si>
  <si>
    <t>due piatti salati (no sezione antipasti) + 1 dolce</t>
  </si>
  <si>
    <t>1 piatto dalla gastronomia (no verdure stufate, no piatti salumi e formaggi), 2 piatti dalla cucina</t>
  </si>
  <si>
    <t>2 piatti salati (1 piatto di pasta e un secondo, oppure 1 antipasto e un primo; no solo verdure e formaggi e salumi) + 1 dolce</t>
  </si>
  <si>
    <t>Ba' Ghetto</t>
  </si>
  <si>
    <t>Via Sardegna, 45</t>
  </si>
  <si>
    <t>02/4694643</t>
  </si>
  <si>
    <t>romano - ebraica</t>
  </si>
  <si>
    <t xml:space="preserve">1 antipasto,1 primo, 1 secondo, 1 dolce (della tradizione romana, quindi non hummus, no pinsa,no risotto, né piatti di altre tradizioni) </t>
  </si>
  <si>
    <t>menù esattezza</t>
  </si>
  <si>
    <t>Fernanda D'Arienzo</t>
  </si>
  <si>
    <t>bloccato per Domiziana Caliari</t>
  </si>
  <si>
    <t>bloccato per Raffaella Fasano</t>
  </si>
  <si>
    <t>bloccato per Ilaria Leone</t>
  </si>
  <si>
    <t>bloccato per William Gray</t>
  </si>
  <si>
    <t>1 piatto a scelta (possibilmente non semplice), 1 kachapuri, 1 dolce</t>
  </si>
  <si>
    <t>Domiziana Caliari</t>
  </si>
  <si>
    <t>bloccato per Giulia Pietracaprina</t>
  </si>
  <si>
    <t>Giulia Pietracaprina</t>
  </si>
  <si>
    <t>menù degustazione 75€</t>
  </si>
  <si>
    <t>1 calice di vino e due preparazioni salate (non cose semplici)</t>
  </si>
  <si>
    <t>menù da 45€</t>
  </si>
  <si>
    <t>menù degustazione da 90€</t>
  </si>
  <si>
    <t>Raffaella Fasano</t>
  </si>
  <si>
    <t>William Gray</t>
  </si>
  <si>
    <t>Angela Iacono</t>
  </si>
  <si>
    <t>bloccato per Maria Vittoria Ottaviano</t>
  </si>
  <si>
    <t>1 antipasto (no verdure), 1 primo, 1 secondo (no verdure), 1 dolce</t>
  </si>
  <si>
    <t>Giulia Maria Bellucci</t>
  </si>
  <si>
    <t>Maria Vittoria Ottaviano</t>
  </si>
  <si>
    <t>Ilaria Leone</t>
  </si>
  <si>
    <t>La Mary</t>
  </si>
  <si>
    <t>Via Marcona, 70</t>
  </si>
  <si>
    <t>02/36599229</t>
  </si>
  <si>
    <t>Pantera Pizza Rustica</t>
  </si>
  <si>
    <t>pizzeria al taglio</t>
  </si>
  <si>
    <t>Via Giacomo Watt, 2</t>
  </si>
  <si>
    <t>345/2576231</t>
  </si>
  <si>
    <t>Sfoglia Pastry Lab</t>
  </si>
  <si>
    <t>Via Nicola Piccinni, 3</t>
  </si>
  <si>
    <t>345/1662856</t>
  </si>
  <si>
    <t>Bonci - pizza in teglia</t>
  </si>
  <si>
    <t>340/8223165</t>
  </si>
  <si>
    <t>2 piatti cucinati (non cose semplici di sole verdure)+ 1 calice di vino</t>
  </si>
  <si>
    <t>1 tagliere misto di formaggi e salumi+1calice di vino</t>
  </si>
  <si>
    <t>bloccato per Alice D'Adda</t>
  </si>
  <si>
    <t>bloccato per Antonio Landi</t>
  </si>
  <si>
    <t>Antonio Landi</t>
  </si>
  <si>
    <t>Momenteeria</t>
  </si>
  <si>
    <t>Via Giosuè Carducci, 38</t>
  </si>
  <si>
    <t>02/36532185</t>
  </si>
  <si>
    <t>1 piatto da condividere (no rape, no kimchi), 1 ramen, 1 bao. Non tutto vegetariano</t>
  </si>
  <si>
    <t>Alice D'Adda</t>
  </si>
  <si>
    <t>Coffee Studio 7gr.</t>
  </si>
  <si>
    <t>Corso Venezia, 31</t>
  </si>
  <si>
    <t>02/38238682</t>
  </si>
  <si>
    <t>La Bruma</t>
  </si>
  <si>
    <t>bakery</t>
  </si>
  <si>
    <t>Piazza Vetra, 21</t>
  </si>
  <si>
    <t>1 espresso specialty, 1 caffè specialty con altro metodo di estrazione, 1 cappuccino, 1 lievito</t>
  </si>
  <si>
    <t xml:space="preserve">Rito </t>
  </si>
  <si>
    <t>Via Achille Maiocchi, 18</t>
  </si>
  <si>
    <t>02/38241909</t>
  </si>
  <si>
    <t>Due Forni</t>
  </si>
  <si>
    <t>Viale Monte Nero, 23</t>
  </si>
  <si>
    <t>02/09978710</t>
  </si>
  <si>
    <t>1 fritto, 1 pizza stile romano, 1 pizza stile contemporaneo, farciture diverse</t>
  </si>
  <si>
    <t xml:space="preserve">due piatti (no stuzzichini o piatti semplici)+ calice di vino </t>
  </si>
  <si>
    <t>Piazza Alvar Aalto</t>
  </si>
  <si>
    <t>Via Ascanio Sforza, 9</t>
  </si>
  <si>
    <t>Piazzale Carlo Maciachini, 18</t>
  </si>
  <si>
    <t>Ripa di Porta Ticinese, 43</t>
  </si>
  <si>
    <t>Via Alessandro Manzoni, 5</t>
  </si>
  <si>
    <t>GPS</t>
  </si>
  <si>
    <t>45.472113239686124, 9.157788011970972</t>
  </si>
  <si>
    <t>45.4577024810705, 9.212648146393095</t>
  </si>
  <si>
    <t>Via Giovanni Paisiello, 28</t>
  </si>
  <si>
    <t>45.48178824491754, 9.220205980253644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</si>
</sst>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0" fontId="6" fillId="0" borderId="0"/>
    <xf numFmtId="0" fontId="3" fillId="0" borderId="0"/>
    <xf numFmtId="0" fontId="12" fillId="0" borderId="0"/>
    <xf numFmtId="0" fontId="3" fillId="0" borderId="0"/>
    <xf numFmtId="0" fontId="5" fillId="0" borderId="0"/>
    <xf numFmtId="0" fontId="7" fillId="0" borderId="0"/>
    <xf numFmtId="0" fontId="10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7" applyFont="1" applyAlignment="1">
      <alignment horizontal="center" vertical="center" wrapText="1"/>
    </xf>
    <xf numFmtId="0" fontId="3" fillId="0" borderId="0" xfId="7" applyFont="1" applyAlignment="1">
      <alignment horizontal="left" vertical="center" wrapText="1"/>
    </xf>
    <xf numFmtId="0" fontId="1" fillId="6" borderId="0" xfId="7" applyFont="1" applyFill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8" fillId="0" borderId="0" xfId="8" applyFont="1" applyAlignment="1">
      <alignment horizontal="center" wrapText="1"/>
    </xf>
    <xf numFmtId="0" fontId="8" fillId="0" borderId="0" xfId="8" applyFont="1" applyAlignment="1">
      <alignment wrapText="1"/>
    </xf>
    <xf numFmtId="0" fontId="2" fillId="0" borderId="0" xfId="0" applyFont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9" fillId="8" borderId="1" xfId="8" applyFont="1" applyFill="1" applyBorder="1" applyAlignment="1">
      <alignment horizontal="center" wrapText="1"/>
    </xf>
    <xf numFmtId="0" fontId="1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8" borderId="0" xfId="8" applyFont="1" applyFill="1" applyAlignment="1">
      <alignment horizontal="center" wrapText="1"/>
    </xf>
    <xf numFmtId="0" fontId="8" fillId="8" borderId="0" xfId="8" applyFont="1" applyFill="1" applyAlignment="1">
      <alignment wrapText="1"/>
    </xf>
    <xf numFmtId="0" fontId="14" fillId="8" borderId="0" xfId="0" applyFont="1" applyFill="1" applyAlignment="1">
      <alignment horizontal="center" vertical="center"/>
    </xf>
    <xf numFmtId="0" fontId="8" fillId="10" borderId="0" xfId="8" applyFont="1" applyFill="1" applyAlignment="1">
      <alignment horizontal="center" wrapText="1"/>
    </xf>
    <xf numFmtId="0" fontId="8" fillId="10" borderId="0" xfId="8" applyFont="1" applyFill="1" applyAlignment="1">
      <alignment wrapText="1"/>
    </xf>
    <xf numFmtId="0" fontId="14" fillId="10" borderId="0" xfId="0" applyFont="1" applyFill="1" applyAlignment="1">
      <alignment horizontal="center" vertical="center"/>
    </xf>
    <xf numFmtId="0" fontId="8" fillId="7" borderId="0" xfId="8" applyFont="1" applyFill="1" applyAlignment="1">
      <alignment horizontal="center" wrapText="1"/>
    </xf>
    <xf numFmtId="0" fontId="8" fillId="7" borderId="0" xfId="8" applyFont="1" applyFill="1" applyAlignment="1">
      <alignment wrapText="1"/>
    </xf>
    <xf numFmtId="0" fontId="14" fillId="7" borderId="0" xfId="0" applyFont="1" applyFill="1" applyAlignment="1">
      <alignment horizontal="center" vertical="center"/>
    </xf>
    <xf numFmtId="0" fontId="9" fillId="11" borderId="5" xfId="9" applyFont="1" applyFill="1" applyBorder="1" applyAlignment="1">
      <alignment horizontal="center"/>
    </xf>
    <xf numFmtId="0" fontId="9" fillId="11" borderId="5" xfId="9" applyFont="1" applyFill="1" applyBorder="1" applyAlignment="1">
      <alignment horizontal="left"/>
    </xf>
    <xf numFmtId="0" fontId="9" fillId="11" borderId="5" xfId="8" applyFont="1" applyFill="1" applyBorder="1" applyAlignment="1">
      <alignment horizontal="center"/>
    </xf>
    <xf numFmtId="0" fontId="15" fillId="0" borderId="0" xfId="0" applyFont="1"/>
  </cellXfs>
  <cellStyles count="22">
    <cellStyle name="Collegamento ipertestuale 2" xfId="1" xr:uid="{2788721C-0ABA-497F-9AE6-A95B78DB2F1D}"/>
    <cellStyle name="Migliaia 2" xfId="2" xr:uid="{B9B463EB-B348-49B7-837C-A24D24CE8926}"/>
    <cellStyle name="Normale" xfId="0" builtinId="0"/>
    <cellStyle name="Normale 2" xfId="3" xr:uid="{9178685C-F2D9-4816-90AA-153EBB0FE6AA}"/>
    <cellStyle name="Normale 2 2" xfId="4" xr:uid="{4959F407-72A3-44EC-9341-D0089B0EAF10}"/>
    <cellStyle name="Normale 3" xfId="5" xr:uid="{8EE0F8BA-4D41-43DC-B8B2-E2AF07BEA1A6}"/>
    <cellStyle name="Normale 4" xfId="6" xr:uid="{F56C21B5-581A-4B4A-8445-321A0C48D67E}"/>
    <cellStyle name="Normale_Ristoranti" xfId="7" xr:uid="{9F3F8766-7C02-41FF-BE92-E5661FD7A6A5}"/>
    <cellStyle name="Normale_Tavole e pause golose" xfId="8" xr:uid="{2799C0EF-28BD-4F88-9AAA-2B4301276974}"/>
    <cellStyle name="Normale_Tavole e pause golose_1" xfId="9" xr:uid="{1E888B8C-CB17-4A4A-96C7-D5E1BB55CC32}"/>
    <cellStyle name="Percentuale 2" xfId="10" xr:uid="{D8694C04-A1F6-44C3-A748-DF03D5B96913}"/>
    <cellStyle name="Percentuale 2 2" xfId="11" xr:uid="{4D72DCD8-4463-4957-B457-C598A1316068}"/>
    <cellStyle name="Percentuale 2 2 2" xfId="12" xr:uid="{39B3C725-E486-46ED-8BBA-42C65BFF9B67}"/>
    <cellStyle name="Percentuale 2 2 2 2" xfId="13" xr:uid="{B9CB2C74-5AC0-4A5A-9627-EA63C805D09E}"/>
    <cellStyle name="Percentuale 2 3" xfId="14" xr:uid="{A1AF4389-5E49-470B-8903-6DA0ADBDD320}"/>
    <cellStyle name="Percentuale 2 3 2" xfId="15" xr:uid="{11E03A72-64D7-46B2-9103-6E4114A4AF9D}"/>
    <cellStyle name="Percentuale 3" xfId="16" xr:uid="{38B9AE97-BEA2-428C-8201-6B9385D435E3}"/>
    <cellStyle name="Percentuale 3 2" xfId="17" xr:uid="{016E4612-E87C-4314-928D-598D3F079DE2}"/>
    <cellStyle name="Percentuale 3 2 2" xfId="18" xr:uid="{4CC0E7F9-2ADD-48A5-9BBF-62483E77D123}"/>
    <cellStyle name="Percentuale 3 2 2 2" xfId="19" xr:uid="{7E3426E9-D042-4615-BED8-B498E8A11884}"/>
    <cellStyle name="Percentuale 3 3" xfId="20" xr:uid="{EA813C11-AC3A-4BC0-B74A-F5F16D5606CB}"/>
    <cellStyle name="Percentuale 3 3 2" xfId="21" xr:uid="{876ABEA9-E37B-4A1B-8A7E-066CDD0349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la+mary+milano&amp;rlz=1C1RXQR_itIT982IT982&amp;oq=la+mary+milano&amp;gs_lcrp=EgZjaHJvbWUqDwgAECMYJxjjAhiABBiKBTIPCAAQIxgnGOMCGIAEGIoFMhUIARAuGCcYrwEYxwEYgAQYigUYjgUyCAgCEAAYFhgeMggIAxAAGBYYHjIICAQQABgWGB4yBggFEEUYPDIGCAYQRRg8MgYIBxBFGDzSAQgyNTc3ajBqN6gCALACAA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84B6-1CBC-4DBA-8DB0-4B5AAE0841E6}">
  <sheetPr>
    <pageSetUpPr fitToPage="1"/>
  </sheetPr>
  <dimension ref="A1:AI437"/>
  <sheetViews>
    <sheetView tabSelected="1" zoomScale="110" zoomScaleNormal="110" workbookViewId="0">
      <pane ySplit="7" topLeftCell="A119" activePane="bottomLeft" state="frozen"/>
      <selection pane="bottomLeft" activeCell="A142" sqref="A142:XFD142"/>
    </sheetView>
  </sheetViews>
  <sheetFormatPr defaultColWidth="9.140625" defaultRowHeight="14.25" customHeight="1" x14ac:dyDescent="0.2"/>
  <cols>
    <col min="1" max="1" width="4.140625" style="2" customWidth="1"/>
    <col min="2" max="3" width="6.28515625" style="2" customWidth="1"/>
    <col min="4" max="4" width="35.140625" style="3" customWidth="1"/>
    <col min="5" max="5" width="24.140625" style="2" customWidth="1"/>
    <col min="6" max="6" width="25.28515625" style="3" customWidth="1"/>
    <col min="7" max="7" width="16.7109375" style="2" customWidth="1"/>
    <col min="8" max="8" width="12.28515625" style="2" customWidth="1"/>
    <col min="9" max="9" width="16.140625" style="2" customWidth="1"/>
    <col min="10" max="11" width="8.28515625" style="2" customWidth="1"/>
    <col min="12" max="12" width="10.140625" style="14" customWidth="1"/>
    <col min="13" max="13" width="29" style="15" customWidth="1"/>
    <col min="14" max="14" width="17.42578125" style="3" customWidth="1"/>
    <col min="15" max="15" width="7.140625" style="2" customWidth="1"/>
    <col min="16" max="16" width="7" style="2" customWidth="1"/>
    <col min="17" max="17" width="12.28515625" style="2" customWidth="1"/>
    <col min="18" max="18" width="7.42578125" style="2" customWidth="1"/>
    <col min="19" max="19" width="9.28515625" style="2" customWidth="1"/>
    <col min="20" max="20" width="8.28515625" style="2" customWidth="1"/>
    <col min="21" max="21" width="5.7109375" style="2" customWidth="1"/>
    <col min="22" max="27" width="9.42578125" style="2" bestFit="1" customWidth="1"/>
    <col min="28" max="28" width="10.85546875" style="2" bestFit="1" customWidth="1"/>
    <col min="29" max="29" width="7" style="2" customWidth="1"/>
    <col min="30" max="30" width="21.85546875" style="2" customWidth="1"/>
    <col min="31" max="31" width="27.28515625" style="2" customWidth="1"/>
    <col min="32" max="32" width="14.28515625" style="2" customWidth="1"/>
    <col min="33" max="33" width="19.85546875" style="2" customWidth="1"/>
    <col min="34" max="34" width="15.140625" style="2" customWidth="1"/>
    <col min="35" max="35" width="18.140625" style="2" customWidth="1"/>
    <col min="36" max="16384" width="9.140625" style="3"/>
  </cols>
  <sheetData>
    <row r="1" spans="1:35" ht="14.25" customHeight="1" x14ac:dyDescent="0.2">
      <c r="F1" s="2"/>
    </row>
    <row r="2" spans="1:35" ht="14.25" customHeight="1" x14ac:dyDescent="0.2">
      <c r="D2" s="17" t="s">
        <v>8</v>
      </c>
      <c r="E2" s="4" t="s">
        <v>26</v>
      </c>
      <c r="F2" s="4" t="s">
        <v>27</v>
      </c>
      <c r="G2" s="4" t="s">
        <v>28</v>
      </c>
      <c r="H2" s="4" t="s">
        <v>22</v>
      </c>
      <c r="I2" s="5" t="s">
        <v>9</v>
      </c>
      <c r="J2" s="6"/>
      <c r="K2" s="6"/>
      <c r="N2" s="22"/>
    </row>
    <row r="3" spans="1:35" ht="14.25" customHeight="1" x14ac:dyDescent="0.2">
      <c r="D3" s="3" t="s">
        <v>2</v>
      </c>
      <c r="E3" s="7">
        <f>+AH6</f>
        <v>45</v>
      </c>
      <c r="F3" s="7">
        <f>+AD6</f>
        <v>46</v>
      </c>
      <c r="G3" s="7">
        <f>+AF6</f>
        <v>33</v>
      </c>
      <c r="H3" s="7">
        <f>+E3-G3</f>
        <v>12</v>
      </c>
      <c r="I3" s="8" t="s">
        <v>10</v>
      </c>
      <c r="J3" s="23" t="s">
        <v>18</v>
      </c>
      <c r="K3" s="1" t="s">
        <v>21</v>
      </c>
    </row>
    <row r="4" spans="1:35" ht="14.25" customHeight="1" x14ac:dyDescent="0.25">
      <c r="D4" s="18" t="s">
        <v>3</v>
      </c>
      <c r="E4" s="9">
        <f>+AI6</f>
        <v>138</v>
      </c>
      <c r="F4" s="9">
        <f>+AE6</f>
        <v>62</v>
      </c>
      <c r="G4" s="9">
        <f>+AG6</f>
        <v>45</v>
      </c>
      <c r="H4" s="7">
        <f>+E4-G4</f>
        <v>93</v>
      </c>
      <c r="I4" s="24" t="s">
        <v>16</v>
      </c>
      <c r="J4" s="10" t="s">
        <v>17</v>
      </c>
      <c r="K4" s="16" t="s">
        <v>43</v>
      </c>
    </row>
    <row r="5" spans="1:35" ht="14.25" customHeight="1" x14ac:dyDescent="0.2">
      <c r="D5" s="19" t="s">
        <v>12</v>
      </c>
      <c r="E5" s="11">
        <f>+E3+E4</f>
        <v>183</v>
      </c>
      <c r="F5" s="11">
        <f>+F3+F4</f>
        <v>108</v>
      </c>
      <c r="G5" s="11">
        <f>+G3+G4</f>
        <v>78</v>
      </c>
      <c r="H5" s="11">
        <f>+H3+H4</f>
        <v>105</v>
      </c>
      <c r="I5" s="25" t="s">
        <v>43</v>
      </c>
      <c r="J5" s="12"/>
      <c r="K5" s="12"/>
      <c r="N5" s="13"/>
      <c r="R5" s="12"/>
      <c r="S5" s="12">
        <f t="shared" ref="S5:AB5" si="0">SUM(S8:S1879)</f>
        <v>23</v>
      </c>
      <c r="T5" s="12">
        <f t="shared" si="0"/>
        <v>10</v>
      </c>
      <c r="U5" s="12">
        <f t="shared" si="0"/>
        <v>19</v>
      </c>
      <c r="V5" s="12">
        <f t="shared" si="0"/>
        <v>7</v>
      </c>
      <c r="W5" s="12">
        <f t="shared" si="0"/>
        <v>3</v>
      </c>
      <c r="X5" s="12">
        <f t="shared" si="0"/>
        <v>21</v>
      </c>
      <c r="Y5" s="12">
        <f t="shared" si="0"/>
        <v>4</v>
      </c>
      <c r="Z5" s="12">
        <f t="shared" si="0"/>
        <v>17</v>
      </c>
      <c r="AA5" s="12">
        <f t="shared" si="0"/>
        <v>6</v>
      </c>
      <c r="AB5" s="12">
        <f t="shared" si="0"/>
        <v>7</v>
      </c>
      <c r="AC5" s="12"/>
      <c r="AD5" s="12"/>
      <c r="AE5" s="12"/>
      <c r="AF5" s="12"/>
      <c r="AG5" s="12"/>
    </row>
    <row r="6" spans="1:35" ht="14.25" customHeight="1" x14ac:dyDescent="0.2">
      <c r="F6" s="2"/>
      <c r="S6" s="2" t="s">
        <v>15</v>
      </c>
      <c r="T6" s="2" t="s">
        <v>15</v>
      </c>
      <c r="U6" s="2" t="s">
        <v>15</v>
      </c>
      <c r="V6" s="2" t="s">
        <v>15</v>
      </c>
      <c r="W6" s="2" t="s">
        <v>15</v>
      </c>
      <c r="X6" s="2" t="s">
        <v>15</v>
      </c>
      <c r="Y6" s="2" t="s">
        <v>15</v>
      </c>
      <c r="Z6" s="2" t="s">
        <v>15</v>
      </c>
      <c r="AA6" s="2" t="s">
        <v>15</v>
      </c>
      <c r="AB6" s="2" t="s">
        <v>15</v>
      </c>
      <c r="AD6" s="2">
        <f t="shared" ref="AD6:AI6" si="1">SUM(AD8:AD1878)</f>
        <v>46</v>
      </c>
      <c r="AE6" s="2">
        <f t="shared" si="1"/>
        <v>62</v>
      </c>
      <c r="AF6" s="2">
        <f t="shared" si="1"/>
        <v>33</v>
      </c>
      <c r="AG6" s="2">
        <f t="shared" si="1"/>
        <v>45</v>
      </c>
      <c r="AH6" s="2">
        <f t="shared" si="1"/>
        <v>45</v>
      </c>
      <c r="AI6" s="2">
        <f t="shared" si="1"/>
        <v>138</v>
      </c>
    </row>
    <row r="7" spans="1:35" s="27" customFormat="1" ht="14.25" customHeight="1" x14ac:dyDescent="0.25">
      <c r="A7" s="37" t="s">
        <v>707</v>
      </c>
      <c r="B7" s="37" t="s">
        <v>704</v>
      </c>
      <c r="C7" s="37" t="s">
        <v>705</v>
      </c>
      <c r="D7" s="38" t="s">
        <v>13</v>
      </c>
      <c r="E7" s="38" t="s">
        <v>25</v>
      </c>
      <c r="F7" s="38" t="s">
        <v>14</v>
      </c>
      <c r="G7" s="38" t="s">
        <v>20</v>
      </c>
      <c r="H7" s="38" t="s">
        <v>45</v>
      </c>
      <c r="I7" s="37" t="s">
        <v>11</v>
      </c>
      <c r="J7" s="37" t="s">
        <v>42</v>
      </c>
      <c r="K7" s="37" t="s">
        <v>863</v>
      </c>
      <c r="L7" s="37" t="s">
        <v>19</v>
      </c>
      <c r="M7" s="38" t="s">
        <v>706</v>
      </c>
      <c r="N7" s="39" t="s">
        <v>0</v>
      </c>
      <c r="O7" s="38" t="s">
        <v>1</v>
      </c>
      <c r="P7" s="38" t="s">
        <v>2</v>
      </c>
      <c r="Q7" s="38" t="s">
        <v>958</v>
      </c>
      <c r="R7" s="26"/>
      <c r="S7" s="26">
        <v>1</v>
      </c>
      <c r="T7" s="26">
        <f>+S7+1</f>
        <v>2</v>
      </c>
      <c r="U7" s="26">
        <f t="shared" ref="U7:AB7" si="2">+T7+1</f>
        <v>3</v>
      </c>
      <c r="V7" s="26">
        <f t="shared" si="2"/>
        <v>4</v>
      </c>
      <c r="W7" s="26">
        <f t="shared" si="2"/>
        <v>5</v>
      </c>
      <c r="X7" s="26">
        <f t="shared" si="2"/>
        <v>6</v>
      </c>
      <c r="Y7" s="26">
        <f t="shared" si="2"/>
        <v>7</v>
      </c>
      <c r="Z7" s="26">
        <f t="shared" si="2"/>
        <v>8</v>
      </c>
      <c r="AA7" s="26">
        <f t="shared" si="2"/>
        <v>9</v>
      </c>
      <c r="AB7" s="26">
        <f t="shared" si="2"/>
        <v>10</v>
      </c>
      <c r="AC7" s="26"/>
      <c r="AD7" s="26" t="s">
        <v>23</v>
      </c>
      <c r="AE7" s="26" t="s">
        <v>24</v>
      </c>
      <c r="AF7" s="26" t="s">
        <v>4</v>
      </c>
      <c r="AG7" s="26" t="s">
        <v>5</v>
      </c>
      <c r="AH7" s="26" t="s">
        <v>6</v>
      </c>
      <c r="AI7" s="26" t="s">
        <v>7</v>
      </c>
    </row>
    <row r="8" spans="1:35" ht="14.25" customHeight="1" x14ac:dyDescent="0.25">
      <c r="A8" s="34">
        <v>0</v>
      </c>
      <c r="B8" s="34">
        <v>1</v>
      </c>
      <c r="C8" s="34">
        <v>1</v>
      </c>
      <c r="D8" s="35" t="s">
        <v>453</v>
      </c>
      <c r="E8" s="35" t="s">
        <v>260</v>
      </c>
      <c r="F8" s="35" t="s">
        <v>472</v>
      </c>
      <c r="G8" s="35" t="s">
        <v>96</v>
      </c>
      <c r="H8" s="35" t="s">
        <v>165</v>
      </c>
      <c r="I8" s="34" t="s">
        <v>454</v>
      </c>
      <c r="J8" s="34">
        <v>3</v>
      </c>
      <c r="K8" s="34" t="s">
        <v>323</v>
      </c>
      <c r="L8" s="34">
        <v>205</v>
      </c>
      <c r="M8" s="35" t="s">
        <v>878</v>
      </c>
      <c r="N8" s="35" t="s">
        <v>899</v>
      </c>
      <c r="O8" s="36"/>
      <c r="P8" s="36"/>
      <c r="Q8" s="35"/>
      <c r="S8" s="2">
        <f>IF(J8=$S$7,1,0)</f>
        <v>0</v>
      </c>
      <c r="T8" s="2">
        <f>IF(J8=$T$7,1,0)</f>
        <v>0</v>
      </c>
      <c r="U8" s="2">
        <f>IF(J8=$U$7,1,0)</f>
        <v>1</v>
      </c>
      <c r="V8" s="2">
        <f>IF(J8=$V$7,1,0)</f>
        <v>0</v>
      </c>
      <c r="W8" s="2">
        <f>IF(J8=$W$7,1,0)</f>
        <v>0</v>
      </c>
      <c r="X8" s="2">
        <f>IF(J8=$X$7,1,0)</f>
        <v>0</v>
      </c>
      <c r="Y8" s="2">
        <f>IF(J8=$Y$7,1,0)</f>
        <v>0</v>
      </c>
      <c r="Z8" s="2">
        <f>IF(J8=$Z$7,1,0)</f>
        <v>0</v>
      </c>
      <c r="AA8" s="2">
        <f>IF(J8=$AA$7,1,0)</f>
        <v>0</v>
      </c>
      <c r="AB8" s="2">
        <f>IF(J8=$AB$7,1,0)</f>
        <v>0</v>
      </c>
      <c r="AD8" s="2">
        <f>+O8*P8</f>
        <v>0</v>
      </c>
      <c r="AE8" s="2">
        <f>O8*(1-P8)</f>
        <v>0</v>
      </c>
      <c r="AF8" s="2">
        <f t="shared" ref="AF8:AF71" si="3">+O8*P8*(1-A8)</f>
        <v>0</v>
      </c>
      <c r="AG8" s="2">
        <f t="shared" ref="AG8:AG71" si="4">O8*(1-P8)*(1-A8)</f>
        <v>0</v>
      </c>
      <c r="AH8" s="2">
        <f t="shared" ref="AH8:AH71" si="5">+P8*(1-A8)</f>
        <v>0</v>
      </c>
      <c r="AI8" s="2">
        <f t="shared" ref="AI8:AI71" si="6">+(1-A8)*(1-P8)</f>
        <v>1</v>
      </c>
    </row>
    <row r="9" spans="1:35" ht="14.25" customHeight="1" x14ac:dyDescent="0.25">
      <c r="A9" s="31">
        <v>0</v>
      </c>
      <c r="B9" s="31">
        <v>1</v>
      </c>
      <c r="C9" s="31">
        <v>1</v>
      </c>
      <c r="D9" s="32" t="s">
        <v>659</v>
      </c>
      <c r="E9" s="32" t="s">
        <v>260</v>
      </c>
      <c r="F9" s="32" t="s">
        <v>660</v>
      </c>
      <c r="G9" s="32" t="s">
        <v>93</v>
      </c>
      <c r="H9" s="32" t="s">
        <v>165</v>
      </c>
      <c r="I9" s="31" t="s">
        <v>661</v>
      </c>
      <c r="J9" s="31">
        <v>8</v>
      </c>
      <c r="K9" s="31" t="s">
        <v>328</v>
      </c>
      <c r="L9" s="31" t="s">
        <v>40</v>
      </c>
      <c r="M9" s="32" t="s">
        <v>40</v>
      </c>
      <c r="N9" s="32" t="s">
        <v>895</v>
      </c>
      <c r="O9" s="33">
        <v>1</v>
      </c>
      <c r="P9" s="33">
        <v>1</v>
      </c>
      <c r="Q9" s="32"/>
      <c r="S9" s="2">
        <f>IF(J9=$S$7,1,0)</f>
        <v>0</v>
      </c>
      <c r="T9" s="2">
        <f>IF(J9=$T$7,1,0)</f>
        <v>0</v>
      </c>
      <c r="U9" s="2">
        <f>IF(J9=$U$7,1,0)</f>
        <v>0</v>
      </c>
      <c r="V9" s="2">
        <f>IF(J9=$V$7,1,0)</f>
        <v>0</v>
      </c>
      <c r="W9" s="2">
        <f>IF(J9=$W$7,1,0)</f>
        <v>0</v>
      </c>
      <c r="X9" s="2">
        <f>IF(J9=$X$7,1,0)</f>
        <v>0</v>
      </c>
      <c r="Y9" s="2">
        <f>IF(J9=$Y$7,1,0)</f>
        <v>0</v>
      </c>
      <c r="Z9" s="2">
        <f>IF(J9=$Z$7,1,0)</f>
        <v>1</v>
      </c>
      <c r="AA9" s="2">
        <f>IF(J9=$AA$7,1,0)</f>
        <v>0</v>
      </c>
      <c r="AB9" s="2">
        <f>IF(J9=$AB$7,1,0)</f>
        <v>0</v>
      </c>
      <c r="AD9" s="2">
        <f>+O9*P9</f>
        <v>1</v>
      </c>
      <c r="AE9" s="2">
        <f>O9*(1-P9)</f>
        <v>0</v>
      </c>
      <c r="AF9" s="2">
        <f t="shared" si="3"/>
        <v>1</v>
      </c>
      <c r="AG9" s="2">
        <f t="shared" si="4"/>
        <v>0</v>
      </c>
      <c r="AH9" s="2">
        <f t="shared" si="5"/>
        <v>1</v>
      </c>
      <c r="AI9" s="2">
        <f t="shared" si="6"/>
        <v>0</v>
      </c>
    </row>
    <row r="10" spans="1:35" ht="14.25" customHeight="1" x14ac:dyDescent="0.25">
      <c r="A10" s="28">
        <v>0</v>
      </c>
      <c r="B10" s="28">
        <v>1</v>
      </c>
      <c r="C10" s="28">
        <v>1</v>
      </c>
      <c r="D10" s="29" t="s">
        <v>250</v>
      </c>
      <c r="E10" s="29" t="s">
        <v>260</v>
      </c>
      <c r="F10" s="29" t="s">
        <v>207</v>
      </c>
      <c r="G10" s="29" t="s">
        <v>313</v>
      </c>
      <c r="H10" s="29" t="s">
        <v>165</v>
      </c>
      <c r="I10" s="28" t="s">
        <v>208</v>
      </c>
      <c r="J10" s="28">
        <v>6</v>
      </c>
      <c r="K10" s="28" t="s">
        <v>327</v>
      </c>
      <c r="L10" s="28" t="s">
        <v>40</v>
      </c>
      <c r="M10" s="29" t="s">
        <v>40</v>
      </c>
      <c r="N10" s="29"/>
      <c r="O10" s="30"/>
      <c r="P10" s="30">
        <v>1</v>
      </c>
      <c r="Q10" s="29"/>
      <c r="S10" s="2">
        <f>IF(J10=$S$7,1,0)</f>
        <v>0</v>
      </c>
      <c r="T10" s="2">
        <f>IF(J10=$T$7,1,0)</f>
        <v>0</v>
      </c>
      <c r="U10" s="2">
        <f>IF(J10=$U$7,1,0)</f>
        <v>0</v>
      </c>
      <c r="V10" s="2">
        <f>IF(J10=$V$7,1,0)</f>
        <v>0</v>
      </c>
      <c r="W10" s="2">
        <f>IF(J10=$W$7,1,0)</f>
        <v>0</v>
      </c>
      <c r="X10" s="2">
        <f>IF(J10=$X$7,1,0)</f>
        <v>1</v>
      </c>
      <c r="Y10" s="2">
        <f>IF(J10=$Y$7,1,0)</f>
        <v>0</v>
      </c>
      <c r="Z10" s="2">
        <f>IF(J10=$Z$7,1,0)</f>
        <v>0</v>
      </c>
      <c r="AA10" s="2">
        <f>IF(J10=$AA$7,1,0)</f>
        <v>0</v>
      </c>
      <c r="AB10" s="2">
        <f>IF(J10=$AB$7,1,0)</f>
        <v>0</v>
      </c>
      <c r="AD10" s="2">
        <f>+O10*P10</f>
        <v>0</v>
      </c>
      <c r="AE10" s="2">
        <f>O10*(1-P10)</f>
        <v>0</v>
      </c>
      <c r="AF10" s="2">
        <f t="shared" si="3"/>
        <v>0</v>
      </c>
      <c r="AG10" s="2">
        <f t="shared" si="4"/>
        <v>0</v>
      </c>
      <c r="AH10" s="2">
        <f t="shared" si="5"/>
        <v>1</v>
      </c>
      <c r="AI10" s="2">
        <f t="shared" si="6"/>
        <v>0</v>
      </c>
    </row>
    <row r="11" spans="1:35" ht="14.25" customHeight="1" x14ac:dyDescent="0.25">
      <c r="A11" s="34">
        <v>0</v>
      </c>
      <c r="B11" s="34">
        <v>1</v>
      </c>
      <c r="C11" s="34">
        <v>1</v>
      </c>
      <c r="D11" s="35" t="s">
        <v>69</v>
      </c>
      <c r="E11" s="35" t="s">
        <v>260</v>
      </c>
      <c r="F11" s="35" t="s">
        <v>147</v>
      </c>
      <c r="G11" s="35" t="s">
        <v>103</v>
      </c>
      <c r="H11" s="35" t="s">
        <v>165</v>
      </c>
      <c r="I11" s="34" t="s">
        <v>192</v>
      </c>
      <c r="J11" s="34">
        <v>6</v>
      </c>
      <c r="K11" s="34" t="s">
        <v>323</v>
      </c>
      <c r="L11" s="34">
        <v>180</v>
      </c>
      <c r="M11" s="35" t="s">
        <v>206</v>
      </c>
      <c r="N11" s="35" t="s">
        <v>898</v>
      </c>
      <c r="O11" s="36"/>
      <c r="P11" s="36"/>
      <c r="Q11" s="35"/>
      <c r="S11" s="2">
        <f>IF(J11=$S$7,1,0)</f>
        <v>0</v>
      </c>
      <c r="T11" s="2">
        <f>IF(J11=$T$7,1,0)</f>
        <v>0</v>
      </c>
      <c r="U11" s="2">
        <f>IF(J11=$U$7,1,0)</f>
        <v>0</v>
      </c>
      <c r="V11" s="2">
        <f>IF(J11=$V$7,1,0)</f>
        <v>0</v>
      </c>
      <c r="W11" s="2">
        <f>IF(J11=$W$7,1,0)</f>
        <v>0</v>
      </c>
      <c r="X11" s="2">
        <f>IF(J11=$X$7,1,0)</f>
        <v>1</v>
      </c>
      <c r="Y11" s="2">
        <f>IF(J11=$Y$7,1,0)</f>
        <v>0</v>
      </c>
      <c r="Z11" s="2">
        <f>IF(J11=$Z$7,1,0)</f>
        <v>0</v>
      </c>
      <c r="AA11" s="2">
        <f>IF(J11=$AA$7,1,0)</f>
        <v>0</v>
      </c>
      <c r="AB11" s="2">
        <f>IF(J11=$AB$7,1,0)</f>
        <v>0</v>
      </c>
      <c r="AD11" s="2">
        <f>+O11*P11</f>
        <v>0</v>
      </c>
      <c r="AE11" s="2">
        <f>O11*(1-P11)</f>
        <v>0</v>
      </c>
      <c r="AF11" s="2">
        <f t="shared" si="3"/>
        <v>0</v>
      </c>
      <c r="AG11" s="2">
        <f t="shared" si="4"/>
        <v>0</v>
      </c>
      <c r="AH11" s="2">
        <f t="shared" si="5"/>
        <v>0</v>
      </c>
      <c r="AI11" s="2">
        <f t="shared" si="6"/>
        <v>1</v>
      </c>
    </row>
    <row r="12" spans="1:35" ht="14.25" customHeight="1" x14ac:dyDescent="0.25">
      <c r="A12" s="34">
        <v>0</v>
      </c>
      <c r="B12" s="34">
        <v>1</v>
      </c>
      <c r="C12" s="34">
        <v>1</v>
      </c>
      <c r="D12" s="35" t="s">
        <v>766</v>
      </c>
      <c r="E12" s="35" t="s">
        <v>260</v>
      </c>
      <c r="F12" s="35" t="s">
        <v>517</v>
      </c>
      <c r="G12" s="35" t="s">
        <v>587</v>
      </c>
      <c r="H12" s="35" t="s">
        <v>165</v>
      </c>
      <c r="I12" s="34" t="s">
        <v>518</v>
      </c>
      <c r="J12" s="34">
        <v>1</v>
      </c>
      <c r="K12" s="34" t="s">
        <v>378</v>
      </c>
      <c r="L12" s="34">
        <v>160</v>
      </c>
      <c r="M12" s="35" t="s">
        <v>879</v>
      </c>
      <c r="N12" s="35" t="s">
        <v>899</v>
      </c>
      <c r="O12" s="36"/>
      <c r="P12" s="36"/>
      <c r="Q12" s="35"/>
      <c r="S12" s="2">
        <f t="shared" ref="S12:S16" si="7">IF(J12=$S$7,1,0)</f>
        <v>1</v>
      </c>
      <c r="T12" s="2">
        <f t="shared" ref="T12:T16" si="8">IF(J12=$T$7,1,0)</f>
        <v>0</v>
      </c>
      <c r="U12" s="2">
        <f t="shared" ref="U12:U16" si="9">IF(J12=$U$7,1,0)</f>
        <v>0</v>
      </c>
      <c r="V12" s="2">
        <f t="shared" ref="V12:V16" si="10">IF(J12=$V$7,1,0)</f>
        <v>0</v>
      </c>
      <c r="W12" s="2">
        <f t="shared" ref="W12:W16" si="11">IF(J12=$W$7,1,0)</f>
        <v>0</v>
      </c>
      <c r="X12" s="2">
        <f t="shared" ref="X12:X16" si="12">IF(J12=$X$7,1,0)</f>
        <v>0</v>
      </c>
      <c r="Y12" s="2">
        <f t="shared" ref="Y12:Y16" si="13">IF(J12=$Y$7,1,0)</f>
        <v>0</v>
      </c>
      <c r="Z12" s="2">
        <f t="shared" ref="Z12:Z16" si="14">IF(J12=$Z$7,1,0)</f>
        <v>0</v>
      </c>
      <c r="AA12" s="2">
        <f t="shared" ref="AA12:AA16" si="15">IF(J12=$AA$7,1,0)</f>
        <v>0</v>
      </c>
      <c r="AB12" s="2">
        <f t="shared" ref="AB12:AB16" si="16">IF(J12=$AB$7,1,0)</f>
        <v>0</v>
      </c>
      <c r="AD12" s="2">
        <f t="shared" ref="AD12:AD16" si="17">+O12*P12</f>
        <v>0</v>
      </c>
      <c r="AE12" s="2">
        <f t="shared" ref="AE12:AE16" si="18">O12*(1-P12)</f>
        <v>0</v>
      </c>
      <c r="AF12" s="2">
        <f t="shared" si="3"/>
        <v>0</v>
      </c>
      <c r="AG12" s="2">
        <f t="shared" si="4"/>
        <v>0</v>
      </c>
      <c r="AH12" s="2">
        <f t="shared" si="5"/>
        <v>0</v>
      </c>
      <c r="AI12" s="2">
        <f t="shared" si="6"/>
        <v>1</v>
      </c>
    </row>
    <row r="13" spans="1:35" ht="14.25" customHeight="1" x14ac:dyDescent="0.25">
      <c r="A13" s="34">
        <v>0</v>
      </c>
      <c r="B13" s="34">
        <v>1</v>
      </c>
      <c r="C13" s="34">
        <v>1</v>
      </c>
      <c r="D13" s="35" t="s">
        <v>812</v>
      </c>
      <c r="E13" s="35" t="s">
        <v>260</v>
      </c>
      <c r="F13" s="35" t="s">
        <v>115</v>
      </c>
      <c r="G13" s="35" t="s">
        <v>116</v>
      </c>
      <c r="H13" s="35" t="s">
        <v>165</v>
      </c>
      <c r="I13" s="34" t="s">
        <v>177</v>
      </c>
      <c r="J13" s="34">
        <v>99</v>
      </c>
      <c r="K13" s="34" t="s">
        <v>327</v>
      </c>
      <c r="L13" s="34">
        <v>210</v>
      </c>
      <c r="M13" s="35" t="s">
        <v>880</v>
      </c>
      <c r="N13" s="35" t="s">
        <v>896</v>
      </c>
      <c r="O13" s="36"/>
      <c r="P13" s="36"/>
      <c r="Q13" s="35"/>
      <c r="S13" s="2">
        <f t="shared" si="7"/>
        <v>0</v>
      </c>
      <c r="T13" s="2">
        <f t="shared" si="8"/>
        <v>0</v>
      </c>
      <c r="U13" s="2">
        <f t="shared" si="9"/>
        <v>0</v>
      </c>
      <c r="V13" s="2">
        <f t="shared" si="10"/>
        <v>0</v>
      </c>
      <c r="W13" s="2">
        <f t="shared" si="11"/>
        <v>0</v>
      </c>
      <c r="X13" s="2">
        <f t="shared" si="12"/>
        <v>0</v>
      </c>
      <c r="Y13" s="2">
        <f t="shared" si="13"/>
        <v>0</v>
      </c>
      <c r="Z13" s="2">
        <f t="shared" si="14"/>
        <v>0</v>
      </c>
      <c r="AA13" s="2">
        <f t="shared" si="15"/>
        <v>0</v>
      </c>
      <c r="AB13" s="2">
        <f t="shared" si="16"/>
        <v>0</v>
      </c>
      <c r="AD13" s="2">
        <f t="shared" si="17"/>
        <v>0</v>
      </c>
      <c r="AE13" s="2">
        <f t="shared" si="18"/>
        <v>0</v>
      </c>
      <c r="AF13" s="2">
        <f t="shared" si="3"/>
        <v>0</v>
      </c>
      <c r="AG13" s="2">
        <f t="shared" si="4"/>
        <v>0</v>
      </c>
      <c r="AH13" s="2">
        <f t="shared" si="5"/>
        <v>0</v>
      </c>
      <c r="AI13" s="2">
        <f t="shared" si="6"/>
        <v>1</v>
      </c>
    </row>
    <row r="14" spans="1:35" ht="14.25" customHeight="1" x14ac:dyDescent="0.25">
      <c r="A14" s="31">
        <v>0</v>
      </c>
      <c r="B14" s="31">
        <v>1</v>
      </c>
      <c r="C14" s="31">
        <v>1</v>
      </c>
      <c r="D14" s="32" t="s">
        <v>51</v>
      </c>
      <c r="E14" s="32" t="s">
        <v>574</v>
      </c>
      <c r="F14" s="32" t="s">
        <v>104</v>
      </c>
      <c r="G14" s="32" t="s">
        <v>96</v>
      </c>
      <c r="H14" s="32" t="s">
        <v>165</v>
      </c>
      <c r="I14" s="31" t="s">
        <v>171</v>
      </c>
      <c r="J14" s="31">
        <v>3</v>
      </c>
      <c r="K14" s="31" t="s">
        <v>328</v>
      </c>
      <c r="L14" s="31" t="s">
        <v>40</v>
      </c>
      <c r="M14" s="32" t="s">
        <v>40</v>
      </c>
      <c r="N14" s="32" t="s">
        <v>895</v>
      </c>
      <c r="O14" s="33">
        <v>1</v>
      </c>
      <c r="P14" s="33">
        <v>1</v>
      </c>
      <c r="Q14" s="32"/>
      <c r="S14" s="2">
        <f t="shared" si="7"/>
        <v>0</v>
      </c>
      <c r="T14" s="2">
        <f t="shared" si="8"/>
        <v>0</v>
      </c>
      <c r="U14" s="2">
        <f t="shared" si="9"/>
        <v>1</v>
      </c>
      <c r="V14" s="2">
        <f t="shared" si="10"/>
        <v>0</v>
      </c>
      <c r="W14" s="2">
        <f t="shared" si="11"/>
        <v>0</v>
      </c>
      <c r="X14" s="2">
        <f t="shared" si="12"/>
        <v>0</v>
      </c>
      <c r="Y14" s="2">
        <f t="shared" si="13"/>
        <v>0</v>
      </c>
      <c r="Z14" s="2">
        <f t="shared" si="14"/>
        <v>0</v>
      </c>
      <c r="AA14" s="2">
        <f t="shared" si="15"/>
        <v>0</v>
      </c>
      <c r="AB14" s="2">
        <f t="shared" si="16"/>
        <v>0</v>
      </c>
      <c r="AD14" s="2">
        <f t="shared" si="17"/>
        <v>1</v>
      </c>
      <c r="AE14" s="2">
        <f t="shared" si="18"/>
        <v>0</v>
      </c>
      <c r="AF14" s="2">
        <f t="shared" si="3"/>
        <v>1</v>
      </c>
      <c r="AG14" s="2">
        <f t="shared" si="4"/>
        <v>0</v>
      </c>
      <c r="AH14" s="2">
        <f t="shared" si="5"/>
        <v>1</v>
      </c>
      <c r="AI14" s="2">
        <f t="shared" si="6"/>
        <v>0</v>
      </c>
    </row>
    <row r="15" spans="1:35" ht="14.25" customHeight="1" x14ac:dyDescent="0.25">
      <c r="A15" s="34">
        <v>0</v>
      </c>
      <c r="B15" s="34">
        <v>1</v>
      </c>
      <c r="C15" s="34">
        <v>1</v>
      </c>
      <c r="D15" s="35" t="s">
        <v>64</v>
      </c>
      <c r="E15" s="35" t="s">
        <v>262</v>
      </c>
      <c r="F15" s="35" t="s">
        <v>139</v>
      </c>
      <c r="G15" s="35" t="s">
        <v>140</v>
      </c>
      <c r="H15" s="35" t="s">
        <v>165</v>
      </c>
      <c r="I15" s="34" t="s">
        <v>185</v>
      </c>
      <c r="J15" s="34">
        <v>99</v>
      </c>
      <c r="K15" s="34" t="s">
        <v>325</v>
      </c>
      <c r="L15" s="34" t="s">
        <v>861</v>
      </c>
      <c r="M15" s="35" t="s">
        <v>738</v>
      </c>
      <c r="N15" s="35" t="s">
        <v>930</v>
      </c>
      <c r="O15" s="36"/>
      <c r="P15" s="36"/>
      <c r="Q15" s="35"/>
      <c r="S15" s="2">
        <f t="shared" si="7"/>
        <v>0</v>
      </c>
      <c r="T15" s="2">
        <f t="shared" si="8"/>
        <v>0</v>
      </c>
      <c r="U15" s="2">
        <f t="shared" si="9"/>
        <v>0</v>
      </c>
      <c r="V15" s="2">
        <f t="shared" si="10"/>
        <v>0</v>
      </c>
      <c r="W15" s="2">
        <f t="shared" si="11"/>
        <v>0</v>
      </c>
      <c r="X15" s="2">
        <f t="shared" si="12"/>
        <v>0</v>
      </c>
      <c r="Y15" s="2">
        <f t="shared" si="13"/>
        <v>0</v>
      </c>
      <c r="Z15" s="2">
        <f t="shared" si="14"/>
        <v>0</v>
      </c>
      <c r="AA15" s="2">
        <f t="shared" si="15"/>
        <v>0</v>
      </c>
      <c r="AB15" s="2">
        <f t="shared" si="16"/>
        <v>0</v>
      </c>
      <c r="AD15" s="2">
        <f t="shared" si="17"/>
        <v>0</v>
      </c>
      <c r="AE15" s="2">
        <f t="shared" si="18"/>
        <v>0</v>
      </c>
      <c r="AF15" s="2">
        <f t="shared" si="3"/>
        <v>0</v>
      </c>
      <c r="AG15" s="2">
        <f t="shared" si="4"/>
        <v>0</v>
      </c>
      <c r="AH15" s="2">
        <f t="shared" si="5"/>
        <v>0</v>
      </c>
      <c r="AI15" s="2">
        <f t="shared" si="6"/>
        <v>1</v>
      </c>
    </row>
    <row r="16" spans="1:35" ht="14.25" customHeight="1" x14ac:dyDescent="0.25">
      <c r="A16" s="20">
        <v>0</v>
      </c>
      <c r="B16" s="20">
        <v>1</v>
      </c>
      <c r="C16" s="20">
        <v>1</v>
      </c>
      <c r="D16" s="21" t="s">
        <v>277</v>
      </c>
      <c r="E16" s="21" t="s">
        <v>260</v>
      </c>
      <c r="F16" s="21" t="s">
        <v>278</v>
      </c>
      <c r="G16" s="21" t="s">
        <v>584</v>
      </c>
      <c r="H16" s="21" t="s">
        <v>165</v>
      </c>
      <c r="I16" s="20" t="s">
        <v>279</v>
      </c>
      <c r="J16" s="20">
        <v>99</v>
      </c>
      <c r="K16" s="20" t="s">
        <v>328</v>
      </c>
      <c r="L16" s="20" t="s">
        <v>859</v>
      </c>
      <c r="M16" s="21" t="s">
        <v>739</v>
      </c>
      <c r="N16" s="21"/>
      <c r="O16" s="7"/>
      <c r="P16" s="7"/>
      <c r="Q16" s="21"/>
      <c r="S16" s="2">
        <f t="shared" si="7"/>
        <v>0</v>
      </c>
      <c r="T16" s="2">
        <f t="shared" si="8"/>
        <v>0</v>
      </c>
      <c r="U16" s="2">
        <f t="shared" si="9"/>
        <v>0</v>
      </c>
      <c r="V16" s="2">
        <f t="shared" si="10"/>
        <v>0</v>
      </c>
      <c r="W16" s="2">
        <f t="shared" si="11"/>
        <v>0</v>
      </c>
      <c r="X16" s="2">
        <f t="shared" si="12"/>
        <v>0</v>
      </c>
      <c r="Y16" s="2">
        <f t="shared" si="13"/>
        <v>0</v>
      </c>
      <c r="Z16" s="2">
        <f t="shared" si="14"/>
        <v>0</v>
      </c>
      <c r="AA16" s="2">
        <f t="shared" si="15"/>
        <v>0</v>
      </c>
      <c r="AB16" s="2">
        <f t="shared" si="16"/>
        <v>0</v>
      </c>
      <c r="AD16" s="2">
        <f t="shared" si="17"/>
        <v>0</v>
      </c>
      <c r="AE16" s="2">
        <f t="shared" si="18"/>
        <v>0</v>
      </c>
      <c r="AF16" s="2">
        <f t="shared" si="3"/>
        <v>0</v>
      </c>
      <c r="AG16" s="2">
        <f t="shared" si="4"/>
        <v>0</v>
      </c>
      <c r="AH16" s="2">
        <f t="shared" si="5"/>
        <v>0</v>
      </c>
      <c r="AI16" s="2">
        <f t="shared" si="6"/>
        <v>1</v>
      </c>
    </row>
    <row r="17" spans="1:35" ht="14.25" customHeight="1" x14ac:dyDescent="0.25">
      <c r="A17" s="34">
        <v>0</v>
      </c>
      <c r="B17" s="34">
        <v>1</v>
      </c>
      <c r="C17" s="34">
        <v>1</v>
      </c>
      <c r="D17" s="35" t="s">
        <v>379</v>
      </c>
      <c r="E17" s="35" t="s">
        <v>260</v>
      </c>
      <c r="F17" s="35" t="s">
        <v>380</v>
      </c>
      <c r="G17" s="35" t="s">
        <v>381</v>
      </c>
      <c r="H17" s="35" t="s">
        <v>382</v>
      </c>
      <c r="I17" s="34" t="s">
        <v>383</v>
      </c>
      <c r="J17" s="34">
        <v>99</v>
      </c>
      <c r="K17" s="34" t="s">
        <v>378</v>
      </c>
      <c r="L17" s="34">
        <v>170</v>
      </c>
      <c r="M17" s="35" t="s">
        <v>894</v>
      </c>
      <c r="N17" s="35" t="s">
        <v>899</v>
      </c>
      <c r="O17" s="36"/>
      <c r="P17" s="36"/>
      <c r="Q17" s="35"/>
      <c r="S17" s="2">
        <f t="shared" ref="S17:S80" si="19">IF(J17=$S$7,1,0)</f>
        <v>0</v>
      </c>
      <c r="T17" s="2">
        <f t="shared" ref="T17:T80" si="20">IF(J17=$T$7,1,0)</f>
        <v>0</v>
      </c>
      <c r="U17" s="2">
        <f t="shared" ref="U17:U80" si="21">IF(J17=$U$7,1,0)</f>
        <v>0</v>
      </c>
      <c r="V17" s="2">
        <f t="shared" ref="V17:V80" si="22">IF(J17=$V$7,1,0)</f>
        <v>0</v>
      </c>
      <c r="W17" s="2">
        <f t="shared" ref="W17:W80" si="23">IF(J17=$W$7,1,0)</f>
        <v>0</v>
      </c>
      <c r="X17" s="2">
        <f t="shared" ref="X17:X80" si="24">IF(J17=$X$7,1,0)</f>
        <v>0</v>
      </c>
      <c r="Y17" s="2">
        <f t="shared" ref="Y17:Y80" si="25">IF(J17=$Y$7,1,0)</f>
        <v>0</v>
      </c>
      <c r="Z17" s="2">
        <f t="shared" ref="Z17:Z80" si="26">IF(J17=$Z$7,1,0)</f>
        <v>0</v>
      </c>
      <c r="AA17" s="2">
        <f t="shared" ref="AA17:AA80" si="27">IF(J17=$AA$7,1,0)</f>
        <v>0</v>
      </c>
      <c r="AB17" s="2">
        <f t="shared" ref="AB17:AB80" si="28">IF(J17=$AB$7,1,0)</f>
        <v>0</v>
      </c>
      <c r="AD17" s="2">
        <f t="shared" ref="AD17:AD80" si="29">+O17*P17</f>
        <v>0</v>
      </c>
      <c r="AE17" s="2">
        <f t="shared" ref="AE17:AE80" si="30">O17*(1-P17)</f>
        <v>0</v>
      </c>
      <c r="AF17" s="2">
        <f t="shared" si="3"/>
        <v>0</v>
      </c>
      <c r="AG17" s="2">
        <f t="shared" si="4"/>
        <v>0</v>
      </c>
      <c r="AH17" s="2">
        <f t="shared" si="5"/>
        <v>0</v>
      </c>
      <c r="AI17" s="2">
        <f t="shared" si="6"/>
        <v>1</v>
      </c>
    </row>
    <row r="18" spans="1:35" ht="14.25" customHeight="1" x14ac:dyDescent="0.25">
      <c r="A18" s="31">
        <v>0</v>
      </c>
      <c r="B18" s="31">
        <v>1</v>
      </c>
      <c r="C18" s="31">
        <v>1</v>
      </c>
      <c r="D18" s="32" t="s">
        <v>306</v>
      </c>
      <c r="E18" s="32" t="s">
        <v>260</v>
      </c>
      <c r="F18" s="32" t="s">
        <v>314</v>
      </c>
      <c r="G18" s="32" t="s">
        <v>94</v>
      </c>
      <c r="H18" s="32" t="s">
        <v>165</v>
      </c>
      <c r="I18" s="31" t="s">
        <v>276</v>
      </c>
      <c r="J18" s="31">
        <v>1</v>
      </c>
      <c r="K18" s="31" t="s">
        <v>377</v>
      </c>
      <c r="L18" s="31" t="s">
        <v>40</v>
      </c>
      <c r="M18" s="32" t="s">
        <v>40</v>
      </c>
      <c r="N18" s="32" t="s">
        <v>895</v>
      </c>
      <c r="O18" s="33">
        <v>1</v>
      </c>
      <c r="P18" s="33">
        <v>1</v>
      </c>
      <c r="Q18" s="32"/>
      <c r="S18" s="2">
        <f t="shared" si="19"/>
        <v>1</v>
      </c>
      <c r="T18" s="2">
        <f t="shared" si="20"/>
        <v>0</v>
      </c>
      <c r="U18" s="2">
        <f t="shared" si="21"/>
        <v>0</v>
      </c>
      <c r="V18" s="2">
        <f t="shared" si="22"/>
        <v>0</v>
      </c>
      <c r="W18" s="2">
        <f t="shared" si="23"/>
        <v>0</v>
      </c>
      <c r="X18" s="2">
        <f t="shared" si="24"/>
        <v>0</v>
      </c>
      <c r="Y18" s="2">
        <f t="shared" si="25"/>
        <v>0</v>
      </c>
      <c r="Z18" s="2">
        <f t="shared" si="26"/>
        <v>0</v>
      </c>
      <c r="AA18" s="2">
        <f t="shared" si="27"/>
        <v>0</v>
      </c>
      <c r="AB18" s="2">
        <f t="shared" si="28"/>
        <v>0</v>
      </c>
      <c r="AD18" s="2">
        <f t="shared" si="29"/>
        <v>1</v>
      </c>
      <c r="AE18" s="2">
        <f t="shared" si="30"/>
        <v>0</v>
      </c>
      <c r="AF18" s="2">
        <f t="shared" si="3"/>
        <v>1</v>
      </c>
      <c r="AG18" s="2">
        <f t="shared" si="4"/>
        <v>0</v>
      </c>
      <c r="AH18" s="2">
        <f t="shared" si="5"/>
        <v>1</v>
      </c>
      <c r="AI18" s="2">
        <f t="shared" si="6"/>
        <v>0</v>
      </c>
    </row>
    <row r="19" spans="1:35" ht="14.25" customHeight="1" x14ac:dyDescent="0.25">
      <c r="A19" s="34">
        <v>0</v>
      </c>
      <c r="B19" s="34">
        <v>1</v>
      </c>
      <c r="C19" s="34">
        <v>1</v>
      </c>
      <c r="D19" s="35" t="s">
        <v>545</v>
      </c>
      <c r="E19" s="35" t="s">
        <v>262</v>
      </c>
      <c r="F19" s="35" t="s">
        <v>544</v>
      </c>
      <c r="G19" s="35" t="s">
        <v>565</v>
      </c>
      <c r="H19" s="35" t="s">
        <v>165</v>
      </c>
      <c r="I19" s="34" t="s">
        <v>850</v>
      </c>
      <c r="J19" s="34">
        <v>99</v>
      </c>
      <c r="K19" s="34" t="s">
        <v>328</v>
      </c>
      <c r="L19" s="34" t="s">
        <v>859</v>
      </c>
      <c r="M19" s="35" t="s">
        <v>741</v>
      </c>
      <c r="N19" s="35" t="s">
        <v>897</v>
      </c>
      <c r="O19" s="36"/>
      <c r="P19" s="36"/>
      <c r="Q19" s="35"/>
      <c r="S19" s="2">
        <f t="shared" si="19"/>
        <v>0</v>
      </c>
      <c r="T19" s="2">
        <f t="shared" si="20"/>
        <v>0</v>
      </c>
      <c r="U19" s="2">
        <f t="shared" si="21"/>
        <v>0</v>
      </c>
      <c r="V19" s="2">
        <f t="shared" si="22"/>
        <v>0</v>
      </c>
      <c r="W19" s="2">
        <f t="shared" si="23"/>
        <v>0</v>
      </c>
      <c r="X19" s="2">
        <f t="shared" si="24"/>
        <v>0</v>
      </c>
      <c r="Y19" s="2">
        <f t="shared" si="25"/>
        <v>0</v>
      </c>
      <c r="Z19" s="2">
        <f t="shared" si="26"/>
        <v>0</v>
      </c>
      <c r="AA19" s="2">
        <f t="shared" si="27"/>
        <v>0</v>
      </c>
      <c r="AB19" s="2">
        <f t="shared" si="28"/>
        <v>0</v>
      </c>
      <c r="AD19" s="2">
        <f t="shared" si="29"/>
        <v>0</v>
      </c>
      <c r="AE19" s="2">
        <f t="shared" si="30"/>
        <v>0</v>
      </c>
      <c r="AF19" s="2">
        <f t="shared" si="3"/>
        <v>0</v>
      </c>
      <c r="AG19" s="2">
        <f t="shared" si="4"/>
        <v>0</v>
      </c>
      <c r="AH19" s="2">
        <f t="shared" si="5"/>
        <v>0</v>
      </c>
      <c r="AI19" s="2">
        <f t="shared" si="6"/>
        <v>1</v>
      </c>
    </row>
    <row r="20" spans="1:35" ht="14.25" customHeight="1" x14ac:dyDescent="0.25">
      <c r="A20" s="20">
        <v>0</v>
      </c>
      <c r="B20" s="20">
        <v>1</v>
      </c>
      <c r="C20" s="20">
        <v>1</v>
      </c>
      <c r="D20" s="21" t="s">
        <v>606</v>
      </c>
      <c r="E20" s="21" t="s">
        <v>262</v>
      </c>
      <c r="F20" s="21" t="s">
        <v>607</v>
      </c>
      <c r="G20" s="21" t="s">
        <v>38</v>
      </c>
      <c r="H20" s="21" t="s">
        <v>165</v>
      </c>
      <c r="I20" s="20" t="s">
        <v>608</v>
      </c>
      <c r="J20" s="20">
        <v>1</v>
      </c>
      <c r="K20" s="20" t="s">
        <v>328</v>
      </c>
      <c r="L20" s="20" t="s">
        <v>860</v>
      </c>
      <c r="M20" s="21" t="s">
        <v>206</v>
      </c>
      <c r="N20" s="21"/>
      <c r="O20" s="7"/>
      <c r="P20" s="7"/>
      <c r="Q20" s="21"/>
      <c r="S20" s="2">
        <f t="shared" si="19"/>
        <v>1</v>
      </c>
      <c r="T20" s="2">
        <f t="shared" si="20"/>
        <v>0</v>
      </c>
      <c r="U20" s="2">
        <f t="shared" si="21"/>
        <v>0</v>
      </c>
      <c r="V20" s="2">
        <f t="shared" si="22"/>
        <v>0</v>
      </c>
      <c r="W20" s="2">
        <f t="shared" si="23"/>
        <v>0</v>
      </c>
      <c r="X20" s="2">
        <f t="shared" si="24"/>
        <v>0</v>
      </c>
      <c r="Y20" s="2">
        <f t="shared" si="25"/>
        <v>0</v>
      </c>
      <c r="Z20" s="2">
        <f t="shared" si="26"/>
        <v>0</v>
      </c>
      <c r="AA20" s="2">
        <f t="shared" si="27"/>
        <v>0</v>
      </c>
      <c r="AB20" s="2">
        <f t="shared" si="28"/>
        <v>0</v>
      </c>
      <c r="AD20" s="2">
        <f t="shared" si="29"/>
        <v>0</v>
      </c>
      <c r="AE20" s="2">
        <f t="shared" si="30"/>
        <v>0</v>
      </c>
      <c r="AF20" s="2">
        <f t="shared" si="3"/>
        <v>0</v>
      </c>
      <c r="AG20" s="2">
        <f t="shared" si="4"/>
        <v>0</v>
      </c>
      <c r="AH20" s="2">
        <f t="shared" si="5"/>
        <v>0</v>
      </c>
      <c r="AI20" s="2">
        <f t="shared" si="6"/>
        <v>1</v>
      </c>
    </row>
    <row r="21" spans="1:35" ht="14.25" customHeight="1" x14ac:dyDescent="0.25">
      <c r="A21" s="34">
        <v>0</v>
      </c>
      <c r="B21" s="34">
        <v>1</v>
      </c>
      <c r="C21" s="34">
        <v>2</v>
      </c>
      <c r="D21" s="35" t="s">
        <v>66</v>
      </c>
      <c r="E21" s="35" t="s">
        <v>262</v>
      </c>
      <c r="F21" s="35" t="s">
        <v>121</v>
      </c>
      <c r="G21" s="35" t="s">
        <v>122</v>
      </c>
      <c r="H21" s="35" t="s">
        <v>165</v>
      </c>
      <c r="I21" s="34" t="s">
        <v>187</v>
      </c>
      <c r="J21" s="34">
        <v>6</v>
      </c>
      <c r="K21" s="34" t="s">
        <v>326</v>
      </c>
      <c r="L21" s="34">
        <v>75</v>
      </c>
      <c r="M21" s="35" t="s">
        <v>904</v>
      </c>
      <c r="N21" s="35" t="s">
        <v>931</v>
      </c>
      <c r="O21" s="36"/>
      <c r="P21" s="36"/>
      <c r="Q21" s="35"/>
      <c r="S21" s="2">
        <f t="shared" si="19"/>
        <v>0</v>
      </c>
      <c r="T21" s="2">
        <f t="shared" si="20"/>
        <v>0</v>
      </c>
      <c r="U21" s="2">
        <f t="shared" si="21"/>
        <v>0</v>
      </c>
      <c r="V21" s="2">
        <f t="shared" si="22"/>
        <v>0</v>
      </c>
      <c r="W21" s="2">
        <f t="shared" si="23"/>
        <v>0</v>
      </c>
      <c r="X21" s="2">
        <f t="shared" si="24"/>
        <v>1</v>
      </c>
      <c r="Y21" s="2">
        <f t="shared" si="25"/>
        <v>0</v>
      </c>
      <c r="Z21" s="2">
        <f t="shared" si="26"/>
        <v>0</v>
      </c>
      <c r="AA21" s="2">
        <f t="shared" si="27"/>
        <v>0</v>
      </c>
      <c r="AB21" s="2">
        <f t="shared" si="28"/>
        <v>0</v>
      </c>
      <c r="AD21" s="2">
        <f t="shared" si="29"/>
        <v>0</v>
      </c>
      <c r="AE21" s="2">
        <f t="shared" si="30"/>
        <v>0</v>
      </c>
      <c r="AF21" s="2">
        <f t="shared" si="3"/>
        <v>0</v>
      </c>
      <c r="AG21" s="2">
        <f t="shared" si="4"/>
        <v>0</v>
      </c>
      <c r="AH21" s="2">
        <f t="shared" si="5"/>
        <v>0</v>
      </c>
      <c r="AI21" s="2">
        <f t="shared" si="6"/>
        <v>1</v>
      </c>
    </row>
    <row r="22" spans="1:35" ht="14.25" customHeight="1" x14ac:dyDescent="0.25">
      <c r="A22" s="34">
        <v>0</v>
      </c>
      <c r="B22" s="34">
        <v>1</v>
      </c>
      <c r="C22" s="34">
        <v>2</v>
      </c>
      <c r="D22" s="35" t="s">
        <v>460</v>
      </c>
      <c r="E22" s="35" t="s">
        <v>467</v>
      </c>
      <c r="F22" s="35" t="s">
        <v>835</v>
      </c>
      <c r="G22" s="35" t="s">
        <v>836</v>
      </c>
      <c r="H22" s="35" t="s">
        <v>165</v>
      </c>
      <c r="I22" s="34" t="s">
        <v>418</v>
      </c>
      <c r="J22" s="34">
        <v>99</v>
      </c>
      <c r="K22" s="34" t="s">
        <v>325</v>
      </c>
      <c r="L22" s="34" t="s">
        <v>346</v>
      </c>
      <c r="M22" s="35" t="s">
        <v>206</v>
      </c>
      <c r="N22" s="35" t="s">
        <v>930</v>
      </c>
      <c r="O22" s="36"/>
      <c r="P22" s="36"/>
      <c r="Q22" s="35"/>
      <c r="S22" s="2">
        <f t="shared" si="19"/>
        <v>0</v>
      </c>
      <c r="T22" s="2">
        <f t="shared" si="20"/>
        <v>0</v>
      </c>
      <c r="U22" s="2">
        <f t="shared" si="21"/>
        <v>0</v>
      </c>
      <c r="V22" s="2">
        <f t="shared" si="22"/>
        <v>0</v>
      </c>
      <c r="W22" s="2">
        <f t="shared" si="23"/>
        <v>0</v>
      </c>
      <c r="X22" s="2">
        <f t="shared" si="24"/>
        <v>0</v>
      </c>
      <c r="Y22" s="2">
        <f t="shared" si="25"/>
        <v>0</v>
      </c>
      <c r="Z22" s="2">
        <f t="shared" si="26"/>
        <v>0</v>
      </c>
      <c r="AA22" s="2">
        <f t="shared" si="27"/>
        <v>0</v>
      </c>
      <c r="AB22" s="2">
        <f t="shared" si="28"/>
        <v>0</v>
      </c>
      <c r="AD22" s="2">
        <f t="shared" si="29"/>
        <v>0</v>
      </c>
      <c r="AE22" s="2">
        <f t="shared" si="30"/>
        <v>0</v>
      </c>
      <c r="AF22" s="2">
        <f t="shared" si="3"/>
        <v>0</v>
      </c>
      <c r="AG22" s="2">
        <f t="shared" si="4"/>
        <v>0</v>
      </c>
      <c r="AH22" s="2">
        <f t="shared" si="5"/>
        <v>0</v>
      </c>
      <c r="AI22" s="2">
        <f t="shared" si="6"/>
        <v>1</v>
      </c>
    </row>
    <row r="23" spans="1:35" ht="14.25" customHeight="1" x14ac:dyDescent="0.25">
      <c r="A23" s="34">
        <v>0</v>
      </c>
      <c r="B23" s="34">
        <v>1</v>
      </c>
      <c r="C23" s="34">
        <v>2</v>
      </c>
      <c r="D23" s="35" t="s">
        <v>764</v>
      </c>
      <c r="E23" s="35" t="s">
        <v>263</v>
      </c>
      <c r="F23" s="35" t="s">
        <v>765</v>
      </c>
      <c r="G23" s="35" t="s">
        <v>458</v>
      </c>
      <c r="H23" s="35" t="s">
        <v>165</v>
      </c>
      <c r="I23" s="34" t="s">
        <v>33</v>
      </c>
      <c r="J23" s="34">
        <v>99</v>
      </c>
      <c r="K23" s="34" t="s">
        <v>698</v>
      </c>
      <c r="L23" s="34" t="s">
        <v>341</v>
      </c>
      <c r="M23" s="35" t="s">
        <v>206</v>
      </c>
      <c r="N23" s="35" t="s">
        <v>897</v>
      </c>
      <c r="O23" s="36"/>
      <c r="P23" s="36"/>
      <c r="Q23" s="35"/>
      <c r="S23" s="2">
        <f t="shared" si="19"/>
        <v>0</v>
      </c>
      <c r="T23" s="2">
        <f t="shared" si="20"/>
        <v>0</v>
      </c>
      <c r="U23" s="2">
        <f t="shared" si="21"/>
        <v>0</v>
      </c>
      <c r="V23" s="2">
        <f t="shared" si="22"/>
        <v>0</v>
      </c>
      <c r="W23" s="2">
        <f t="shared" si="23"/>
        <v>0</v>
      </c>
      <c r="X23" s="2">
        <f t="shared" si="24"/>
        <v>0</v>
      </c>
      <c r="Y23" s="2">
        <f t="shared" si="25"/>
        <v>0</v>
      </c>
      <c r="Z23" s="2">
        <f t="shared" si="26"/>
        <v>0</v>
      </c>
      <c r="AA23" s="2">
        <f t="shared" si="27"/>
        <v>0</v>
      </c>
      <c r="AB23" s="2">
        <f t="shared" si="28"/>
        <v>0</v>
      </c>
      <c r="AD23" s="2">
        <f t="shared" si="29"/>
        <v>0</v>
      </c>
      <c r="AE23" s="2">
        <f t="shared" si="30"/>
        <v>0</v>
      </c>
      <c r="AF23" s="2">
        <f t="shared" si="3"/>
        <v>0</v>
      </c>
      <c r="AG23" s="2">
        <f t="shared" si="4"/>
        <v>0</v>
      </c>
      <c r="AH23" s="2">
        <f t="shared" si="5"/>
        <v>0</v>
      </c>
      <c r="AI23" s="2">
        <f t="shared" si="6"/>
        <v>1</v>
      </c>
    </row>
    <row r="24" spans="1:35" ht="14.25" customHeight="1" x14ac:dyDescent="0.25">
      <c r="A24" s="34">
        <v>0</v>
      </c>
      <c r="B24" s="34">
        <v>1</v>
      </c>
      <c r="C24" s="34">
        <v>2</v>
      </c>
      <c r="D24" s="35" t="s">
        <v>75</v>
      </c>
      <c r="E24" s="35" t="s">
        <v>263</v>
      </c>
      <c r="F24" s="35" t="s">
        <v>156</v>
      </c>
      <c r="G24" s="35" t="s">
        <v>157</v>
      </c>
      <c r="H24" s="35" t="s">
        <v>165</v>
      </c>
      <c r="I24" s="34" t="s">
        <v>842</v>
      </c>
      <c r="J24" s="34">
        <v>99</v>
      </c>
      <c r="K24" s="34" t="s">
        <v>325</v>
      </c>
      <c r="L24" s="34">
        <v>45</v>
      </c>
      <c r="M24" s="35" t="s">
        <v>906</v>
      </c>
      <c r="N24" s="35" t="s">
        <v>931</v>
      </c>
      <c r="O24" s="36"/>
      <c r="P24" s="36"/>
      <c r="Q24" s="35"/>
      <c r="S24" s="2">
        <f t="shared" si="19"/>
        <v>0</v>
      </c>
      <c r="T24" s="2">
        <f t="shared" si="20"/>
        <v>0</v>
      </c>
      <c r="U24" s="2">
        <f t="shared" si="21"/>
        <v>0</v>
      </c>
      <c r="V24" s="2">
        <f t="shared" si="22"/>
        <v>0</v>
      </c>
      <c r="W24" s="2">
        <f t="shared" si="23"/>
        <v>0</v>
      </c>
      <c r="X24" s="2">
        <f t="shared" si="24"/>
        <v>0</v>
      </c>
      <c r="Y24" s="2">
        <f t="shared" si="25"/>
        <v>0</v>
      </c>
      <c r="Z24" s="2">
        <f t="shared" si="26"/>
        <v>0</v>
      </c>
      <c r="AA24" s="2">
        <f t="shared" si="27"/>
        <v>0</v>
      </c>
      <c r="AB24" s="2">
        <f t="shared" si="28"/>
        <v>0</v>
      </c>
      <c r="AD24" s="2">
        <f t="shared" si="29"/>
        <v>0</v>
      </c>
      <c r="AE24" s="2">
        <f t="shared" si="30"/>
        <v>0</v>
      </c>
      <c r="AF24" s="2">
        <f t="shared" si="3"/>
        <v>0</v>
      </c>
      <c r="AG24" s="2">
        <f t="shared" si="4"/>
        <v>0</v>
      </c>
      <c r="AH24" s="2">
        <f t="shared" si="5"/>
        <v>0</v>
      </c>
      <c r="AI24" s="2">
        <f t="shared" si="6"/>
        <v>1</v>
      </c>
    </row>
    <row r="25" spans="1:35" ht="14.25" customHeight="1" x14ac:dyDescent="0.25">
      <c r="A25" s="34">
        <v>0</v>
      </c>
      <c r="B25" s="34">
        <v>1</v>
      </c>
      <c r="C25" s="34">
        <v>2</v>
      </c>
      <c r="D25" s="35" t="s">
        <v>525</v>
      </c>
      <c r="E25" s="35" t="s">
        <v>263</v>
      </c>
      <c r="F25" s="35" t="s">
        <v>526</v>
      </c>
      <c r="G25" s="35" t="s">
        <v>154</v>
      </c>
      <c r="H25" s="35" t="s">
        <v>165</v>
      </c>
      <c r="I25" s="34" t="s">
        <v>527</v>
      </c>
      <c r="J25" s="34">
        <v>99</v>
      </c>
      <c r="K25" s="34" t="s">
        <v>330</v>
      </c>
      <c r="L25" s="34" t="s">
        <v>857</v>
      </c>
      <c r="M25" s="35" t="s">
        <v>740</v>
      </c>
      <c r="N25" s="35" t="s">
        <v>902</v>
      </c>
      <c r="O25" s="36"/>
      <c r="P25" s="36"/>
      <c r="Q25" s="35"/>
      <c r="S25" s="2">
        <f t="shared" si="19"/>
        <v>0</v>
      </c>
      <c r="T25" s="2">
        <f t="shared" si="20"/>
        <v>0</v>
      </c>
      <c r="U25" s="2">
        <f t="shared" si="21"/>
        <v>0</v>
      </c>
      <c r="V25" s="2">
        <f t="shared" si="22"/>
        <v>0</v>
      </c>
      <c r="W25" s="2">
        <f t="shared" si="23"/>
        <v>0</v>
      </c>
      <c r="X25" s="2">
        <f t="shared" si="24"/>
        <v>0</v>
      </c>
      <c r="Y25" s="2">
        <f t="shared" si="25"/>
        <v>0</v>
      </c>
      <c r="Z25" s="2">
        <f t="shared" si="26"/>
        <v>0</v>
      </c>
      <c r="AA25" s="2">
        <f t="shared" si="27"/>
        <v>0</v>
      </c>
      <c r="AB25" s="2">
        <f t="shared" si="28"/>
        <v>0</v>
      </c>
      <c r="AD25" s="2">
        <f t="shared" si="29"/>
        <v>0</v>
      </c>
      <c r="AE25" s="2">
        <f t="shared" si="30"/>
        <v>0</v>
      </c>
      <c r="AF25" s="2">
        <f t="shared" si="3"/>
        <v>0</v>
      </c>
      <c r="AG25" s="2">
        <f t="shared" si="4"/>
        <v>0</v>
      </c>
      <c r="AH25" s="2">
        <f t="shared" si="5"/>
        <v>0</v>
      </c>
      <c r="AI25" s="2">
        <f t="shared" si="6"/>
        <v>1</v>
      </c>
    </row>
    <row r="26" spans="1:35" ht="14.25" customHeight="1" x14ac:dyDescent="0.25">
      <c r="A26" s="20">
        <v>0</v>
      </c>
      <c r="B26" s="20">
        <v>1</v>
      </c>
      <c r="C26" s="20">
        <v>2</v>
      </c>
      <c r="D26" s="21" t="s">
        <v>406</v>
      </c>
      <c r="E26" s="21" t="s">
        <v>263</v>
      </c>
      <c r="F26" s="21" t="s">
        <v>407</v>
      </c>
      <c r="G26" s="21" t="s">
        <v>405</v>
      </c>
      <c r="H26" s="21" t="s">
        <v>165</v>
      </c>
      <c r="I26" s="20" t="s">
        <v>408</v>
      </c>
      <c r="J26" s="20">
        <v>99</v>
      </c>
      <c r="K26" s="20" t="s">
        <v>329</v>
      </c>
      <c r="L26" s="20" t="s">
        <v>857</v>
      </c>
      <c r="M26" s="21" t="s">
        <v>781</v>
      </c>
      <c r="N26" s="21"/>
      <c r="O26" s="7"/>
      <c r="P26" s="7"/>
      <c r="Q26" s="21"/>
      <c r="S26" s="2">
        <f t="shared" si="19"/>
        <v>0</v>
      </c>
      <c r="T26" s="2">
        <f t="shared" si="20"/>
        <v>0</v>
      </c>
      <c r="U26" s="2">
        <f t="shared" si="21"/>
        <v>0</v>
      </c>
      <c r="V26" s="2">
        <f t="shared" si="22"/>
        <v>0</v>
      </c>
      <c r="W26" s="2">
        <f t="shared" si="23"/>
        <v>0</v>
      </c>
      <c r="X26" s="2">
        <f t="shared" si="24"/>
        <v>0</v>
      </c>
      <c r="Y26" s="2">
        <f t="shared" si="25"/>
        <v>0</v>
      </c>
      <c r="Z26" s="2">
        <f t="shared" si="26"/>
        <v>0</v>
      </c>
      <c r="AA26" s="2">
        <f t="shared" si="27"/>
        <v>0</v>
      </c>
      <c r="AB26" s="2">
        <f t="shared" si="28"/>
        <v>0</v>
      </c>
      <c r="AD26" s="2">
        <f t="shared" si="29"/>
        <v>0</v>
      </c>
      <c r="AE26" s="2">
        <f t="shared" si="30"/>
        <v>0</v>
      </c>
      <c r="AF26" s="2">
        <f t="shared" si="3"/>
        <v>0</v>
      </c>
      <c r="AG26" s="2">
        <f t="shared" si="4"/>
        <v>0</v>
      </c>
      <c r="AH26" s="2">
        <f t="shared" si="5"/>
        <v>0</v>
      </c>
      <c r="AI26" s="2">
        <f t="shared" si="6"/>
        <v>1</v>
      </c>
    </row>
    <row r="27" spans="1:35" ht="14.25" customHeight="1" x14ac:dyDescent="0.25">
      <c r="A27" s="31">
        <v>0</v>
      </c>
      <c r="B27" s="31">
        <v>1</v>
      </c>
      <c r="C27" s="31">
        <v>2</v>
      </c>
      <c r="D27" s="32" t="s">
        <v>384</v>
      </c>
      <c r="E27" s="32" t="s">
        <v>262</v>
      </c>
      <c r="F27" s="32" t="s">
        <v>385</v>
      </c>
      <c r="G27" s="32" t="s">
        <v>588</v>
      </c>
      <c r="H27" s="32" t="s">
        <v>165</v>
      </c>
      <c r="I27" s="31" t="s">
        <v>386</v>
      </c>
      <c r="J27" s="31">
        <v>99</v>
      </c>
      <c r="K27" s="31" t="s">
        <v>378</v>
      </c>
      <c r="L27" s="31">
        <v>40</v>
      </c>
      <c r="M27" s="32" t="s">
        <v>206</v>
      </c>
      <c r="N27" s="32" t="s">
        <v>910</v>
      </c>
      <c r="O27" s="33">
        <v>1</v>
      </c>
      <c r="P27" s="33"/>
      <c r="Q27" s="32"/>
      <c r="S27" s="2">
        <f t="shared" si="19"/>
        <v>0</v>
      </c>
      <c r="T27" s="2">
        <f t="shared" si="20"/>
        <v>0</v>
      </c>
      <c r="U27" s="2">
        <f t="shared" si="21"/>
        <v>0</v>
      </c>
      <c r="V27" s="2">
        <f t="shared" si="22"/>
        <v>0</v>
      </c>
      <c r="W27" s="2">
        <f t="shared" si="23"/>
        <v>0</v>
      </c>
      <c r="X27" s="2">
        <f t="shared" si="24"/>
        <v>0</v>
      </c>
      <c r="Y27" s="2">
        <f t="shared" si="25"/>
        <v>0</v>
      </c>
      <c r="Z27" s="2">
        <f t="shared" si="26"/>
        <v>0</v>
      </c>
      <c r="AA27" s="2">
        <f t="shared" si="27"/>
        <v>0</v>
      </c>
      <c r="AB27" s="2">
        <f t="shared" si="28"/>
        <v>0</v>
      </c>
      <c r="AD27" s="2">
        <f t="shared" si="29"/>
        <v>0</v>
      </c>
      <c r="AE27" s="2">
        <f t="shared" si="30"/>
        <v>1</v>
      </c>
      <c r="AF27" s="2">
        <f t="shared" si="3"/>
        <v>0</v>
      </c>
      <c r="AG27" s="2">
        <f t="shared" si="4"/>
        <v>1</v>
      </c>
      <c r="AH27" s="2">
        <f t="shared" si="5"/>
        <v>0</v>
      </c>
      <c r="AI27" s="2">
        <f t="shared" si="6"/>
        <v>1</v>
      </c>
    </row>
    <row r="28" spans="1:35" ht="14.25" customHeight="1" x14ac:dyDescent="0.25">
      <c r="A28" s="28">
        <v>0</v>
      </c>
      <c r="B28" s="28">
        <v>1</v>
      </c>
      <c r="C28" s="28">
        <v>2</v>
      </c>
      <c r="D28" s="29" t="s">
        <v>60</v>
      </c>
      <c r="E28" s="29" t="s">
        <v>259</v>
      </c>
      <c r="F28" s="29" t="s">
        <v>128</v>
      </c>
      <c r="G28" s="29" t="s">
        <v>129</v>
      </c>
      <c r="H28" s="29" t="s">
        <v>165</v>
      </c>
      <c r="I28" s="28" t="s">
        <v>181</v>
      </c>
      <c r="J28" s="28">
        <v>99</v>
      </c>
      <c r="K28" s="28" t="s">
        <v>328</v>
      </c>
      <c r="L28" s="28" t="s">
        <v>40</v>
      </c>
      <c r="M28" s="29" t="s">
        <v>40</v>
      </c>
      <c r="N28" s="29"/>
      <c r="O28" s="30"/>
      <c r="P28" s="30">
        <v>1</v>
      </c>
      <c r="Q28" s="29"/>
      <c r="S28" s="2">
        <f t="shared" si="19"/>
        <v>0</v>
      </c>
      <c r="T28" s="2">
        <f t="shared" si="20"/>
        <v>0</v>
      </c>
      <c r="U28" s="2">
        <f t="shared" si="21"/>
        <v>0</v>
      </c>
      <c r="V28" s="2">
        <f t="shared" si="22"/>
        <v>0</v>
      </c>
      <c r="W28" s="2">
        <f t="shared" si="23"/>
        <v>0</v>
      </c>
      <c r="X28" s="2">
        <f t="shared" si="24"/>
        <v>0</v>
      </c>
      <c r="Y28" s="2">
        <f t="shared" si="25"/>
        <v>0</v>
      </c>
      <c r="Z28" s="2">
        <f t="shared" si="26"/>
        <v>0</v>
      </c>
      <c r="AA28" s="2">
        <f t="shared" si="27"/>
        <v>0</v>
      </c>
      <c r="AB28" s="2">
        <f t="shared" si="28"/>
        <v>0</v>
      </c>
      <c r="AD28" s="2">
        <f t="shared" si="29"/>
        <v>0</v>
      </c>
      <c r="AE28" s="2">
        <f t="shared" si="30"/>
        <v>0</v>
      </c>
      <c r="AF28" s="2">
        <f t="shared" si="3"/>
        <v>0</v>
      </c>
      <c r="AG28" s="2">
        <f t="shared" si="4"/>
        <v>0</v>
      </c>
      <c r="AH28" s="2">
        <f t="shared" si="5"/>
        <v>1</v>
      </c>
      <c r="AI28" s="2">
        <f t="shared" si="6"/>
        <v>0</v>
      </c>
    </row>
    <row r="29" spans="1:35" ht="14.25" customHeight="1" x14ac:dyDescent="0.25">
      <c r="A29" s="34">
        <v>0</v>
      </c>
      <c r="B29" s="34">
        <v>1</v>
      </c>
      <c r="C29" s="34">
        <v>2</v>
      </c>
      <c r="D29" s="35" t="s">
        <v>280</v>
      </c>
      <c r="E29" s="35" t="s">
        <v>263</v>
      </c>
      <c r="F29" s="35" t="s">
        <v>281</v>
      </c>
      <c r="G29" s="35" t="s">
        <v>109</v>
      </c>
      <c r="H29" s="35" t="s">
        <v>165</v>
      </c>
      <c r="I29" s="34" t="s">
        <v>282</v>
      </c>
      <c r="J29" s="34">
        <v>99</v>
      </c>
      <c r="K29" s="34" t="s">
        <v>329</v>
      </c>
      <c r="L29" s="34" t="s">
        <v>342</v>
      </c>
      <c r="M29" s="35" t="s">
        <v>206</v>
      </c>
      <c r="N29" s="35" t="s">
        <v>896</v>
      </c>
      <c r="O29" s="36"/>
      <c r="P29" s="36"/>
      <c r="Q29" s="35"/>
      <c r="S29" s="2">
        <f t="shared" si="19"/>
        <v>0</v>
      </c>
      <c r="T29" s="2">
        <f t="shared" si="20"/>
        <v>0</v>
      </c>
      <c r="U29" s="2">
        <f t="shared" si="21"/>
        <v>0</v>
      </c>
      <c r="V29" s="2">
        <f t="shared" si="22"/>
        <v>0</v>
      </c>
      <c r="W29" s="2">
        <f t="shared" si="23"/>
        <v>0</v>
      </c>
      <c r="X29" s="2">
        <f t="shared" si="24"/>
        <v>0</v>
      </c>
      <c r="Y29" s="2">
        <f t="shared" si="25"/>
        <v>0</v>
      </c>
      <c r="Z29" s="2">
        <f t="shared" si="26"/>
        <v>0</v>
      </c>
      <c r="AA29" s="2">
        <f t="shared" si="27"/>
        <v>0</v>
      </c>
      <c r="AB29" s="2">
        <f t="shared" si="28"/>
        <v>0</v>
      </c>
      <c r="AD29" s="2">
        <f t="shared" si="29"/>
        <v>0</v>
      </c>
      <c r="AE29" s="2">
        <f t="shared" si="30"/>
        <v>0</v>
      </c>
      <c r="AF29" s="2">
        <f t="shared" si="3"/>
        <v>0</v>
      </c>
      <c r="AG29" s="2">
        <f t="shared" si="4"/>
        <v>0</v>
      </c>
      <c r="AH29" s="2">
        <f t="shared" si="5"/>
        <v>0</v>
      </c>
      <c r="AI29" s="2">
        <f t="shared" si="6"/>
        <v>1</v>
      </c>
    </row>
    <row r="30" spans="1:35" ht="14.25" customHeight="1" x14ac:dyDescent="0.25">
      <c r="A30" s="34">
        <v>0</v>
      </c>
      <c r="B30" s="34">
        <v>1</v>
      </c>
      <c r="C30" s="34">
        <v>2</v>
      </c>
      <c r="D30" s="35" t="s">
        <v>435</v>
      </c>
      <c r="E30" s="35" t="s">
        <v>262</v>
      </c>
      <c r="F30" s="35" t="s">
        <v>434</v>
      </c>
      <c r="G30" s="35" t="s">
        <v>125</v>
      </c>
      <c r="H30" s="35" t="s">
        <v>165</v>
      </c>
      <c r="I30" s="34" t="s">
        <v>436</v>
      </c>
      <c r="J30" s="34">
        <v>99</v>
      </c>
      <c r="K30" s="34" t="s">
        <v>378</v>
      </c>
      <c r="L30" s="34">
        <v>150</v>
      </c>
      <c r="M30" s="35" t="s">
        <v>881</v>
      </c>
      <c r="N30" s="35" t="s">
        <v>899</v>
      </c>
      <c r="O30" s="36"/>
      <c r="P30" s="36"/>
      <c r="Q30" s="35"/>
      <c r="S30" s="2">
        <f t="shared" si="19"/>
        <v>0</v>
      </c>
      <c r="T30" s="2">
        <f t="shared" si="20"/>
        <v>0</v>
      </c>
      <c r="U30" s="2">
        <f t="shared" si="21"/>
        <v>0</v>
      </c>
      <c r="V30" s="2">
        <f t="shared" si="22"/>
        <v>0</v>
      </c>
      <c r="W30" s="2">
        <f t="shared" si="23"/>
        <v>0</v>
      </c>
      <c r="X30" s="2">
        <f t="shared" si="24"/>
        <v>0</v>
      </c>
      <c r="Y30" s="2">
        <f t="shared" si="25"/>
        <v>0</v>
      </c>
      <c r="Z30" s="2">
        <f t="shared" si="26"/>
        <v>0</v>
      </c>
      <c r="AA30" s="2">
        <f t="shared" si="27"/>
        <v>0</v>
      </c>
      <c r="AB30" s="2">
        <f t="shared" si="28"/>
        <v>0</v>
      </c>
      <c r="AD30" s="2">
        <f t="shared" si="29"/>
        <v>0</v>
      </c>
      <c r="AE30" s="2">
        <f t="shared" si="30"/>
        <v>0</v>
      </c>
      <c r="AF30" s="2">
        <f t="shared" si="3"/>
        <v>0</v>
      </c>
      <c r="AG30" s="2">
        <f t="shared" si="4"/>
        <v>0</v>
      </c>
      <c r="AH30" s="2">
        <f t="shared" si="5"/>
        <v>0</v>
      </c>
      <c r="AI30" s="2">
        <f t="shared" si="6"/>
        <v>1</v>
      </c>
    </row>
    <row r="31" spans="1:35" ht="14.25" customHeight="1" x14ac:dyDescent="0.25">
      <c r="A31" s="34">
        <v>0</v>
      </c>
      <c r="B31" s="34">
        <v>1</v>
      </c>
      <c r="C31" s="34">
        <v>2</v>
      </c>
      <c r="D31" s="35" t="s">
        <v>347</v>
      </c>
      <c r="E31" s="35" t="s">
        <v>262</v>
      </c>
      <c r="F31" s="35" t="s">
        <v>364</v>
      </c>
      <c r="G31" s="35" t="s">
        <v>40</v>
      </c>
      <c r="H31" s="35" t="s">
        <v>165</v>
      </c>
      <c r="I31" s="34" t="s">
        <v>371</v>
      </c>
      <c r="J31" s="34">
        <v>99</v>
      </c>
      <c r="K31" s="34" t="s">
        <v>322</v>
      </c>
      <c r="L31" s="34">
        <v>90</v>
      </c>
      <c r="M31" s="35" t="s">
        <v>907</v>
      </c>
      <c r="N31" s="35" t="s">
        <v>911</v>
      </c>
      <c r="O31" s="36"/>
      <c r="P31" s="36"/>
      <c r="Q31" s="35"/>
      <c r="S31" s="2">
        <f t="shared" si="19"/>
        <v>0</v>
      </c>
      <c r="T31" s="2">
        <f t="shared" si="20"/>
        <v>0</v>
      </c>
      <c r="U31" s="2">
        <f t="shared" si="21"/>
        <v>0</v>
      </c>
      <c r="V31" s="2">
        <f t="shared" si="22"/>
        <v>0</v>
      </c>
      <c r="W31" s="2">
        <f t="shared" si="23"/>
        <v>0</v>
      </c>
      <c r="X31" s="2">
        <f t="shared" si="24"/>
        <v>0</v>
      </c>
      <c r="Y31" s="2">
        <f t="shared" si="25"/>
        <v>0</v>
      </c>
      <c r="Z31" s="2">
        <f t="shared" si="26"/>
        <v>0</v>
      </c>
      <c r="AA31" s="2">
        <f t="shared" si="27"/>
        <v>0</v>
      </c>
      <c r="AB31" s="2">
        <f t="shared" si="28"/>
        <v>0</v>
      </c>
      <c r="AD31" s="2">
        <f t="shared" si="29"/>
        <v>0</v>
      </c>
      <c r="AE31" s="2">
        <f t="shared" si="30"/>
        <v>0</v>
      </c>
      <c r="AF31" s="2">
        <f t="shared" si="3"/>
        <v>0</v>
      </c>
      <c r="AG31" s="2">
        <f t="shared" si="4"/>
        <v>0</v>
      </c>
      <c r="AH31" s="2">
        <f t="shared" si="5"/>
        <v>0</v>
      </c>
      <c r="AI31" s="2">
        <f t="shared" si="6"/>
        <v>1</v>
      </c>
    </row>
    <row r="32" spans="1:35" ht="14.25" customHeight="1" x14ac:dyDescent="0.25">
      <c r="A32" s="34">
        <v>0</v>
      </c>
      <c r="B32" s="34">
        <v>1</v>
      </c>
      <c r="C32" s="34">
        <v>2</v>
      </c>
      <c r="D32" s="35" t="s">
        <v>219</v>
      </c>
      <c r="E32" s="35" t="s">
        <v>263</v>
      </c>
      <c r="F32" s="35" t="s">
        <v>220</v>
      </c>
      <c r="G32" s="35" t="s">
        <v>103</v>
      </c>
      <c r="H32" s="35" t="s">
        <v>165</v>
      </c>
      <c r="I32" s="34" t="s">
        <v>221</v>
      </c>
      <c r="J32" s="34">
        <v>6</v>
      </c>
      <c r="K32" s="34" t="s">
        <v>326</v>
      </c>
      <c r="L32" s="34" t="s">
        <v>343</v>
      </c>
      <c r="M32" s="35" t="s">
        <v>344</v>
      </c>
      <c r="N32" s="35" t="s">
        <v>902</v>
      </c>
      <c r="O32" s="36"/>
      <c r="P32" s="36"/>
      <c r="Q32" s="35"/>
      <c r="S32" s="2">
        <f t="shared" si="19"/>
        <v>0</v>
      </c>
      <c r="T32" s="2">
        <f t="shared" si="20"/>
        <v>0</v>
      </c>
      <c r="U32" s="2">
        <f t="shared" si="21"/>
        <v>0</v>
      </c>
      <c r="V32" s="2">
        <f t="shared" si="22"/>
        <v>0</v>
      </c>
      <c r="W32" s="2">
        <f t="shared" si="23"/>
        <v>0</v>
      </c>
      <c r="X32" s="2">
        <f t="shared" si="24"/>
        <v>1</v>
      </c>
      <c r="Y32" s="2">
        <f t="shared" si="25"/>
        <v>0</v>
      </c>
      <c r="Z32" s="2">
        <f t="shared" si="26"/>
        <v>0</v>
      </c>
      <c r="AA32" s="2">
        <f t="shared" si="27"/>
        <v>0</v>
      </c>
      <c r="AB32" s="2">
        <f t="shared" si="28"/>
        <v>0</v>
      </c>
      <c r="AD32" s="2">
        <f t="shared" si="29"/>
        <v>0</v>
      </c>
      <c r="AE32" s="2">
        <f t="shared" si="30"/>
        <v>0</v>
      </c>
      <c r="AF32" s="2">
        <f t="shared" si="3"/>
        <v>0</v>
      </c>
      <c r="AG32" s="2">
        <f t="shared" si="4"/>
        <v>0</v>
      </c>
      <c r="AH32" s="2">
        <f t="shared" si="5"/>
        <v>0</v>
      </c>
      <c r="AI32" s="2">
        <f t="shared" si="6"/>
        <v>1</v>
      </c>
    </row>
    <row r="33" spans="1:35" ht="14.25" customHeight="1" x14ac:dyDescent="0.25">
      <c r="A33" s="20">
        <v>0</v>
      </c>
      <c r="B33" s="20">
        <v>1</v>
      </c>
      <c r="C33" s="20">
        <v>2</v>
      </c>
      <c r="D33" s="21" t="s">
        <v>804</v>
      </c>
      <c r="E33" s="21" t="s">
        <v>262</v>
      </c>
      <c r="F33" s="21" t="s">
        <v>755</v>
      </c>
      <c r="G33" s="21" t="s">
        <v>689</v>
      </c>
      <c r="H33" s="21" t="s">
        <v>165</v>
      </c>
      <c r="I33" s="20" t="s">
        <v>847</v>
      </c>
      <c r="J33" s="20">
        <v>4</v>
      </c>
      <c r="K33" s="20" t="s">
        <v>326</v>
      </c>
      <c r="L33" s="20">
        <v>130</v>
      </c>
      <c r="M33" s="21" t="s">
        <v>882</v>
      </c>
      <c r="N33" s="21"/>
      <c r="O33" s="7"/>
      <c r="P33" s="7"/>
      <c r="Q33" s="21"/>
      <c r="S33" s="2">
        <f t="shared" si="19"/>
        <v>0</v>
      </c>
      <c r="T33" s="2">
        <f t="shared" si="20"/>
        <v>0</v>
      </c>
      <c r="U33" s="2">
        <f t="shared" si="21"/>
        <v>0</v>
      </c>
      <c r="V33" s="2">
        <f t="shared" si="22"/>
        <v>1</v>
      </c>
      <c r="W33" s="2">
        <f t="shared" si="23"/>
        <v>0</v>
      </c>
      <c r="X33" s="2">
        <f t="shared" si="24"/>
        <v>0</v>
      </c>
      <c r="Y33" s="2">
        <f t="shared" si="25"/>
        <v>0</v>
      </c>
      <c r="Z33" s="2">
        <f t="shared" si="26"/>
        <v>0</v>
      </c>
      <c r="AA33" s="2">
        <f t="shared" si="27"/>
        <v>0</v>
      </c>
      <c r="AB33" s="2">
        <f t="shared" si="28"/>
        <v>0</v>
      </c>
      <c r="AD33" s="2">
        <f t="shared" si="29"/>
        <v>0</v>
      </c>
      <c r="AE33" s="2">
        <f t="shared" si="30"/>
        <v>0</v>
      </c>
      <c r="AF33" s="2">
        <f t="shared" si="3"/>
        <v>0</v>
      </c>
      <c r="AG33" s="2">
        <f t="shared" si="4"/>
        <v>0</v>
      </c>
      <c r="AH33" s="2">
        <f t="shared" si="5"/>
        <v>0</v>
      </c>
      <c r="AI33" s="2">
        <f t="shared" si="6"/>
        <v>1</v>
      </c>
    </row>
    <row r="34" spans="1:35" ht="14.25" customHeight="1" x14ac:dyDescent="0.25">
      <c r="A34" s="31">
        <v>0</v>
      </c>
      <c r="B34" s="31">
        <v>1</v>
      </c>
      <c r="C34" s="31">
        <v>2</v>
      </c>
      <c r="D34" s="32" t="s">
        <v>415</v>
      </c>
      <c r="E34" s="32" t="s">
        <v>262</v>
      </c>
      <c r="F34" s="32" t="s">
        <v>416</v>
      </c>
      <c r="G34" s="32" t="s">
        <v>96</v>
      </c>
      <c r="H34" s="32" t="s">
        <v>165</v>
      </c>
      <c r="I34" s="31" t="s">
        <v>417</v>
      </c>
      <c r="J34" s="31">
        <v>3</v>
      </c>
      <c r="K34" s="31" t="s">
        <v>330</v>
      </c>
      <c r="L34" s="31" t="s">
        <v>40</v>
      </c>
      <c r="M34" s="32" t="s">
        <v>40</v>
      </c>
      <c r="N34" s="32" t="s">
        <v>895</v>
      </c>
      <c r="O34" s="33">
        <v>1</v>
      </c>
      <c r="P34" s="33">
        <v>1</v>
      </c>
      <c r="Q34" s="32"/>
      <c r="S34" s="2">
        <f t="shared" si="19"/>
        <v>0</v>
      </c>
      <c r="T34" s="2">
        <f t="shared" si="20"/>
        <v>0</v>
      </c>
      <c r="U34" s="2">
        <f t="shared" si="21"/>
        <v>1</v>
      </c>
      <c r="V34" s="2">
        <f t="shared" si="22"/>
        <v>0</v>
      </c>
      <c r="W34" s="2">
        <f t="shared" si="23"/>
        <v>0</v>
      </c>
      <c r="X34" s="2">
        <f t="shared" si="24"/>
        <v>0</v>
      </c>
      <c r="Y34" s="2">
        <f t="shared" si="25"/>
        <v>0</v>
      </c>
      <c r="Z34" s="2">
        <f t="shared" si="26"/>
        <v>0</v>
      </c>
      <c r="AA34" s="2">
        <f t="shared" si="27"/>
        <v>0</v>
      </c>
      <c r="AB34" s="2">
        <f t="shared" si="28"/>
        <v>0</v>
      </c>
      <c r="AD34" s="2">
        <f t="shared" si="29"/>
        <v>1</v>
      </c>
      <c r="AE34" s="2">
        <f t="shared" si="30"/>
        <v>0</v>
      </c>
      <c r="AF34" s="2">
        <f t="shared" si="3"/>
        <v>1</v>
      </c>
      <c r="AG34" s="2">
        <f t="shared" si="4"/>
        <v>0</v>
      </c>
      <c r="AH34" s="2">
        <f t="shared" si="5"/>
        <v>1</v>
      </c>
      <c r="AI34" s="2">
        <f t="shared" si="6"/>
        <v>0</v>
      </c>
    </row>
    <row r="35" spans="1:35" ht="14.25" customHeight="1" x14ac:dyDescent="0.25">
      <c r="A35" s="31">
        <v>0</v>
      </c>
      <c r="B35" s="31">
        <v>1</v>
      </c>
      <c r="C35" s="31">
        <v>2</v>
      </c>
      <c r="D35" s="32" t="s">
        <v>633</v>
      </c>
      <c r="E35" s="32" t="s">
        <v>262</v>
      </c>
      <c r="F35" s="32" t="s">
        <v>691</v>
      </c>
      <c r="G35" s="32" t="s">
        <v>93</v>
      </c>
      <c r="H35" s="32" t="s">
        <v>165</v>
      </c>
      <c r="I35" s="31" t="s">
        <v>634</v>
      </c>
      <c r="J35" s="31">
        <v>8</v>
      </c>
      <c r="K35" s="31" t="s">
        <v>325</v>
      </c>
      <c r="L35" s="31">
        <v>45</v>
      </c>
      <c r="M35" s="32" t="s">
        <v>883</v>
      </c>
      <c r="N35" s="32" t="s">
        <v>908</v>
      </c>
      <c r="O35" s="33">
        <v>1</v>
      </c>
      <c r="P35" s="33"/>
      <c r="Q35" s="32"/>
      <c r="S35" s="2">
        <f t="shared" si="19"/>
        <v>0</v>
      </c>
      <c r="T35" s="2">
        <f t="shared" si="20"/>
        <v>0</v>
      </c>
      <c r="U35" s="2">
        <f t="shared" si="21"/>
        <v>0</v>
      </c>
      <c r="V35" s="2">
        <f t="shared" si="22"/>
        <v>0</v>
      </c>
      <c r="W35" s="2">
        <f t="shared" si="23"/>
        <v>0</v>
      </c>
      <c r="X35" s="2">
        <f t="shared" si="24"/>
        <v>0</v>
      </c>
      <c r="Y35" s="2">
        <f t="shared" si="25"/>
        <v>0</v>
      </c>
      <c r="Z35" s="2">
        <f t="shared" si="26"/>
        <v>1</v>
      </c>
      <c r="AA35" s="2">
        <f t="shared" si="27"/>
        <v>0</v>
      </c>
      <c r="AB35" s="2">
        <f t="shared" si="28"/>
        <v>0</v>
      </c>
      <c r="AD35" s="2">
        <f t="shared" si="29"/>
        <v>0</v>
      </c>
      <c r="AE35" s="2">
        <f t="shared" si="30"/>
        <v>1</v>
      </c>
      <c r="AF35" s="2">
        <f t="shared" si="3"/>
        <v>0</v>
      </c>
      <c r="AG35" s="2">
        <f t="shared" si="4"/>
        <v>1</v>
      </c>
      <c r="AH35" s="2">
        <f t="shared" si="5"/>
        <v>0</v>
      </c>
      <c r="AI35" s="2">
        <f t="shared" si="6"/>
        <v>1</v>
      </c>
    </row>
    <row r="36" spans="1:35" ht="14.25" customHeight="1" x14ac:dyDescent="0.25">
      <c r="A36" s="20">
        <v>0</v>
      </c>
      <c r="B36" s="20">
        <v>1</v>
      </c>
      <c r="C36" s="20">
        <v>3</v>
      </c>
      <c r="D36" s="21" t="s">
        <v>387</v>
      </c>
      <c r="E36" s="21" t="s">
        <v>259</v>
      </c>
      <c r="F36" s="21" t="s">
        <v>388</v>
      </c>
      <c r="G36" s="21" t="s">
        <v>157</v>
      </c>
      <c r="H36" s="21" t="s">
        <v>165</v>
      </c>
      <c r="I36" s="20" t="s">
        <v>389</v>
      </c>
      <c r="J36" s="20">
        <v>99</v>
      </c>
      <c r="K36" s="20" t="s">
        <v>330</v>
      </c>
      <c r="L36" s="20">
        <v>65</v>
      </c>
      <c r="M36" s="21" t="s">
        <v>742</v>
      </c>
      <c r="N36" s="21"/>
      <c r="O36" s="7"/>
      <c r="P36" s="7"/>
      <c r="Q36" s="21"/>
      <c r="S36" s="2">
        <f t="shared" si="19"/>
        <v>0</v>
      </c>
      <c r="T36" s="2">
        <f t="shared" si="20"/>
        <v>0</v>
      </c>
      <c r="U36" s="2">
        <f t="shared" si="21"/>
        <v>0</v>
      </c>
      <c r="V36" s="2">
        <f t="shared" si="22"/>
        <v>0</v>
      </c>
      <c r="W36" s="2">
        <f t="shared" si="23"/>
        <v>0</v>
      </c>
      <c r="X36" s="2">
        <f t="shared" si="24"/>
        <v>0</v>
      </c>
      <c r="Y36" s="2">
        <f t="shared" si="25"/>
        <v>0</v>
      </c>
      <c r="Z36" s="2">
        <f t="shared" si="26"/>
        <v>0</v>
      </c>
      <c r="AA36" s="2">
        <f t="shared" si="27"/>
        <v>0</v>
      </c>
      <c r="AB36" s="2">
        <f t="shared" si="28"/>
        <v>0</v>
      </c>
      <c r="AD36" s="2">
        <f t="shared" si="29"/>
        <v>0</v>
      </c>
      <c r="AE36" s="2">
        <f t="shared" si="30"/>
        <v>0</v>
      </c>
      <c r="AF36" s="2">
        <f t="shared" si="3"/>
        <v>0</v>
      </c>
      <c r="AG36" s="2">
        <f t="shared" si="4"/>
        <v>0</v>
      </c>
      <c r="AH36" s="2">
        <f t="shared" si="5"/>
        <v>0</v>
      </c>
      <c r="AI36" s="2">
        <f t="shared" si="6"/>
        <v>1</v>
      </c>
    </row>
    <row r="37" spans="1:35" ht="14.25" customHeight="1" x14ac:dyDescent="0.25">
      <c r="A37" s="34">
        <v>0</v>
      </c>
      <c r="B37" s="34">
        <v>1</v>
      </c>
      <c r="C37" s="34">
        <v>3</v>
      </c>
      <c r="D37" s="35" t="s">
        <v>302</v>
      </c>
      <c r="E37" s="35" t="s">
        <v>263</v>
      </c>
      <c r="F37" s="35" t="s">
        <v>312</v>
      </c>
      <c r="G37" s="35" t="s">
        <v>40</v>
      </c>
      <c r="H37" s="35" t="s">
        <v>303</v>
      </c>
      <c r="I37" s="34" t="s">
        <v>304</v>
      </c>
      <c r="J37" s="34">
        <v>99</v>
      </c>
      <c r="K37" s="34" t="s">
        <v>378</v>
      </c>
      <c r="L37" s="34">
        <v>90</v>
      </c>
      <c r="M37" s="35" t="s">
        <v>598</v>
      </c>
      <c r="N37" s="35" t="s">
        <v>911</v>
      </c>
      <c r="O37" s="36"/>
      <c r="P37" s="36"/>
      <c r="Q37" s="35"/>
      <c r="S37" s="2">
        <f t="shared" si="19"/>
        <v>0</v>
      </c>
      <c r="T37" s="2">
        <f t="shared" si="20"/>
        <v>0</v>
      </c>
      <c r="U37" s="2">
        <f t="shared" si="21"/>
        <v>0</v>
      </c>
      <c r="V37" s="2">
        <f t="shared" si="22"/>
        <v>0</v>
      </c>
      <c r="W37" s="2">
        <f t="shared" si="23"/>
        <v>0</v>
      </c>
      <c r="X37" s="2">
        <f t="shared" si="24"/>
        <v>0</v>
      </c>
      <c r="Y37" s="2">
        <f t="shared" si="25"/>
        <v>0</v>
      </c>
      <c r="Z37" s="2">
        <f t="shared" si="26"/>
        <v>0</v>
      </c>
      <c r="AA37" s="2">
        <f t="shared" si="27"/>
        <v>0</v>
      </c>
      <c r="AB37" s="2">
        <f t="shared" si="28"/>
        <v>0</v>
      </c>
      <c r="AD37" s="2">
        <f t="shared" si="29"/>
        <v>0</v>
      </c>
      <c r="AE37" s="2">
        <f t="shared" si="30"/>
        <v>0</v>
      </c>
      <c r="AF37" s="2">
        <f t="shared" si="3"/>
        <v>0</v>
      </c>
      <c r="AG37" s="2">
        <f t="shared" si="4"/>
        <v>0</v>
      </c>
      <c r="AH37" s="2">
        <f t="shared" si="5"/>
        <v>0</v>
      </c>
      <c r="AI37" s="2">
        <f t="shared" si="6"/>
        <v>1</v>
      </c>
    </row>
    <row r="38" spans="1:35" ht="14.25" customHeight="1" x14ac:dyDescent="0.25">
      <c r="A38" s="31">
        <v>0</v>
      </c>
      <c r="B38" s="31">
        <v>1</v>
      </c>
      <c r="C38" s="31">
        <v>3</v>
      </c>
      <c r="D38" s="32" t="s">
        <v>438</v>
      </c>
      <c r="E38" s="32" t="s">
        <v>259</v>
      </c>
      <c r="F38" s="32" t="s">
        <v>439</v>
      </c>
      <c r="G38" s="32" t="s">
        <v>440</v>
      </c>
      <c r="H38" s="32" t="s">
        <v>165</v>
      </c>
      <c r="I38" s="31" t="s">
        <v>441</v>
      </c>
      <c r="J38" s="31">
        <v>99</v>
      </c>
      <c r="K38" s="31" t="s">
        <v>378</v>
      </c>
      <c r="L38" s="31">
        <v>60</v>
      </c>
      <c r="M38" s="32" t="s">
        <v>599</v>
      </c>
      <c r="N38" s="32" t="s">
        <v>895</v>
      </c>
      <c r="O38" s="33">
        <v>1</v>
      </c>
      <c r="P38" s="33">
        <v>1</v>
      </c>
      <c r="Q38" s="32"/>
      <c r="S38" s="2">
        <f t="shared" si="19"/>
        <v>0</v>
      </c>
      <c r="T38" s="2">
        <f t="shared" si="20"/>
        <v>0</v>
      </c>
      <c r="U38" s="2">
        <f t="shared" si="21"/>
        <v>0</v>
      </c>
      <c r="V38" s="2">
        <f t="shared" si="22"/>
        <v>0</v>
      </c>
      <c r="W38" s="2">
        <f t="shared" si="23"/>
        <v>0</v>
      </c>
      <c r="X38" s="2">
        <f t="shared" si="24"/>
        <v>0</v>
      </c>
      <c r="Y38" s="2">
        <f t="shared" si="25"/>
        <v>0</v>
      </c>
      <c r="Z38" s="2">
        <f t="shared" si="26"/>
        <v>0</v>
      </c>
      <c r="AA38" s="2">
        <f t="shared" si="27"/>
        <v>0</v>
      </c>
      <c r="AB38" s="2">
        <f t="shared" si="28"/>
        <v>0</v>
      </c>
      <c r="AD38" s="2">
        <f t="shared" si="29"/>
        <v>1</v>
      </c>
      <c r="AE38" s="2">
        <f t="shared" si="30"/>
        <v>0</v>
      </c>
      <c r="AF38" s="2">
        <f t="shared" si="3"/>
        <v>1</v>
      </c>
      <c r="AG38" s="2">
        <f t="shared" si="4"/>
        <v>0</v>
      </c>
      <c r="AH38" s="2">
        <f t="shared" si="5"/>
        <v>1</v>
      </c>
      <c r="AI38" s="2">
        <f t="shared" si="6"/>
        <v>0</v>
      </c>
    </row>
    <row r="39" spans="1:35" ht="14.25" customHeight="1" x14ac:dyDescent="0.25">
      <c r="A39" s="20">
        <v>0</v>
      </c>
      <c r="B39" s="20">
        <v>1</v>
      </c>
      <c r="C39" s="20">
        <v>3</v>
      </c>
      <c r="D39" s="21" t="s">
        <v>811</v>
      </c>
      <c r="E39" s="21" t="s">
        <v>499</v>
      </c>
      <c r="F39" s="21" t="s">
        <v>500</v>
      </c>
      <c r="G39" s="21" t="s">
        <v>93</v>
      </c>
      <c r="H39" s="21" t="s">
        <v>165</v>
      </c>
      <c r="I39" s="20" t="s">
        <v>501</v>
      </c>
      <c r="J39" s="20">
        <v>8</v>
      </c>
      <c r="K39" s="20" t="s">
        <v>329</v>
      </c>
      <c r="L39" s="20" t="s">
        <v>854</v>
      </c>
      <c r="M39" s="21" t="s">
        <v>599</v>
      </c>
      <c r="N39" s="21"/>
      <c r="O39" s="7"/>
      <c r="P39" s="7"/>
      <c r="Q39" s="21"/>
      <c r="S39" s="2">
        <f t="shared" si="19"/>
        <v>0</v>
      </c>
      <c r="T39" s="2">
        <f t="shared" si="20"/>
        <v>0</v>
      </c>
      <c r="U39" s="2">
        <f t="shared" si="21"/>
        <v>0</v>
      </c>
      <c r="V39" s="2">
        <f t="shared" si="22"/>
        <v>0</v>
      </c>
      <c r="W39" s="2">
        <f t="shared" si="23"/>
        <v>0</v>
      </c>
      <c r="X39" s="2">
        <f t="shared" si="24"/>
        <v>0</v>
      </c>
      <c r="Y39" s="2">
        <f t="shared" si="25"/>
        <v>0</v>
      </c>
      <c r="Z39" s="2">
        <f t="shared" si="26"/>
        <v>1</v>
      </c>
      <c r="AA39" s="2">
        <f t="shared" si="27"/>
        <v>0</v>
      </c>
      <c r="AB39" s="2">
        <f t="shared" si="28"/>
        <v>0</v>
      </c>
      <c r="AD39" s="2">
        <f t="shared" si="29"/>
        <v>0</v>
      </c>
      <c r="AE39" s="2">
        <f t="shared" si="30"/>
        <v>0</v>
      </c>
      <c r="AF39" s="2">
        <f t="shared" si="3"/>
        <v>0</v>
      </c>
      <c r="AG39" s="2">
        <f t="shared" si="4"/>
        <v>0</v>
      </c>
      <c r="AH39" s="2">
        <f t="shared" si="5"/>
        <v>0</v>
      </c>
      <c r="AI39" s="2">
        <f t="shared" si="6"/>
        <v>1</v>
      </c>
    </row>
    <row r="40" spans="1:35" ht="14.25" customHeight="1" x14ac:dyDescent="0.25">
      <c r="A40" s="31">
        <v>0</v>
      </c>
      <c r="B40" s="31">
        <v>1</v>
      </c>
      <c r="C40" s="31">
        <v>3</v>
      </c>
      <c r="D40" s="32" t="s">
        <v>512</v>
      </c>
      <c r="E40" s="32" t="s">
        <v>676</v>
      </c>
      <c r="F40" s="32" t="s">
        <v>513</v>
      </c>
      <c r="G40" s="32" t="s">
        <v>39</v>
      </c>
      <c r="H40" s="32" t="s">
        <v>165</v>
      </c>
      <c r="I40" s="31" t="s">
        <v>514</v>
      </c>
      <c r="J40" s="31">
        <v>8</v>
      </c>
      <c r="K40" s="31" t="s">
        <v>326</v>
      </c>
      <c r="L40" s="31" t="s">
        <v>858</v>
      </c>
      <c r="M40" s="32" t="s">
        <v>743</v>
      </c>
      <c r="N40" s="32" t="s">
        <v>914</v>
      </c>
      <c r="O40" s="33">
        <v>1</v>
      </c>
      <c r="P40" s="33"/>
      <c r="Q40" s="32"/>
      <c r="S40" s="2">
        <f t="shared" si="19"/>
        <v>0</v>
      </c>
      <c r="T40" s="2">
        <f t="shared" si="20"/>
        <v>0</v>
      </c>
      <c r="U40" s="2">
        <f t="shared" si="21"/>
        <v>0</v>
      </c>
      <c r="V40" s="2">
        <f t="shared" si="22"/>
        <v>0</v>
      </c>
      <c r="W40" s="2">
        <f t="shared" si="23"/>
        <v>0</v>
      </c>
      <c r="X40" s="2">
        <f t="shared" si="24"/>
        <v>0</v>
      </c>
      <c r="Y40" s="2">
        <f t="shared" si="25"/>
        <v>0</v>
      </c>
      <c r="Z40" s="2">
        <f t="shared" si="26"/>
        <v>1</v>
      </c>
      <c r="AA40" s="2">
        <f t="shared" si="27"/>
        <v>0</v>
      </c>
      <c r="AB40" s="2">
        <f t="shared" si="28"/>
        <v>0</v>
      </c>
      <c r="AD40" s="2">
        <f t="shared" si="29"/>
        <v>0</v>
      </c>
      <c r="AE40" s="2">
        <f t="shared" si="30"/>
        <v>1</v>
      </c>
      <c r="AF40" s="2">
        <f t="shared" si="3"/>
        <v>0</v>
      </c>
      <c r="AG40" s="2">
        <f t="shared" si="4"/>
        <v>1</v>
      </c>
      <c r="AH40" s="2">
        <f t="shared" si="5"/>
        <v>0</v>
      </c>
      <c r="AI40" s="2">
        <f t="shared" si="6"/>
        <v>1</v>
      </c>
    </row>
    <row r="41" spans="1:35" ht="14.25" customHeight="1" x14ac:dyDescent="0.25">
      <c r="A41" s="34">
        <v>0</v>
      </c>
      <c r="B41" s="34">
        <v>1</v>
      </c>
      <c r="C41" s="34">
        <v>3</v>
      </c>
      <c r="D41" s="35" t="s">
        <v>77</v>
      </c>
      <c r="E41" s="35" t="s">
        <v>259</v>
      </c>
      <c r="F41" s="35" t="s">
        <v>256</v>
      </c>
      <c r="G41" s="35" t="s">
        <v>148</v>
      </c>
      <c r="H41" s="35" t="s">
        <v>165</v>
      </c>
      <c r="I41" s="34" t="s">
        <v>201</v>
      </c>
      <c r="J41" s="34">
        <v>99</v>
      </c>
      <c r="K41" s="34" t="s">
        <v>326</v>
      </c>
      <c r="L41" s="34" t="s">
        <v>862</v>
      </c>
      <c r="M41" s="35" t="s">
        <v>785</v>
      </c>
      <c r="N41" s="35" t="s">
        <v>911</v>
      </c>
      <c r="O41" s="36"/>
      <c r="P41" s="36"/>
      <c r="Q41" s="35"/>
      <c r="S41" s="2">
        <f t="shared" si="19"/>
        <v>0</v>
      </c>
      <c r="T41" s="2">
        <f t="shared" si="20"/>
        <v>0</v>
      </c>
      <c r="U41" s="2">
        <f t="shared" si="21"/>
        <v>0</v>
      </c>
      <c r="V41" s="2">
        <f t="shared" si="22"/>
        <v>0</v>
      </c>
      <c r="W41" s="2">
        <f t="shared" si="23"/>
        <v>0</v>
      </c>
      <c r="X41" s="2">
        <f t="shared" si="24"/>
        <v>0</v>
      </c>
      <c r="Y41" s="2">
        <f t="shared" si="25"/>
        <v>0</v>
      </c>
      <c r="Z41" s="2">
        <f t="shared" si="26"/>
        <v>0</v>
      </c>
      <c r="AA41" s="2">
        <f t="shared" si="27"/>
        <v>0</v>
      </c>
      <c r="AB41" s="2">
        <f t="shared" si="28"/>
        <v>0</v>
      </c>
      <c r="AD41" s="2">
        <f t="shared" si="29"/>
        <v>0</v>
      </c>
      <c r="AE41" s="2">
        <f t="shared" si="30"/>
        <v>0</v>
      </c>
      <c r="AF41" s="2">
        <f t="shared" si="3"/>
        <v>0</v>
      </c>
      <c r="AG41" s="2">
        <f t="shared" si="4"/>
        <v>0</v>
      </c>
      <c r="AH41" s="2">
        <f t="shared" si="5"/>
        <v>0</v>
      </c>
      <c r="AI41" s="2">
        <f t="shared" si="6"/>
        <v>1</v>
      </c>
    </row>
    <row r="42" spans="1:35" ht="14.25" customHeight="1" x14ac:dyDescent="0.25">
      <c r="A42" s="34">
        <v>0</v>
      </c>
      <c r="B42" s="34">
        <v>1</v>
      </c>
      <c r="C42" s="34">
        <v>3</v>
      </c>
      <c r="D42" s="35" t="s">
        <v>756</v>
      </c>
      <c r="E42" s="35" t="s">
        <v>757</v>
      </c>
      <c r="F42" s="35" t="s">
        <v>758</v>
      </c>
      <c r="G42" s="35" t="s">
        <v>92</v>
      </c>
      <c r="H42" s="35" t="s">
        <v>165</v>
      </c>
      <c r="I42" s="34" t="s">
        <v>759</v>
      </c>
      <c r="J42" s="34">
        <v>1</v>
      </c>
      <c r="K42" s="34" t="s">
        <v>378</v>
      </c>
      <c r="L42" s="34">
        <v>35</v>
      </c>
      <c r="M42" s="35" t="s">
        <v>760</v>
      </c>
      <c r="N42" s="35" t="s">
        <v>902</v>
      </c>
      <c r="O42" s="36"/>
      <c r="P42" s="36"/>
      <c r="Q42" s="35"/>
      <c r="S42" s="2">
        <f t="shared" si="19"/>
        <v>1</v>
      </c>
      <c r="T42" s="2">
        <f t="shared" si="20"/>
        <v>0</v>
      </c>
      <c r="U42" s="2">
        <f t="shared" si="21"/>
        <v>0</v>
      </c>
      <c r="V42" s="2">
        <f t="shared" si="22"/>
        <v>0</v>
      </c>
      <c r="W42" s="2">
        <f t="shared" si="23"/>
        <v>0</v>
      </c>
      <c r="X42" s="2">
        <f t="shared" si="24"/>
        <v>0</v>
      </c>
      <c r="Y42" s="2">
        <f t="shared" si="25"/>
        <v>0</v>
      </c>
      <c r="Z42" s="2">
        <f t="shared" si="26"/>
        <v>0</v>
      </c>
      <c r="AA42" s="2">
        <f t="shared" si="27"/>
        <v>0</v>
      </c>
      <c r="AB42" s="2">
        <f t="shared" si="28"/>
        <v>0</v>
      </c>
      <c r="AD42" s="2">
        <f t="shared" si="29"/>
        <v>0</v>
      </c>
      <c r="AE42" s="2">
        <f t="shared" si="30"/>
        <v>0</v>
      </c>
      <c r="AF42" s="2">
        <f t="shared" si="3"/>
        <v>0</v>
      </c>
      <c r="AG42" s="2">
        <f t="shared" si="4"/>
        <v>0</v>
      </c>
      <c r="AH42" s="2">
        <f t="shared" si="5"/>
        <v>0</v>
      </c>
      <c r="AI42" s="2">
        <f t="shared" si="6"/>
        <v>1</v>
      </c>
    </row>
    <row r="43" spans="1:35" ht="14.25" customHeight="1" x14ac:dyDescent="0.25">
      <c r="A43" s="31">
        <v>0</v>
      </c>
      <c r="B43" s="31">
        <v>1</v>
      </c>
      <c r="C43" s="31">
        <v>3</v>
      </c>
      <c r="D43" s="32" t="s">
        <v>413</v>
      </c>
      <c r="E43" s="32" t="s">
        <v>259</v>
      </c>
      <c r="F43" s="32" t="s">
        <v>589</v>
      </c>
      <c r="G43" s="32" t="s">
        <v>284</v>
      </c>
      <c r="H43" s="32" t="s">
        <v>165</v>
      </c>
      <c r="I43" s="31" t="s">
        <v>414</v>
      </c>
      <c r="J43" s="31">
        <v>99</v>
      </c>
      <c r="K43" s="31" t="s">
        <v>331</v>
      </c>
      <c r="L43" s="31" t="s">
        <v>341</v>
      </c>
      <c r="M43" s="32" t="s">
        <v>743</v>
      </c>
      <c r="N43" s="32" t="s">
        <v>909</v>
      </c>
      <c r="O43" s="33">
        <v>1</v>
      </c>
      <c r="P43" s="33"/>
      <c r="Q43" s="32"/>
      <c r="S43" s="2">
        <f t="shared" si="19"/>
        <v>0</v>
      </c>
      <c r="T43" s="2">
        <f t="shared" si="20"/>
        <v>0</v>
      </c>
      <c r="U43" s="2">
        <f t="shared" si="21"/>
        <v>0</v>
      </c>
      <c r="V43" s="2">
        <f t="shared" si="22"/>
        <v>0</v>
      </c>
      <c r="W43" s="2">
        <f t="shared" si="23"/>
        <v>0</v>
      </c>
      <c r="X43" s="2">
        <f t="shared" si="24"/>
        <v>0</v>
      </c>
      <c r="Y43" s="2">
        <f t="shared" si="25"/>
        <v>0</v>
      </c>
      <c r="Z43" s="2">
        <f t="shared" si="26"/>
        <v>0</v>
      </c>
      <c r="AA43" s="2">
        <f t="shared" si="27"/>
        <v>0</v>
      </c>
      <c r="AB43" s="2">
        <f t="shared" si="28"/>
        <v>0</v>
      </c>
      <c r="AD43" s="2">
        <f t="shared" si="29"/>
        <v>0</v>
      </c>
      <c r="AE43" s="2">
        <f t="shared" si="30"/>
        <v>1</v>
      </c>
      <c r="AF43" s="2">
        <f t="shared" si="3"/>
        <v>0</v>
      </c>
      <c r="AG43" s="2">
        <f t="shared" si="4"/>
        <v>1</v>
      </c>
      <c r="AH43" s="2">
        <f t="shared" si="5"/>
        <v>0</v>
      </c>
      <c r="AI43" s="2">
        <f t="shared" si="6"/>
        <v>1</v>
      </c>
    </row>
    <row r="44" spans="1:35" ht="14.25" customHeight="1" x14ac:dyDescent="0.25">
      <c r="A44" s="34">
        <v>0</v>
      </c>
      <c r="B44" s="34">
        <v>1</v>
      </c>
      <c r="C44" s="34">
        <v>3</v>
      </c>
      <c r="D44" s="35" t="s">
        <v>683</v>
      </c>
      <c r="E44" s="35" t="s">
        <v>624</v>
      </c>
      <c r="F44" s="35" t="s">
        <v>622</v>
      </c>
      <c r="G44" s="35" t="s">
        <v>40</v>
      </c>
      <c r="H44" s="35" t="s">
        <v>623</v>
      </c>
      <c r="I44" s="34" t="s">
        <v>625</v>
      </c>
      <c r="J44" s="34">
        <v>99</v>
      </c>
      <c r="K44" s="34" t="s">
        <v>378</v>
      </c>
      <c r="L44" s="34">
        <v>60</v>
      </c>
      <c r="M44" s="35" t="s">
        <v>599</v>
      </c>
      <c r="N44" s="35" t="s">
        <v>902</v>
      </c>
      <c r="O44" s="36"/>
      <c r="P44" s="36"/>
      <c r="Q44" s="35"/>
      <c r="S44" s="2">
        <f t="shared" si="19"/>
        <v>0</v>
      </c>
      <c r="T44" s="2">
        <f t="shared" si="20"/>
        <v>0</v>
      </c>
      <c r="U44" s="2">
        <f t="shared" si="21"/>
        <v>0</v>
      </c>
      <c r="V44" s="2">
        <f t="shared" si="22"/>
        <v>0</v>
      </c>
      <c r="W44" s="2">
        <f t="shared" si="23"/>
        <v>0</v>
      </c>
      <c r="X44" s="2">
        <f t="shared" si="24"/>
        <v>0</v>
      </c>
      <c r="Y44" s="2">
        <f t="shared" si="25"/>
        <v>0</v>
      </c>
      <c r="Z44" s="2">
        <f t="shared" si="26"/>
        <v>0</v>
      </c>
      <c r="AA44" s="2">
        <f t="shared" si="27"/>
        <v>0</v>
      </c>
      <c r="AB44" s="2">
        <f t="shared" si="28"/>
        <v>0</v>
      </c>
      <c r="AD44" s="2">
        <f t="shared" si="29"/>
        <v>0</v>
      </c>
      <c r="AE44" s="2">
        <f t="shared" si="30"/>
        <v>0</v>
      </c>
      <c r="AF44" s="2">
        <f t="shared" si="3"/>
        <v>0</v>
      </c>
      <c r="AG44" s="2">
        <f t="shared" si="4"/>
        <v>0</v>
      </c>
      <c r="AH44" s="2">
        <f t="shared" si="5"/>
        <v>0</v>
      </c>
      <c r="AI44" s="2">
        <f t="shared" si="6"/>
        <v>1</v>
      </c>
    </row>
    <row r="45" spans="1:35" ht="14.25" customHeight="1" x14ac:dyDescent="0.25">
      <c r="A45" s="31">
        <v>0</v>
      </c>
      <c r="B45" s="31">
        <v>1</v>
      </c>
      <c r="C45" s="31">
        <v>3</v>
      </c>
      <c r="D45" s="32" t="s">
        <v>572</v>
      </c>
      <c r="E45" s="32" t="s">
        <v>509</v>
      </c>
      <c r="F45" s="32" t="s">
        <v>591</v>
      </c>
      <c r="G45" s="32" t="s">
        <v>93</v>
      </c>
      <c r="H45" s="32" t="s">
        <v>165</v>
      </c>
      <c r="I45" s="31" t="s">
        <v>596</v>
      </c>
      <c r="J45" s="31">
        <v>8</v>
      </c>
      <c r="K45" s="31" t="s">
        <v>378</v>
      </c>
      <c r="L45" s="31" t="s">
        <v>346</v>
      </c>
      <c r="M45" s="32" t="s">
        <v>510</v>
      </c>
      <c r="N45" s="32" t="s">
        <v>909</v>
      </c>
      <c r="O45" s="33">
        <v>1</v>
      </c>
      <c r="P45" s="33"/>
      <c r="Q45" s="32"/>
      <c r="S45" s="2">
        <f t="shared" si="19"/>
        <v>0</v>
      </c>
      <c r="T45" s="2">
        <f t="shared" si="20"/>
        <v>0</v>
      </c>
      <c r="U45" s="2">
        <f t="shared" si="21"/>
        <v>0</v>
      </c>
      <c r="V45" s="2">
        <f t="shared" si="22"/>
        <v>0</v>
      </c>
      <c r="W45" s="2">
        <f t="shared" si="23"/>
        <v>0</v>
      </c>
      <c r="X45" s="2">
        <f t="shared" si="24"/>
        <v>0</v>
      </c>
      <c r="Y45" s="2">
        <f t="shared" si="25"/>
        <v>0</v>
      </c>
      <c r="Z45" s="2">
        <f t="shared" si="26"/>
        <v>1</v>
      </c>
      <c r="AA45" s="2">
        <f t="shared" si="27"/>
        <v>0</v>
      </c>
      <c r="AB45" s="2">
        <f t="shared" si="28"/>
        <v>0</v>
      </c>
      <c r="AD45" s="2">
        <f t="shared" si="29"/>
        <v>0</v>
      </c>
      <c r="AE45" s="2">
        <f t="shared" si="30"/>
        <v>1</v>
      </c>
      <c r="AF45" s="2">
        <f t="shared" si="3"/>
        <v>0</v>
      </c>
      <c r="AG45" s="2">
        <f t="shared" si="4"/>
        <v>1</v>
      </c>
      <c r="AH45" s="2">
        <f t="shared" si="5"/>
        <v>0</v>
      </c>
      <c r="AI45" s="2">
        <f t="shared" si="6"/>
        <v>1</v>
      </c>
    </row>
    <row r="46" spans="1:35" ht="14.25" customHeight="1" x14ac:dyDescent="0.25">
      <c r="A46" s="34">
        <v>0</v>
      </c>
      <c r="B46" s="34">
        <v>1</v>
      </c>
      <c r="C46" s="34">
        <v>3</v>
      </c>
      <c r="D46" s="35" t="s">
        <v>774</v>
      </c>
      <c r="E46" s="35" t="s">
        <v>259</v>
      </c>
      <c r="F46" s="35" t="s">
        <v>775</v>
      </c>
      <c r="G46" s="35" t="s">
        <v>103</v>
      </c>
      <c r="H46" s="35" t="s">
        <v>165</v>
      </c>
      <c r="I46" s="34" t="s">
        <v>776</v>
      </c>
      <c r="J46" s="34">
        <v>6</v>
      </c>
      <c r="K46" s="34" t="s">
        <v>378</v>
      </c>
      <c r="L46" s="34">
        <v>70</v>
      </c>
      <c r="M46" s="35" t="s">
        <v>777</v>
      </c>
      <c r="N46" s="35" t="s">
        <v>911</v>
      </c>
      <c r="O46" s="36"/>
      <c r="P46" s="36"/>
      <c r="Q46" s="35"/>
      <c r="S46" s="2">
        <f t="shared" si="19"/>
        <v>0</v>
      </c>
      <c r="T46" s="2">
        <f t="shared" si="20"/>
        <v>0</v>
      </c>
      <c r="U46" s="2">
        <f t="shared" si="21"/>
        <v>0</v>
      </c>
      <c r="V46" s="2">
        <f t="shared" si="22"/>
        <v>0</v>
      </c>
      <c r="W46" s="2">
        <f t="shared" si="23"/>
        <v>0</v>
      </c>
      <c r="X46" s="2">
        <f t="shared" si="24"/>
        <v>1</v>
      </c>
      <c r="Y46" s="2">
        <f t="shared" si="25"/>
        <v>0</v>
      </c>
      <c r="Z46" s="2">
        <f t="shared" si="26"/>
        <v>0</v>
      </c>
      <c r="AA46" s="2">
        <f t="shared" si="27"/>
        <v>0</v>
      </c>
      <c r="AB46" s="2">
        <f t="shared" si="28"/>
        <v>0</v>
      </c>
      <c r="AD46" s="2">
        <f t="shared" si="29"/>
        <v>0</v>
      </c>
      <c r="AE46" s="2">
        <f t="shared" si="30"/>
        <v>0</v>
      </c>
      <c r="AF46" s="2">
        <f t="shared" si="3"/>
        <v>0</v>
      </c>
      <c r="AG46" s="2">
        <f t="shared" si="4"/>
        <v>0</v>
      </c>
      <c r="AH46" s="2">
        <f t="shared" si="5"/>
        <v>0</v>
      </c>
      <c r="AI46" s="2">
        <f t="shared" si="6"/>
        <v>1</v>
      </c>
    </row>
    <row r="47" spans="1:35" ht="14.25" customHeight="1" x14ac:dyDescent="0.25">
      <c r="A47" s="34">
        <v>0</v>
      </c>
      <c r="B47" s="34">
        <v>1</v>
      </c>
      <c r="C47" s="34">
        <v>3</v>
      </c>
      <c r="D47" s="35" t="s">
        <v>609</v>
      </c>
      <c r="E47" s="35" t="s">
        <v>259</v>
      </c>
      <c r="F47" s="35" t="s">
        <v>610</v>
      </c>
      <c r="G47" s="35" t="s">
        <v>828</v>
      </c>
      <c r="H47" s="35" t="s">
        <v>165</v>
      </c>
      <c r="I47" s="34" t="s">
        <v>611</v>
      </c>
      <c r="J47" s="34">
        <v>99</v>
      </c>
      <c r="K47" s="34" t="s">
        <v>332</v>
      </c>
      <c r="L47" s="34" t="s">
        <v>341</v>
      </c>
      <c r="M47" s="35" t="s">
        <v>743</v>
      </c>
      <c r="N47" s="35" t="s">
        <v>896</v>
      </c>
      <c r="O47" s="36"/>
      <c r="P47" s="36"/>
      <c r="Q47" s="35"/>
      <c r="S47" s="2">
        <f t="shared" si="19"/>
        <v>0</v>
      </c>
      <c r="T47" s="2">
        <f t="shared" si="20"/>
        <v>0</v>
      </c>
      <c r="U47" s="2">
        <f t="shared" si="21"/>
        <v>0</v>
      </c>
      <c r="V47" s="2">
        <f t="shared" si="22"/>
        <v>0</v>
      </c>
      <c r="W47" s="2">
        <f t="shared" si="23"/>
        <v>0</v>
      </c>
      <c r="X47" s="2">
        <f t="shared" si="24"/>
        <v>0</v>
      </c>
      <c r="Y47" s="2">
        <f t="shared" si="25"/>
        <v>0</v>
      </c>
      <c r="Z47" s="2">
        <f t="shared" si="26"/>
        <v>0</v>
      </c>
      <c r="AA47" s="2">
        <f t="shared" si="27"/>
        <v>0</v>
      </c>
      <c r="AB47" s="2">
        <f t="shared" si="28"/>
        <v>0</v>
      </c>
      <c r="AD47" s="2">
        <f t="shared" si="29"/>
        <v>0</v>
      </c>
      <c r="AE47" s="2">
        <f t="shared" si="30"/>
        <v>0</v>
      </c>
      <c r="AF47" s="2">
        <f t="shared" si="3"/>
        <v>0</v>
      </c>
      <c r="AG47" s="2">
        <f t="shared" si="4"/>
        <v>0</v>
      </c>
      <c r="AH47" s="2">
        <f t="shared" si="5"/>
        <v>0</v>
      </c>
      <c r="AI47" s="2">
        <f t="shared" si="6"/>
        <v>1</v>
      </c>
    </row>
    <row r="48" spans="1:35" ht="14.25" customHeight="1" x14ac:dyDescent="0.25">
      <c r="A48" s="34">
        <v>0</v>
      </c>
      <c r="B48" s="34">
        <v>1</v>
      </c>
      <c r="C48" s="34">
        <v>3</v>
      </c>
      <c r="D48" s="35" t="s">
        <v>686</v>
      </c>
      <c r="E48" s="35" t="s">
        <v>263</v>
      </c>
      <c r="F48" s="35" t="s">
        <v>690</v>
      </c>
      <c r="G48" s="35" t="s">
        <v>93</v>
      </c>
      <c r="H48" s="35" t="s">
        <v>165</v>
      </c>
      <c r="I48" s="34" t="s">
        <v>511</v>
      </c>
      <c r="J48" s="34">
        <v>8</v>
      </c>
      <c r="K48" s="34" t="s">
        <v>332</v>
      </c>
      <c r="L48" s="34" t="s">
        <v>597</v>
      </c>
      <c r="M48" s="35" t="s">
        <v>206</v>
      </c>
      <c r="N48" s="35" t="s">
        <v>899</v>
      </c>
      <c r="O48" s="36"/>
      <c r="P48" s="36"/>
      <c r="Q48" s="35"/>
      <c r="S48" s="2">
        <f t="shared" si="19"/>
        <v>0</v>
      </c>
      <c r="T48" s="2">
        <f t="shared" si="20"/>
        <v>0</v>
      </c>
      <c r="U48" s="2">
        <f t="shared" si="21"/>
        <v>0</v>
      </c>
      <c r="V48" s="2">
        <f t="shared" si="22"/>
        <v>0</v>
      </c>
      <c r="W48" s="2">
        <f t="shared" si="23"/>
        <v>0</v>
      </c>
      <c r="X48" s="2">
        <f t="shared" si="24"/>
        <v>0</v>
      </c>
      <c r="Y48" s="2">
        <f t="shared" si="25"/>
        <v>0</v>
      </c>
      <c r="Z48" s="2">
        <f t="shared" si="26"/>
        <v>1</v>
      </c>
      <c r="AA48" s="2">
        <f t="shared" si="27"/>
        <v>0</v>
      </c>
      <c r="AB48" s="2">
        <f t="shared" si="28"/>
        <v>0</v>
      </c>
      <c r="AD48" s="2">
        <f t="shared" si="29"/>
        <v>0</v>
      </c>
      <c r="AE48" s="2">
        <f t="shared" si="30"/>
        <v>0</v>
      </c>
      <c r="AF48" s="2">
        <f t="shared" si="3"/>
        <v>0</v>
      </c>
      <c r="AG48" s="2">
        <f t="shared" si="4"/>
        <v>0</v>
      </c>
      <c r="AH48" s="2">
        <f t="shared" si="5"/>
        <v>0</v>
      </c>
      <c r="AI48" s="2">
        <f t="shared" si="6"/>
        <v>1</v>
      </c>
    </row>
    <row r="49" spans="1:35" ht="14.25" customHeight="1" x14ac:dyDescent="0.25">
      <c r="A49" s="31">
        <v>0</v>
      </c>
      <c r="B49" s="31">
        <v>1</v>
      </c>
      <c r="C49" s="31">
        <v>3</v>
      </c>
      <c r="D49" s="32" t="s">
        <v>687</v>
      </c>
      <c r="E49" s="32" t="s">
        <v>259</v>
      </c>
      <c r="F49" s="32" t="s">
        <v>158</v>
      </c>
      <c r="G49" s="32" t="s">
        <v>93</v>
      </c>
      <c r="H49" s="32" t="s">
        <v>165</v>
      </c>
      <c r="I49" s="31" t="s">
        <v>199</v>
      </c>
      <c r="J49" s="31">
        <v>8</v>
      </c>
      <c r="K49" s="31" t="s">
        <v>329</v>
      </c>
      <c r="L49" s="31" t="s">
        <v>341</v>
      </c>
      <c r="M49" s="32" t="s">
        <v>266</v>
      </c>
      <c r="N49" s="32" t="s">
        <v>909</v>
      </c>
      <c r="O49" s="33">
        <v>1</v>
      </c>
      <c r="P49" s="33"/>
      <c r="Q49" s="32"/>
      <c r="S49" s="2">
        <f t="shared" si="19"/>
        <v>0</v>
      </c>
      <c r="T49" s="2">
        <f t="shared" si="20"/>
        <v>0</v>
      </c>
      <c r="U49" s="2">
        <f t="shared" si="21"/>
        <v>0</v>
      </c>
      <c r="V49" s="2">
        <f t="shared" si="22"/>
        <v>0</v>
      </c>
      <c r="W49" s="2">
        <f t="shared" si="23"/>
        <v>0</v>
      </c>
      <c r="X49" s="2">
        <f t="shared" si="24"/>
        <v>0</v>
      </c>
      <c r="Y49" s="2">
        <f t="shared" si="25"/>
        <v>0</v>
      </c>
      <c r="Z49" s="2">
        <f t="shared" si="26"/>
        <v>1</v>
      </c>
      <c r="AA49" s="2">
        <f t="shared" si="27"/>
        <v>0</v>
      </c>
      <c r="AB49" s="2">
        <f t="shared" si="28"/>
        <v>0</v>
      </c>
      <c r="AD49" s="2">
        <f t="shared" si="29"/>
        <v>0</v>
      </c>
      <c r="AE49" s="2">
        <f t="shared" si="30"/>
        <v>1</v>
      </c>
      <c r="AF49" s="2">
        <f t="shared" si="3"/>
        <v>0</v>
      </c>
      <c r="AG49" s="2">
        <f t="shared" si="4"/>
        <v>1</v>
      </c>
      <c r="AH49" s="2">
        <f t="shared" si="5"/>
        <v>0</v>
      </c>
      <c r="AI49" s="2">
        <f t="shared" si="6"/>
        <v>1</v>
      </c>
    </row>
    <row r="50" spans="1:35" ht="14.25" customHeight="1" x14ac:dyDescent="0.25">
      <c r="A50" s="28">
        <v>0</v>
      </c>
      <c r="B50" s="28">
        <v>1</v>
      </c>
      <c r="C50" s="28">
        <v>3</v>
      </c>
      <c r="D50" s="29" t="s">
        <v>76</v>
      </c>
      <c r="E50" s="29" t="s">
        <v>259</v>
      </c>
      <c r="F50" s="29" t="s">
        <v>159</v>
      </c>
      <c r="G50" s="29" t="s">
        <v>130</v>
      </c>
      <c r="H50" s="29" t="s">
        <v>165</v>
      </c>
      <c r="I50" s="28" t="s">
        <v>200</v>
      </c>
      <c r="J50" s="28">
        <v>10</v>
      </c>
      <c r="K50" s="28" t="s">
        <v>322</v>
      </c>
      <c r="L50" s="28" t="s">
        <v>341</v>
      </c>
      <c r="M50" s="29" t="s">
        <v>266</v>
      </c>
      <c r="N50" s="29"/>
      <c r="O50" s="30"/>
      <c r="P50" s="30">
        <v>1</v>
      </c>
      <c r="Q50" s="29"/>
      <c r="S50" s="2">
        <f t="shared" si="19"/>
        <v>0</v>
      </c>
      <c r="T50" s="2">
        <f t="shared" si="20"/>
        <v>0</v>
      </c>
      <c r="U50" s="2">
        <f t="shared" si="21"/>
        <v>0</v>
      </c>
      <c r="V50" s="2">
        <f t="shared" si="22"/>
        <v>0</v>
      </c>
      <c r="W50" s="2">
        <f t="shared" si="23"/>
        <v>0</v>
      </c>
      <c r="X50" s="2">
        <f t="shared" si="24"/>
        <v>0</v>
      </c>
      <c r="Y50" s="2">
        <f t="shared" si="25"/>
        <v>0</v>
      </c>
      <c r="Z50" s="2">
        <f t="shared" si="26"/>
        <v>0</v>
      </c>
      <c r="AA50" s="2">
        <f t="shared" si="27"/>
        <v>0</v>
      </c>
      <c r="AB50" s="2">
        <f t="shared" si="28"/>
        <v>1</v>
      </c>
      <c r="AD50" s="2">
        <f t="shared" si="29"/>
        <v>0</v>
      </c>
      <c r="AE50" s="2">
        <f t="shared" si="30"/>
        <v>0</v>
      </c>
      <c r="AF50" s="2">
        <f t="shared" si="3"/>
        <v>0</v>
      </c>
      <c r="AG50" s="2">
        <f t="shared" si="4"/>
        <v>0</v>
      </c>
      <c r="AH50" s="2">
        <f t="shared" si="5"/>
        <v>1</v>
      </c>
      <c r="AI50" s="2">
        <f t="shared" si="6"/>
        <v>0</v>
      </c>
    </row>
    <row r="51" spans="1:35" ht="14.25" customHeight="1" x14ac:dyDescent="0.25">
      <c r="A51" s="34">
        <v>0</v>
      </c>
      <c r="B51" s="34">
        <v>1</v>
      </c>
      <c r="C51" s="34">
        <v>3</v>
      </c>
      <c r="D51" s="35" t="s">
        <v>637</v>
      </c>
      <c r="E51" s="35" t="s">
        <v>638</v>
      </c>
      <c r="F51" s="35" t="s">
        <v>639</v>
      </c>
      <c r="G51" s="35" t="s">
        <v>516</v>
      </c>
      <c r="H51" s="35" t="s">
        <v>165</v>
      </c>
      <c r="I51" s="34" t="s">
        <v>640</v>
      </c>
      <c r="J51" s="34"/>
      <c r="K51" s="34" t="s">
        <v>378</v>
      </c>
      <c r="L51" s="34">
        <v>55</v>
      </c>
      <c r="M51" s="35" t="s">
        <v>641</v>
      </c>
      <c r="N51" s="35" t="s">
        <v>930</v>
      </c>
      <c r="O51" s="36"/>
      <c r="P51" s="36"/>
      <c r="Q51" s="35"/>
      <c r="S51" s="2">
        <f t="shared" si="19"/>
        <v>0</v>
      </c>
      <c r="T51" s="2">
        <f t="shared" si="20"/>
        <v>0</v>
      </c>
      <c r="U51" s="2">
        <f t="shared" si="21"/>
        <v>0</v>
      </c>
      <c r="V51" s="2">
        <f t="shared" si="22"/>
        <v>0</v>
      </c>
      <c r="W51" s="2">
        <f t="shared" si="23"/>
        <v>0</v>
      </c>
      <c r="X51" s="2">
        <f t="shared" si="24"/>
        <v>0</v>
      </c>
      <c r="Y51" s="2">
        <f t="shared" si="25"/>
        <v>0</v>
      </c>
      <c r="Z51" s="2">
        <f t="shared" si="26"/>
        <v>0</v>
      </c>
      <c r="AA51" s="2">
        <f t="shared" si="27"/>
        <v>0</v>
      </c>
      <c r="AB51" s="2">
        <f t="shared" si="28"/>
        <v>0</v>
      </c>
      <c r="AD51" s="2">
        <f t="shared" si="29"/>
        <v>0</v>
      </c>
      <c r="AE51" s="2">
        <f t="shared" si="30"/>
        <v>0</v>
      </c>
      <c r="AF51" s="2">
        <f t="shared" si="3"/>
        <v>0</v>
      </c>
      <c r="AG51" s="2">
        <f t="shared" si="4"/>
        <v>0</v>
      </c>
      <c r="AH51" s="2">
        <f t="shared" si="5"/>
        <v>0</v>
      </c>
      <c r="AI51" s="2">
        <f t="shared" si="6"/>
        <v>1</v>
      </c>
    </row>
    <row r="52" spans="1:35" ht="14.25" customHeight="1" x14ac:dyDescent="0.25">
      <c r="A52" s="34">
        <v>0</v>
      </c>
      <c r="B52" s="34">
        <v>1</v>
      </c>
      <c r="C52" s="34">
        <v>3</v>
      </c>
      <c r="D52" s="35" t="s">
        <v>730</v>
      </c>
      <c r="E52" s="35" t="s">
        <v>259</v>
      </c>
      <c r="F52" s="35" t="s">
        <v>834</v>
      </c>
      <c r="G52" s="35" t="s">
        <v>733</v>
      </c>
      <c r="H52" s="35" t="s">
        <v>165</v>
      </c>
      <c r="I52" s="34" t="s">
        <v>732</v>
      </c>
      <c r="J52" s="34">
        <v>99</v>
      </c>
      <c r="K52" s="34" t="s">
        <v>331</v>
      </c>
      <c r="L52" s="34" t="s">
        <v>346</v>
      </c>
      <c r="M52" s="35" t="s">
        <v>731</v>
      </c>
      <c r="N52" s="35" t="s">
        <v>930</v>
      </c>
      <c r="O52" s="36"/>
      <c r="P52" s="36"/>
      <c r="Q52" s="35"/>
      <c r="S52" s="2">
        <f t="shared" si="19"/>
        <v>0</v>
      </c>
      <c r="T52" s="2">
        <f t="shared" si="20"/>
        <v>0</v>
      </c>
      <c r="U52" s="2">
        <f t="shared" si="21"/>
        <v>0</v>
      </c>
      <c r="V52" s="2">
        <f t="shared" si="22"/>
        <v>0</v>
      </c>
      <c r="W52" s="2">
        <f t="shared" si="23"/>
        <v>0</v>
      </c>
      <c r="X52" s="2">
        <f t="shared" si="24"/>
        <v>0</v>
      </c>
      <c r="Y52" s="2">
        <f t="shared" si="25"/>
        <v>0</v>
      </c>
      <c r="Z52" s="2">
        <f t="shared" si="26"/>
        <v>0</v>
      </c>
      <c r="AA52" s="2">
        <f t="shared" si="27"/>
        <v>0</v>
      </c>
      <c r="AB52" s="2">
        <f t="shared" si="28"/>
        <v>0</v>
      </c>
      <c r="AD52" s="2">
        <f t="shared" si="29"/>
        <v>0</v>
      </c>
      <c r="AE52" s="2">
        <f t="shared" si="30"/>
        <v>0</v>
      </c>
      <c r="AF52" s="2">
        <f t="shared" si="3"/>
        <v>0</v>
      </c>
      <c r="AG52" s="2">
        <f t="shared" si="4"/>
        <v>0</v>
      </c>
      <c r="AH52" s="2">
        <f t="shared" si="5"/>
        <v>0</v>
      </c>
      <c r="AI52" s="2">
        <f t="shared" si="6"/>
        <v>1</v>
      </c>
    </row>
    <row r="53" spans="1:35" ht="14.25" customHeight="1" x14ac:dyDescent="0.25">
      <c r="A53" s="34">
        <v>0</v>
      </c>
      <c r="B53" s="34">
        <v>1</v>
      </c>
      <c r="C53" s="34">
        <v>3</v>
      </c>
      <c r="D53" s="35" t="s">
        <v>56</v>
      </c>
      <c r="E53" s="35" t="s">
        <v>259</v>
      </c>
      <c r="F53" s="35" t="s">
        <v>111</v>
      </c>
      <c r="G53" s="35" t="s">
        <v>112</v>
      </c>
      <c r="H53" s="35" t="s">
        <v>165</v>
      </c>
      <c r="I53" s="34" t="s">
        <v>175</v>
      </c>
      <c r="J53" s="34">
        <v>99</v>
      </c>
      <c r="K53" s="34" t="s">
        <v>326</v>
      </c>
      <c r="L53" s="34">
        <v>65</v>
      </c>
      <c r="M53" s="35" t="s">
        <v>738</v>
      </c>
      <c r="N53" s="35" t="s">
        <v>930</v>
      </c>
      <c r="O53" s="36"/>
      <c r="P53" s="36"/>
      <c r="Q53" s="35"/>
      <c r="S53" s="2">
        <f t="shared" si="19"/>
        <v>0</v>
      </c>
      <c r="T53" s="2">
        <f t="shared" si="20"/>
        <v>0</v>
      </c>
      <c r="U53" s="2">
        <f t="shared" si="21"/>
        <v>0</v>
      </c>
      <c r="V53" s="2">
        <f t="shared" si="22"/>
        <v>0</v>
      </c>
      <c r="W53" s="2">
        <f t="shared" si="23"/>
        <v>0</v>
      </c>
      <c r="X53" s="2">
        <f t="shared" si="24"/>
        <v>0</v>
      </c>
      <c r="Y53" s="2">
        <f t="shared" si="25"/>
        <v>0</v>
      </c>
      <c r="Z53" s="2">
        <f t="shared" si="26"/>
        <v>0</v>
      </c>
      <c r="AA53" s="2">
        <f t="shared" si="27"/>
        <v>0</v>
      </c>
      <c r="AB53" s="2">
        <f t="shared" si="28"/>
        <v>0</v>
      </c>
      <c r="AD53" s="2">
        <f t="shared" si="29"/>
        <v>0</v>
      </c>
      <c r="AE53" s="2">
        <f t="shared" si="30"/>
        <v>0</v>
      </c>
      <c r="AF53" s="2">
        <f t="shared" si="3"/>
        <v>0</v>
      </c>
      <c r="AG53" s="2">
        <f t="shared" si="4"/>
        <v>0</v>
      </c>
      <c r="AH53" s="2">
        <f t="shared" si="5"/>
        <v>0</v>
      </c>
      <c r="AI53" s="2">
        <f t="shared" si="6"/>
        <v>1</v>
      </c>
    </row>
    <row r="54" spans="1:35" ht="14.25" customHeight="1" x14ac:dyDescent="0.25">
      <c r="A54" s="20">
        <v>0</v>
      </c>
      <c r="B54" s="20">
        <v>1</v>
      </c>
      <c r="C54" s="20">
        <v>3</v>
      </c>
      <c r="D54" s="21" t="s">
        <v>49</v>
      </c>
      <c r="E54" s="21" t="s">
        <v>259</v>
      </c>
      <c r="F54" s="21" t="s">
        <v>101</v>
      </c>
      <c r="G54" s="21" t="s">
        <v>93</v>
      </c>
      <c r="H54" s="21" t="s">
        <v>165</v>
      </c>
      <c r="I54" s="20" t="s">
        <v>169</v>
      </c>
      <c r="J54" s="20">
        <v>8</v>
      </c>
      <c r="K54" s="20" t="s">
        <v>332</v>
      </c>
      <c r="L54" s="20">
        <v>50</v>
      </c>
      <c r="M54" s="21" t="s">
        <v>912</v>
      </c>
      <c r="N54" s="21"/>
      <c r="O54" s="7"/>
      <c r="P54" s="7"/>
      <c r="Q54" s="21"/>
      <c r="S54" s="2">
        <f t="shared" si="19"/>
        <v>0</v>
      </c>
      <c r="T54" s="2">
        <f t="shared" si="20"/>
        <v>0</v>
      </c>
      <c r="U54" s="2">
        <f t="shared" si="21"/>
        <v>0</v>
      </c>
      <c r="V54" s="2">
        <f t="shared" si="22"/>
        <v>0</v>
      </c>
      <c r="W54" s="2">
        <f t="shared" si="23"/>
        <v>0</v>
      </c>
      <c r="X54" s="2">
        <f t="shared" si="24"/>
        <v>0</v>
      </c>
      <c r="Y54" s="2">
        <f t="shared" si="25"/>
        <v>0</v>
      </c>
      <c r="Z54" s="2">
        <f t="shared" si="26"/>
        <v>1</v>
      </c>
      <c r="AA54" s="2">
        <f t="shared" si="27"/>
        <v>0</v>
      </c>
      <c r="AB54" s="2">
        <f t="shared" si="28"/>
        <v>0</v>
      </c>
      <c r="AD54" s="2">
        <f t="shared" si="29"/>
        <v>0</v>
      </c>
      <c r="AE54" s="2">
        <f t="shared" si="30"/>
        <v>0</v>
      </c>
      <c r="AF54" s="2">
        <f t="shared" si="3"/>
        <v>0</v>
      </c>
      <c r="AG54" s="2">
        <f t="shared" si="4"/>
        <v>0</v>
      </c>
      <c r="AH54" s="2">
        <f t="shared" si="5"/>
        <v>0</v>
      </c>
      <c r="AI54" s="2">
        <f t="shared" si="6"/>
        <v>1</v>
      </c>
    </row>
    <row r="55" spans="1:35" ht="14.25" customHeight="1" x14ac:dyDescent="0.25">
      <c r="A55" s="31">
        <v>0</v>
      </c>
      <c r="B55" s="31">
        <v>1</v>
      </c>
      <c r="C55" s="31">
        <v>4</v>
      </c>
      <c r="D55" s="32" t="s">
        <v>252</v>
      </c>
      <c r="E55" s="32" t="s">
        <v>234</v>
      </c>
      <c r="F55" s="32" t="s">
        <v>235</v>
      </c>
      <c r="G55" s="32" t="s">
        <v>109</v>
      </c>
      <c r="H55" s="32" t="s">
        <v>165</v>
      </c>
      <c r="I55" s="31" t="s">
        <v>236</v>
      </c>
      <c r="J55" s="31">
        <v>9</v>
      </c>
      <c r="K55" s="31" t="s">
        <v>332</v>
      </c>
      <c r="L55" s="31" t="s">
        <v>345</v>
      </c>
      <c r="M55" s="32" t="s">
        <v>783</v>
      </c>
      <c r="N55" s="32" t="s">
        <v>895</v>
      </c>
      <c r="O55" s="33">
        <v>1</v>
      </c>
      <c r="P55" s="33">
        <v>1</v>
      </c>
      <c r="Q55" s="32"/>
      <c r="S55" s="2">
        <f t="shared" si="19"/>
        <v>0</v>
      </c>
      <c r="T55" s="2">
        <f t="shared" si="20"/>
        <v>0</v>
      </c>
      <c r="U55" s="2">
        <f t="shared" si="21"/>
        <v>0</v>
      </c>
      <c r="V55" s="2">
        <f t="shared" si="22"/>
        <v>0</v>
      </c>
      <c r="W55" s="2">
        <f t="shared" si="23"/>
        <v>0</v>
      </c>
      <c r="X55" s="2">
        <f t="shared" si="24"/>
        <v>0</v>
      </c>
      <c r="Y55" s="2">
        <f t="shared" si="25"/>
        <v>0</v>
      </c>
      <c r="Z55" s="2">
        <f t="shared" si="26"/>
        <v>0</v>
      </c>
      <c r="AA55" s="2">
        <f t="shared" si="27"/>
        <v>1</v>
      </c>
      <c r="AB55" s="2">
        <f t="shared" si="28"/>
        <v>0</v>
      </c>
      <c r="AD55" s="2">
        <f t="shared" si="29"/>
        <v>1</v>
      </c>
      <c r="AE55" s="2">
        <f t="shared" si="30"/>
        <v>0</v>
      </c>
      <c r="AF55" s="2">
        <f t="shared" si="3"/>
        <v>1</v>
      </c>
      <c r="AG55" s="2">
        <f t="shared" si="4"/>
        <v>0</v>
      </c>
      <c r="AH55" s="2">
        <f t="shared" si="5"/>
        <v>1</v>
      </c>
      <c r="AI55" s="2">
        <f t="shared" si="6"/>
        <v>0</v>
      </c>
    </row>
    <row r="56" spans="1:35" ht="14.25" customHeight="1" x14ac:dyDescent="0.25">
      <c r="A56" s="34">
        <v>0</v>
      </c>
      <c r="B56" s="34">
        <v>1</v>
      </c>
      <c r="C56" s="34">
        <v>4</v>
      </c>
      <c r="D56" s="35" t="s">
        <v>307</v>
      </c>
      <c r="E56" s="35" t="s">
        <v>29</v>
      </c>
      <c r="F56" s="35" t="s">
        <v>283</v>
      </c>
      <c r="G56" s="35" t="s">
        <v>284</v>
      </c>
      <c r="H56" s="35" t="s">
        <v>165</v>
      </c>
      <c r="I56" s="34" t="s">
        <v>285</v>
      </c>
      <c r="J56" s="34">
        <v>99</v>
      </c>
      <c r="K56" s="34" t="s">
        <v>378</v>
      </c>
      <c r="L56" s="34" t="s">
        <v>334</v>
      </c>
      <c r="M56" s="35" t="s">
        <v>266</v>
      </c>
      <c r="N56" s="35" t="s">
        <v>931</v>
      </c>
      <c r="O56" s="36"/>
      <c r="P56" s="36"/>
      <c r="Q56" s="35"/>
      <c r="S56" s="2">
        <f t="shared" si="19"/>
        <v>0</v>
      </c>
      <c r="T56" s="2">
        <f t="shared" si="20"/>
        <v>0</v>
      </c>
      <c r="U56" s="2">
        <f t="shared" si="21"/>
        <v>0</v>
      </c>
      <c r="V56" s="2">
        <f t="shared" si="22"/>
        <v>0</v>
      </c>
      <c r="W56" s="2">
        <f t="shared" si="23"/>
        <v>0</v>
      </c>
      <c r="X56" s="2">
        <f t="shared" si="24"/>
        <v>0</v>
      </c>
      <c r="Y56" s="2">
        <f t="shared" si="25"/>
        <v>0</v>
      </c>
      <c r="Z56" s="2">
        <f t="shared" si="26"/>
        <v>0</v>
      </c>
      <c r="AA56" s="2">
        <f t="shared" si="27"/>
        <v>0</v>
      </c>
      <c r="AB56" s="2">
        <f t="shared" si="28"/>
        <v>0</v>
      </c>
      <c r="AD56" s="2">
        <f t="shared" si="29"/>
        <v>0</v>
      </c>
      <c r="AE56" s="2">
        <f t="shared" si="30"/>
        <v>0</v>
      </c>
      <c r="AF56" s="2">
        <f t="shared" si="3"/>
        <v>0</v>
      </c>
      <c r="AG56" s="2">
        <f t="shared" si="4"/>
        <v>0</v>
      </c>
      <c r="AH56" s="2">
        <f t="shared" si="5"/>
        <v>0</v>
      </c>
      <c r="AI56" s="2">
        <f t="shared" si="6"/>
        <v>1</v>
      </c>
    </row>
    <row r="57" spans="1:35" ht="14.25" customHeight="1" x14ac:dyDescent="0.25">
      <c r="A57" s="20">
        <v>0</v>
      </c>
      <c r="B57" s="20">
        <v>1</v>
      </c>
      <c r="C57" s="20">
        <v>5</v>
      </c>
      <c r="D57" s="21" t="s">
        <v>714</v>
      </c>
      <c r="E57" s="21" t="s">
        <v>711</v>
      </c>
      <c r="F57" s="21" t="s">
        <v>710</v>
      </c>
      <c r="G57" s="21" t="s">
        <v>303</v>
      </c>
      <c r="H57" s="21" t="s">
        <v>165</v>
      </c>
      <c r="I57" s="20" t="s">
        <v>712</v>
      </c>
      <c r="J57" s="20">
        <v>99</v>
      </c>
      <c r="K57" s="20" t="s">
        <v>378</v>
      </c>
      <c r="L57" s="20">
        <v>55</v>
      </c>
      <c r="M57" s="21" t="s">
        <v>709</v>
      </c>
      <c r="N57" s="21"/>
      <c r="O57" s="7"/>
      <c r="P57" s="7"/>
      <c r="Q57" s="21"/>
      <c r="S57" s="2">
        <f t="shared" si="19"/>
        <v>0</v>
      </c>
      <c r="T57" s="2">
        <f t="shared" si="20"/>
        <v>0</v>
      </c>
      <c r="U57" s="2">
        <f t="shared" si="21"/>
        <v>0</v>
      </c>
      <c r="V57" s="2">
        <f t="shared" si="22"/>
        <v>0</v>
      </c>
      <c r="W57" s="2">
        <f t="shared" si="23"/>
        <v>0</v>
      </c>
      <c r="X57" s="2">
        <f t="shared" si="24"/>
        <v>0</v>
      </c>
      <c r="Y57" s="2">
        <f t="shared" si="25"/>
        <v>0</v>
      </c>
      <c r="Z57" s="2">
        <f t="shared" si="26"/>
        <v>0</v>
      </c>
      <c r="AA57" s="2">
        <f t="shared" si="27"/>
        <v>0</v>
      </c>
      <c r="AB57" s="2">
        <f t="shared" si="28"/>
        <v>0</v>
      </c>
      <c r="AD57" s="2">
        <f t="shared" si="29"/>
        <v>0</v>
      </c>
      <c r="AE57" s="2">
        <f t="shared" si="30"/>
        <v>0</v>
      </c>
      <c r="AF57" s="2">
        <f t="shared" si="3"/>
        <v>0</v>
      </c>
      <c r="AG57" s="2">
        <f t="shared" si="4"/>
        <v>0</v>
      </c>
      <c r="AH57" s="2">
        <f t="shared" si="5"/>
        <v>0</v>
      </c>
      <c r="AI57" s="2">
        <f t="shared" si="6"/>
        <v>1</v>
      </c>
    </row>
    <row r="58" spans="1:35" ht="14.25" customHeight="1" x14ac:dyDescent="0.25">
      <c r="A58" s="34">
        <v>0</v>
      </c>
      <c r="B58" s="34">
        <v>1</v>
      </c>
      <c r="C58" s="34">
        <v>5</v>
      </c>
      <c r="D58" s="35" t="s">
        <v>889</v>
      </c>
      <c r="E58" s="35" t="s">
        <v>892</v>
      </c>
      <c r="F58" s="35" t="s">
        <v>890</v>
      </c>
      <c r="G58" s="35" t="s">
        <v>403</v>
      </c>
      <c r="H58" s="35" t="s">
        <v>165</v>
      </c>
      <c r="I58" s="34" t="s">
        <v>891</v>
      </c>
      <c r="J58" s="34"/>
      <c r="K58" s="34" t="s">
        <v>378</v>
      </c>
      <c r="L58" s="34">
        <v>55</v>
      </c>
      <c r="M58" s="35" t="s">
        <v>893</v>
      </c>
      <c r="N58" s="35" t="s">
        <v>930</v>
      </c>
      <c r="O58" s="36"/>
      <c r="P58" s="36"/>
      <c r="Q58" s="35"/>
      <c r="S58" s="2">
        <f t="shared" si="19"/>
        <v>0</v>
      </c>
      <c r="T58" s="2">
        <f t="shared" si="20"/>
        <v>0</v>
      </c>
      <c r="U58" s="2">
        <f t="shared" si="21"/>
        <v>0</v>
      </c>
      <c r="V58" s="2">
        <f t="shared" si="22"/>
        <v>0</v>
      </c>
      <c r="W58" s="2">
        <f t="shared" si="23"/>
        <v>0</v>
      </c>
      <c r="X58" s="2">
        <f t="shared" si="24"/>
        <v>0</v>
      </c>
      <c r="Y58" s="2">
        <f t="shared" si="25"/>
        <v>0</v>
      </c>
      <c r="Z58" s="2">
        <f t="shared" si="26"/>
        <v>0</v>
      </c>
      <c r="AA58" s="2">
        <f t="shared" si="27"/>
        <v>0</v>
      </c>
      <c r="AB58" s="2">
        <f t="shared" si="28"/>
        <v>0</v>
      </c>
      <c r="AD58" s="2">
        <f t="shared" si="29"/>
        <v>0</v>
      </c>
      <c r="AE58" s="2">
        <f t="shared" si="30"/>
        <v>0</v>
      </c>
      <c r="AF58" s="2">
        <f t="shared" si="3"/>
        <v>0</v>
      </c>
      <c r="AG58" s="2">
        <f t="shared" si="4"/>
        <v>0</v>
      </c>
      <c r="AH58" s="2">
        <f t="shared" si="5"/>
        <v>0</v>
      </c>
      <c r="AI58" s="2">
        <f t="shared" si="6"/>
        <v>1</v>
      </c>
    </row>
    <row r="59" spans="1:35" ht="14.25" customHeight="1" x14ac:dyDescent="0.25">
      <c r="A59" s="31">
        <v>0</v>
      </c>
      <c r="B59" s="31">
        <v>1</v>
      </c>
      <c r="C59" s="31">
        <v>5</v>
      </c>
      <c r="D59" s="32" t="s">
        <v>874</v>
      </c>
      <c r="E59" s="32" t="s">
        <v>805</v>
      </c>
      <c r="F59" s="32" t="s">
        <v>875</v>
      </c>
      <c r="G59" s="32" t="s">
        <v>309</v>
      </c>
      <c r="H59" s="32" t="s">
        <v>165</v>
      </c>
      <c r="I59" s="31" t="s">
        <v>876</v>
      </c>
      <c r="J59" s="31"/>
      <c r="K59" s="31" t="s">
        <v>378</v>
      </c>
      <c r="L59" s="31">
        <v>50</v>
      </c>
      <c r="M59" s="32" t="s">
        <v>877</v>
      </c>
      <c r="N59" s="32" t="s">
        <v>937</v>
      </c>
      <c r="O59" s="33">
        <v>1</v>
      </c>
      <c r="P59" s="33"/>
      <c r="Q59" s="32"/>
      <c r="S59" s="2">
        <f t="shared" si="19"/>
        <v>0</v>
      </c>
      <c r="T59" s="2">
        <f t="shared" si="20"/>
        <v>0</v>
      </c>
      <c r="U59" s="2">
        <f t="shared" si="21"/>
        <v>0</v>
      </c>
      <c r="V59" s="2">
        <f t="shared" si="22"/>
        <v>0</v>
      </c>
      <c r="W59" s="2">
        <f t="shared" si="23"/>
        <v>0</v>
      </c>
      <c r="X59" s="2">
        <f t="shared" si="24"/>
        <v>0</v>
      </c>
      <c r="Y59" s="2">
        <f t="shared" si="25"/>
        <v>0</v>
      </c>
      <c r="Z59" s="2">
        <f t="shared" si="26"/>
        <v>0</v>
      </c>
      <c r="AA59" s="2">
        <f t="shared" si="27"/>
        <v>0</v>
      </c>
      <c r="AB59" s="2">
        <f t="shared" si="28"/>
        <v>0</v>
      </c>
      <c r="AD59" s="2">
        <f t="shared" si="29"/>
        <v>0</v>
      </c>
      <c r="AE59" s="2">
        <f t="shared" si="30"/>
        <v>1</v>
      </c>
      <c r="AF59" s="2">
        <f t="shared" si="3"/>
        <v>0</v>
      </c>
      <c r="AG59" s="2">
        <f t="shared" si="4"/>
        <v>1</v>
      </c>
      <c r="AH59" s="2">
        <f t="shared" si="5"/>
        <v>0</v>
      </c>
      <c r="AI59" s="2">
        <f t="shared" si="6"/>
        <v>1</v>
      </c>
    </row>
    <row r="60" spans="1:35" ht="14.25" customHeight="1" x14ac:dyDescent="0.25">
      <c r="A60" s="20">
        <v>0</v>
      </c>
      <c r="B60" s="20">
        <v>1</v>
      </c>
      <c r="C60" s="20">
        <v>5</v>
      </c>
      <c r="D60" s="21" t="s">
        <v>806</v>
      </c>
      <c r="E60" s="21" t="s">
        <v>805</v>
      </c>
      <c r="F60" s="21" t="s">
        <v>839</v>
      </c>
      <c r="G60" s="21" t="s">
        <v>93</v>
      </c>
      <c r="H60" s="21" t="s">
        <v>165</v>
      </c>
      <c r="I60" s="20" t="s">
        <v>853</v>
      </c>
      <c r="J60" s="20">
        <v>8</v>
      </c>
      <c r="K60" s="20" t="s">
        <v>332</v>
      </c>
      <c r="L60" s="20">
        <v>50</v>
      </c>
      <c r="M60" s="21" t="s">
        <v>877</v>
      </c>
      <c r="N60" s="21"/>
      <c r="O60" s="7"/>
      <c r="P60" s="7"/>
      <c r="Q60" s="21"/>
      <c r="S60" s="2">
        <f t="shared" si="19"/>
        <v>0</v>
      </c>
      <c r="T60" s="2">
        <f t="shared" si="20"/>
        <v>0</v>
      </c>
      <c r="U60" s="2">
        <f t="shared" si="21"/>
        <v>0</v>
      </c>
      <c r="V60" s="2">
        <f t="shared" si="22"/>
        <v>0</v>
      </c>
      <c r="W60" s="2">
        <f t="shared" si="23"/>
        <v>0</v>
      </c>
      <c r="X60" s="2">
        <f t="shared" si="24"/>
        <v>0</v>
      </c>
      <c r="Y60" s="2">
        <f t="shared" si="25"/>
        <v>0</v>
      </c>
      <c r="Z60" s="2">
        <f t="shared" si="26"/>
        <v>1</v>
      </c>
      <c r="AA60" s="2">
        <f t="shared" si="27"/>
        <v>0</v>
      </c>
      <c r="AB60" s="2">
        <f t="shared" si="28"/>
        <v>0</v>
      </c>
      <c r="AD60" s="2">
        <f t="shared" si="29"/>
        <v>0</v>
      </c>
      <c r="AE60" s="2">
        <f t="shared" si="30"/>
        <v>0</v>
      </c>
      <c r="AF60" s="2">
        <f t="shared" si="3"/>
        <v>0</v>
      </c>
      <c r="AG60" s="2">
        <f t="shared" si="4"/>
        <v>0</v>
      </c>
      <c r="AH60" s="2">
        <f t="shared" si="5"/>
        <v>0</v>
      </c>
      <c r="AI60" s="2">
        <f t="shared" si="6"/>
        <v>1</v>
      </c>
    </row>
    <row r="61" spans="1:35" ht="14.25" customHeight="1" x14ac:dyDescent="0.25">
      <c r="A61" s="31">
        <v>0</v>
      </c>
      <c r="B61" s="31">
        <v>1</v>
      </c>
      <c r="C61" s="31">
        <v>5</v>
      </c>
      <c r="D61" s="32" t="s">
        <v>871</v>
      </c>
      <c r="E61" s="32" t="s">
        <v>805</v>
      </c>
      <c r="F61" s="32" t="s">
        <v>872</v>
      </c>
      <c r="G61" s="32" t="s">
        <v>370</v>
      </c>
      <c r="H61" s="32" t="s">
        <v>165</v>
      </c>
      <c r="I61" s="31" t="s">
        <v>873</v>
      </c>
      <c r="J61" s="31"/>
      <c r="K61" s="31" t="s">
        <v>378</v>
      </c>
      <c r="L61" s="31">
        <v>45</v>
      </c>
      <c r="M61" s="32" t="s">
        <v>420</v>
      </c>
      <c r="N61" s="32" t="s">
        <v>895</v>
      </c>
      <c r="O61" s="33">
        <v>1</v>
      </c>
      <c r="P61" s="33">
        <v>1</v>
      </c>
      <c r="Q61" s="32"/>
      <c r="S61" s="2">
        <f t="shared" si="19"/>
        <v>0</v>
      </c>
      <c r="T61" s="2">
        <f t="shared" si="20"/>
        <v>0</v>
      </c>
      <c r="U61" s="2">
        <f t="shared" si="21"/>
        <v>0</v>
      </c>
      <c r="V61" s="2">
        <f t="shared" si="22"/>
        <v>0</v>
      </c>
      <c r="W61" s="2">
        <f t="shared" si="23"/>
        <v>0</v>
      </c>
      <c r="X61" s="2">
        <f t="shared" si="24"/>
        <v>0</v>
      </c>
      <c r="Y61" s="2">
        <f t="shared" si="25"/>
        <v>0</v>
      </c>
      <c r="Z61" s="2">
        <f t="shared" si="26"/>
        <v>0</v>
      </c>
      <c r="AA61" s="2">
        <f t="shared" si="27"/>
        <v>0</v>
      </c>
      <c r="AB61" s="2">
        <f t="shared" si="28"/>
        <v>0</v>
      </c>
      <c r="AD61" s="2">
        <f t="shared" si="29"/>
        <v>1</v>
      </c>
      <c r="AE61" s="2">
        <f t="shared" si="30"/>
        <v>0</v>
      </c>
      <c r="AF61" s="2">
        <f t="shared" si="3"/>
        <v>1</v>
      </c>
      <c r="AG61" s="2">
        <f t="shared" si="4"/>
        <v>0</v>
      </c>
      <c r="AH61" s="2">
        <f t="shared" si="5"/>
        <v>1</v>
      </c>
      <c r="AI61" s="2">
        <f t="shared" si="6"/>
        <v>0</v>
      </c>
    </row>
    <row r="62" spans="1:35" ht="14.25" customHeight="1" x14ac:dyDescent="0.25">
      <c r="A62" s="31">
        <v>0</v>
      </c>
      <c r="B62" s="31">
        <v>1</v>
      </c>
      <c r="C62" s="31">
        <v>5</v>
      </c>
      <c r="D62" s="32" t="s">
        <v>57</v>
      </c>
      <c r="E62" s="32" t="s">
        <v>259</v>
      </c>
      <c r="F62" s="32" t="s">
        <v>113</v>
      </c>
      <c r="G62" s="32" t="s">
        <v>114</v>
      </c>
      <c r="H62" s="32" t="s">
        <v>165</v>
      </c>
      <c r="I62" s="31" t="s">
        <v>176</v>
      </c>
      <c r="J62" s="31">
        <v>99</v>
      </c>
      <c r="K62" s="31" t="s">
        <v>378</v>
      </c>
      <c r="L62" s="31">
        <v>30</v>
      </c>
      <c r="M62" s="32" t="s">
        <v>266</v>
      </c>
      <c r="N62" s="32" t="s">
        <v>914</v>
      </c>
      <c r="O62" s="33">
        <v>1</v>
      </c>
      <c r="P62" s="33"/>
      <c r="Q62" s="32"/>
      <c r="S62" s="2">
        <f t="shared" si="19"/>
        <v>0</v>
      </c>
      <c r="T62" s="2">
        <f t="shared" si="20"/>
        <v>0</v>
      </c>
      <c r="U62" s="2">
        <f t="shared" si="21"/>
        <v>0</v>
      </c>
      <c r="V62" s="2">
        <f t="shared" si="22"/>
        <v>0</v>
      </c>
      <c r="W62" s="2">
        <f t="shared" si="23"/>
        <v>0</v>
      </c>
      <c r="X62" s="2">
        <f t="shared" si="24"/>
        <v>0</v>
      </c>
      <c r="Y62" s="2">
        <f t="shared" si="25"/>
        <v>0</v>
      </c>
      <c r="Z62" s="2">
        <f t="shared" si="26"/>
        <v>0</v>
      </c>
      <c r="AA62" s="2">
        <f t="shared" si="27"/>
        <v>0</v>
      </c>
      <c r="AB62" s="2">
        <f t="shared" si="28"/>
        <v>0</v>
      </c>
      <c r="AD62" s="2">
        <f t="shared" si="29"/>
        <v>0</v>
      </c>
      <c r="AE62" s="2">
        <f t="shared" si="30"/>
        <v>1</v>
      </c>
      <c r="AF62" s="2">
        <f t="shared" si="3"/>
        <v>0</v>
      </c>
      <c r="AG62" s="2">
        <f t="shared" si="4"/>
        <v>1</v>
      </c>
      <c r="AH62" s="2">
        <f t="shared" si="5"/>
        <v>0</v>
      </c>
      <c r="AI62" s="2">
        <f t="shared" si="6"/>
        <v>1</v>
      </c>
    </row>
    <row r="63" spans="1:35" ht="14.25" customHeight="1" x14ac:dyDescent="0.25">
      <c r="A63" s="31">
        <v>0</v>
      </c>
      <c r="B63" s="31">
        <v>1</v>
      </c>
      <c r="C63" s="31">
        <v>5</v>
      </c>
      <c r="D63" s="32" t="s">
        <v>358</v>
      </c>
      <c r="E63" s="32" t="s">
        <v>363</v>
      </c>
      <c r="F63" s="32" t="s">
        <v>294</v>
      </c>
      <c r="G63" s="32" t="s">
        <v>129</v>
      </c>
      <c r="H63" s="32" t="s">
        <v>165</v>
      </c>
      <c r="I63" s="31" t="s">
        <v>295</v>
      </c>
      <c r="J63" s="31">
        <v>99</v>
      </c>
      <c r="K63" s="31" t="s">
        <v>378</v>
      </c>
      <c r="L63" s="31">
        <v>42</v>
      </c>
      <c r="M63" s="32" t="s">
        <v>420</v>
      </c>
      <c r="N63" s="32" t="s">
        <v>914</v>
      </c>
      <c r="O63" s="33">
        <v>1</v>
      </c>
      <c r="P63" s="33"/>
      <c r="Q63" s="32"/>
      <c r="S63" s="2">
        <f t="shared" si="19"/>
        <v>0</v>
      </c>
      <c r="T63" s="2">
        <f t="shared" si="20"/>
        <v>0</v>
      </c>
      <c r="U63" s="2">
        <f t="shared" si="21"/>
        <v>0</v>
      </c>
      <c r="V63" s="2">
        <f t="shared" si="22"/>
        <v>0</v>
      </c>
      <c r="W63" s="2">
        <f t="shared" si="23"/>
        <v>0</v>
      </c>
      <c r="X63" s="2">
        <f t="shared" si="24"/>
        <v>0</v>
      </c>
      <c r="Y63" s="2">
        <f t="shared" si="25"/>
        <v>0</v>
      </c>
      <c r="Z63" s="2">
        <f t="shared" si="26"/>
        <v>0</v>
      </c>
      <c r="AA63" s="2">
        <f t="shared" si="27"/>
        <v>0</v>
      </c>
      <c r="AB63" s="2">
        <f t="shared" si="28"/>
        <v>0</v>
      </c>
      <c r="AD63" s="2">
        <f t="shared" si="29"/>
        <v>0</v>
      </c>
      <c r="AE63" s="2">
        <f t="shared" si="30"/>
        <v>1</v>
      </c>
      <c r="AF63" s="2">
        <f t="shared" si="3"/>
        <v>0</v>
      </c>
      <c r="AG63" s="2">
        <f t="shared" si="4"/>
        <v>1</v>
      </c>
      <c r="AH63" s="2">
        <f t="shared" si="5"/>
        <v>0</v>
      </c>
      <c r="AI63" s="2">
        <f t="shared" si="6"/>
        <v>1</v>
      </c>
    </row>
    <row r="64" spans="1:35" ht="14.25" customHeight="1" x14ac:dyDescent="0.25">
      <c r="A64" s="34">
        <v>0</v>
      </c>
      <c r="B64" s="34">
        <v>1</v>
      </c>
      <c r="C64" s="34">
        <v>5</v>
      </c>
      <c r="D64" s="35" t="s">
        <v>557</v>
      </c>
      <c r="E64" s="35" t="s">
        <v>296</v>
      </c>
      <c r="F64" s="35" t="s">
        <v>558</v>
      </c>
      <c r="G64" s="35" t="s">
        <v>592</v>
      </c>
      <c r="H64" s="35" t="s">
        <v>165</v>
      </c>
      <c r="I64" s="34" t="s">
        <v>559</v>
      </c>
      <c r="J64" s="34">
        <v>99</v>
      </c>
      <c r="K64" s="34" t="s">
        <v>330</v>
      </c>
      <c r="L64" s="34" t="s">
        <v>597</v>
      </c>
      <c r="M64" s="35" t="s">
        <v>420</v>
      </c>
      <c r="N64" s="35" t="s">
        <v>911</v>
      </c>
      <c r="O64" s="36"/>
      <c r="P64" s="36"/>
      <c r="Q64" s="35"/>
      <c r="S64" s="2">
        <f t="shared" si="19"/>
        <v>0</v>
      </c>
      <c r="T64" s="2">
        <f t="shared" si="20"/>
        <v>0</v>
      </c>
      <c r="U64" s="2">
        <f t="shared" si="21"/>
        <v>0</v>
      </c>
      <c r="V64" s="2">
        <f t="shared" si="22"/>
        <v>0</v>
      </c>
      <c r="W64" s="2">
        <f t="shared" si="23"/>
        <v>0</v>
      </c>
      <c r="X64" s="2">
        <f t="shared" si="24"/>
        <v>0</v>
      </c>
      <c r="Y64" s="2">
        <f t="shared" si="25"/>
        <v>0</v>
      </c>
      <c r="Z64" s="2">
        <f t="shared" si="26"/>
        <v>0</v>
      </c>
      <c r="AA64" s="2">
        <f t="shared" si="27"/>
        <v>0</v>
      </c>
      <c r="AB64" s="2">
        <f t="shared" si="28"/>
        <v>0</v>
      </c>
      <c r="AD64" s="2">
        <f t="shared" si="29"/>
        <v>0</v>
      </c>
      <c r="AE64" s="2">
        <f t="shared" si="30"/>
        <v>0</v>
      </c>
      <c r="AF64" s="2">
        <f t="shared" si="3"/>
        <v>0</v>
      </c>
      <c r="AG64" s="2">
        <f t="shared" si="4"/>
        <v>0</v>
      </c>
      <c r="AH64" s="2">
        <f t="shared" si="5"/>
        <v>0</v>
      </c>
      <c r="AI64" s="2">
        <f t="shared" si="6"/>
        <v>1</v>
      </c>
    </row>
    <row r="65" spans="1:35" ht="14.25" customHeight="1" x14ac:dyDescent="0.25">
      <c r="A65" s="31">
        <v>0</v>
      </c>
      <c r="B65" s="31">
        <v>1</v>
      </c>
      <c r="C65" s="31">
        <v>5</v>
      </c>
      <c r="D65" s="32" t="s">
        <v>78</v>
      </c>
      <c r="E65" s="32" t="s">
        <v>259</v>
      </c>
      <c r="F65" s="32" t="s">
        <v>161</v>
      </c>
      <c r="G65" s="32" t="s">
        <v>95</v>
      </c>
      <c r="H65" s="32" t="s">
        <v>165</v>
      </c>
      <c r="I65" s="31" t="s">
        <v>372</v>
      </c>
      <c r="J65" s="31">
        <v>99</v>
      </c>
      <c r="K65" s="31" t="s">
        <v>329</v>
      </c>
      <c r="L65" s="31" t="s">
        <v>341</v>
      </c>
      <c r="M65" s="32" t="s">
        <v>787</v>
      </c>
      <c r="N65" s="32" t="s">
        <v>914</v>
      </c>
      <c r="O65" s="33">
        <v>1</v>
      </c>
      <c r="P65" s="33"/>
      <c r="Q65" s="32"/>
      <c r="S65" s="2">
        <f t="shared" si="19"/>
        <v>0</v>
      </c>
      <c r="T65" s="2">
        <f t="shared" si="20"/>
        <v>0</v>
      </c>
      <c r="U65" s="2">
        <f t="shared" si="21"/>
        <v>0</v>
      </c>
      <c r="V65" s="2">
        <f t="shared" si="22"/>
        <v>0</v>
      </c>
      <c r="W65" s="2">
        <f t="shared" si="23"/>
        <v>0</v>
      </c>
      <c r="X65" s="2">
        <f t="shared" si="24"/>
        <v>0</v>
      </c>
      <c r="Y65" s="2">
        <f t="shared" si="25"/>
        <v>0</v>
      </c>
      <c r="Z65" s="2">
        <f t="shared" si="26"/>
        <v>0</v>
      </c>
      <c r="AA65" s="2">
        <f t="shared" si="27"/>
        <v>0</v>
      </c>
      <c r="AB65" s="2">
        <f t="shared" si="28"/>
        <v>0</v>
      </c>
      <c r="AD65" s="2">
        <f t="shared" si="29"/>
        <v>0</v>
      </c>
      <c r="AE65" s="2">
        <f t="shared" si="30"/>
        <v>1</v>
      </c>
      <c r="AF65" s="2">
        <f t="shared" si="3"/>
        <v>0</v>
      </c>
      <c r="AG65" s="2">
        <f t="shared" si="4"/>
        <v>1</v>
      </c>
      <c r="AH65" s="2">
        <f t="shared" si="5"/>
        <v>0</v>
      </c>
      <c r="AI65" s="2">
        <f t="shared" si="6"/>
        <v>1</v>
      </c>
    </row>
    <row r="66" spans="1:35" ht="14.25" customHeight="1" x14ac:dyDescent="0.25">
      <c r="A66" s="34">
        <v>0</v>
      </c>
      <c r="B66" s="34">
        <v>1</v>
      </c>
      <c r="C66" s="34">
        <v>5</v>
      </c>
      <c r="D66" s="35" t="s">
        <v>290</v>
      </c>
      <c r="E66" s="35" t="s">
        <v>296</v>
      </c>
      <c r="F66" s="35" t="s">
        <v>291</v>
      </c>
      <c r="G66" s="35" t="s">
        <v>96</v>
      </c>
      <c r="H66" s="35" t="s">
        <v>165</v>
      </c>
      <c r="I66" s="34" t="s">
        <v>292</v>
      </c>
      <c r="J66" s="34">
        <v>3</v>
      </c>
      <c r="K66" s="34" t="s">
        <v>378</v>
      </c>
      <c r="L66" s="34" t="s">
        <v>335</v>
      </c>
      <c r="M66" s="35" t="s">
        <v>496</v>
      </c>
      <c r="N66" s="35" t="s">
        <v>931</v>
      </c>
      <c r="O66" s="36"/>
      <c r="P66" s="36"/>
      <c r="Q66" s="35"/>
      <c r="S66" s="2">
        <f t="shared" si="19"/>
        <v>0</v>
      </c>
      <c r="T66" s="2">
        <f t="shared" si="20"/>
        <v>0</v>
      </c>
      <c r="U66" s="2">
        <f t="shared" si="21"/>
        <v>1</v>
      </c>
      <c r="V66" s="2">
        <f t="shared" si="22"/>
        <v>0</v>
      </c>
      <c r="W66" s="2">
        <f t="shared" si="23"/>
        <v>0</v>
      </c>
      <c r="X66" s="2">
        <f t="shared" si="24"/>
        <v>0</v>
      </c>
      <c r="Y66" s="2">
        <f t="shared" si="25"/>
        <v>0</v>
      </c>
      <c r="Z66" s="2">
        <f t="shared" si="26"/>
        <v>0</v>
      </c>
      <c r="AA66" s="2">
        <f t="shared" si="27"/>
        <v>0</v>
      </c>
      <c r="AB66" s="2">
        <f t="shared" si="28"/>
        <v>0</v>
      </c>
      <c r="AD66" s="2">
        <f t="shared" si="29"/>
        <v>0</v>
      </c>
      <c r="AE66" s="2">
        <f t="shared" si="30"/>
        <v>0</v>
      </c>
      <c r="AF66" s="2">
        <f t="shared" si="3"/>
        <v>0</v>
      </c>
      <c r="AG66" s="2">
        <f t="shared" si="4"/>
        <v>0</v>
      </c>
      <c r="AH66" s="2">
        <f t="shared" si="5"/>
        <v>0</v>
      </c>
      <c r="AI66" s="2">
        <f t="shared" si="6"/>
        <v>1</v>
      </c>
    </row>
    <row r="67" spans="1:35" ht="14.25" customHeight="1" x14ac:dyDescent="0.25">
      <c r="A67" s="20">
        <v>0</v>
      </c>
      <c r="B67" s="20">
        <v>1</v>
      </c>
      <c r="C67" s="20">
        <v>5</v>
      </c>
      <c r="D67" s="21" t="s">
        <v>627</v>
      </c>
      <c r="E67" s="21" t="s">
        <v>630</v>
      </c>
      <c r="F67" s="21" t="s">
        <v>626</v>
      </c>
      <c r="G67" s="21" t="s">
        <v>163</v>
      </c>
      <c r="H67" s="21" t="s">
        <v>165</v>
      </c>
      <c r="I67" s="20" t="s">
        <v>628</v>
      </c>
      <c r="J67" s="20">
        <v>5</v>
      </c>
      <c r="K67" s="20" t="s">
        <v>378</v>
      </c>
      <c r="L67" s="20">
        <v>40</v>
      </c>
      <c r="M67" s="21" t="s">
        <v>744</v>
      </c>
      <c r="N67" s="21"/>
      <c r="O67" s="7"/>
      <c r="P67" s="7"/>
      <c r="Q67" s="21"/>
      <c r="S67" s="2">
        <f t="shared" si="19"/>
        <v>0</v>
      </c>
      <c r="T67" s="2">
        <f t="shared" si="20"/>
        <v>0</v>
      </c>
      <c r="U67" s="2">
        <f t="shared" si="21"/>
        <v>0</v>
      </c>
      <c r="V67" s="2">
        <f t="shared" si="22"/>
        <v>0</v>
      </c>
      <c r="W67" s="2">
        <f t="shared" si="23"/>
        <v>1</v>
      </c>
      <c r="X67" s="2">
        <f t="shared" si="24"/>
        <v>0</v>
      </c>
      <c r="Y67" s="2">
        <f t="shared" si="25"/>
        <v>0</v>
      </c>
      <c r="Z67" s="2">
        <f t="shared" si="26"/>
        <v>0</v>
      </c>
      <c r="AA67" s="2">
        <f t="shared" si="27"/>
        <v>0</v>
      </c>
      <c r="AB67" s="2">
        <f t="shared" si="28"/>
        <v>0</v>
      </c>
      <c r="AD67" s="2">
        <f t="shared" si="29"/>
        <v>0</v>
      </c>
      <c r="AE67" s="2">
        <f t="shared" si="30"/>
        <v>0</v>
      </c>
      <c r="AF67" s="2">
        <f t="shared" si="3"/>
        <v>0</v>
      </c>
      <c r="AG67" s="2">
        <f t="shared" si="4"/>
        <v>0</v>
      </c>
      <c r="AH67" s="2">
        <f t="shared" si="5"/>
        <v>0</v>
      </c>
      <c r="AI67" s="2">
        <f t="shared" si="6"/>
        <v>1</v>
      </c>
    </row>
    <row r="68" spans="1:35" ht="14.25" customHeight="1" x14ac:dyDescent="0.25">
      <c r="A68" s="34">
        <v>0</v>
      </c>
      <c r="B68" s="34">
        <v>1</v>
      </c>
      <c r="C68" s="34">
        <v>5</v>
      </c>
      <c r="D68" s="35" t="s">
        <v>46</v>
      </c>
      <c r="E68" s="35" t="s">
        <v>469</v>
      </c>
      <c r="F68" s="35" t="s">
        <v>693</v>
      </c>
      <c r="G68" s="35" t="s">
        <v>93</v>
      </c>
      <c r="H68" s="35" t="s">
        <v>165</v>
      </c>
      <c r="I68" s="34" t="s">
        <v>166</v>
      </c>
      <c r="J68" s="34">
        <v>8</v>
      </c>
      <c r="K68" s="34" t="s">
        <v>326</v>
      </c>
      <c r="L68" s="34" t="s">
        <v>346</v>
      </c>
      <c r="M68" s="35" t="s">
        <v>420</v>
      </c>
      <c r="N68" s="35" t="s">
        <v>896</v>
      </c>
      <c r="O68" s="36"/>
      <c r="P68" s="36"/>
      <c r="Q68" s="35"/>
      <c r="S68" s="2">
        <f t="shared" si="19"/>
        <v>0</v>
      </c>
      <c r="T68" s="2">
        <f t="shared" si="20"/>
        <v>0</v>
      </c>
      <c r="U68" s="2">
        <f t="shared" si="21"/>
        <v>0</v>
      </c>
      <c r="V68" s="2">
        <f t="shared" si="22"/>
        <v>0</v>
      </c>
      <c r="W68" s="2">
        <f t="shared" si="23"/>
        <v>0</v>
      </c>
      <c r="X68" s="2">
        <f t="shared" si="24"/>
        <v>0</v>
      </c>
      <c r="Y68" s="2">
        <f t="shared" si="25"/>
        <v>0</v>
      </c>
      <c r="Z68" s="2">
        <f t="shared" si="26"/>
        <v>1</v>
      </c>
      <c r="AA68" s="2">
        <f t="shared" si="27"/>
        <v>0</v>
      </c>
      <c r="AB68" s="2">
        <f t="shared" si="28"/>
        <v>0</v>
      </c>
      <c r="AD68" s="2">
        <f t="shared" si="29"/>
        <v>0</v>
      </c>
      <c r="AE68" s="2">
        <f t="shared" si="30"/>
        <v>0</v>
      </c>
      <c r="AF68" s="2">
        <f t="shared" si="3"/>
        <v>0</v>
      </c>
      <c r="AG68" s="2">
        <f t="shared" si="4"/>
        <v>0</v>
      </c>
      <c r="AH68" s="2">
        <f t="shared" si="5"/>
        <v>0</v>
      </c>
      <c r="AI68" s="2">
        <f t="shared" si="6"/>
        <v>1</v>
      </c>
    </row>
    <row r="69" spans="1:35" ht="14.25" customHeight="1" x14ac:dyDescent="0.25">
      <c r="A69" s="34">
        <v>0</v>
      </c>
      <c r="B69" s="34">
        <v>1</v>
      </c>
      <c r="C69" s="34">
        <v>5</v>
      </c>
      <c r="D69" s="35" t="s">
        <v>816</v>
      </c>
      <c r="E69" s="35" t="s">
        <v>264</v>
      </c>
      <c r="F69" s="35" t="s">
        <v>118</v>
      </c>
      <c r="G69" s="35" t="s">
        <v>119</v>
      </c>
      <c r="H69" s="35" t="s">
        <v>165</v>
      </c>
      <c r="I69" s="34" t="s">
        <v>178</v>
      </c>
      <c r="J69" s="34">
        <v>8</v>
      </c>
      <c r="K69" s="34" t="s">
        <v>329</v>
      </c>
      <c r="L69" s="34" t="s">
        <v>343</v>
      </c>
      <c r="M69" s="35" t="s">
        <v>266</v>
      </c>
      <c r="N69" s="35" t="s">
        <v>896</v>
      </c>
      <c r="O69" s="36"/>
      <c r="P69" s="36"/>
      <c r="Q69" s="35"/>
      <c r="S69" s="2">
        <f t="shared" si="19"/>
        <v>0</v>
      </c>
      <c r="T69" s="2">
        <f t="shared" si="20"/>
        <v>0</v>
      </c>
      <c r="U69" s="2">
        <f t="shared" si="21"/>
        <v>0</v>
      </c>
      <c r="V69" s="2">
        <f t="shared" si="22"/>
        <v>0</v>
      </c>
      <c r="W69" s="2">
        <f t="shared" si="23"/>
        <v>0</v>
      </c>
      <c r="X69" s="2">
        <f t="shared" si="24"/>
        <v>0</v>
      </c>
      <c r="Y69" s="2">
        <f t="shared" si="25"/>
        <v>0</v>
      </c>
      <c r="Z69" s="2">
        <f t="shared" si="26"/>
        <v>1</v>
      </c>
      <c r="AA69" s="2">
        <f t="shared" si="27"/>
        <v>0</v>
      </c>
      <c r="AB69" s="2">
        <f t="shared" si="28"/>
        <v>0</v>
      </c>
      <c r="AD69" s="2">
        <f t="shared" si="29"/>
        <v>0</v>
      </c>
      <c r="AE69" s="2">
        <f t="shared" si="30"/>
        <v>0</v>
      </c>
      <c r="AF69" s="2">
        <f t="shared" si="3"/>
        <v>0</v>
      </c>
      <c r="AG69" s="2">
        <f t="shared" si="4"/>
        <v>0</v>
      </c>
      <c r="AH69" s="2">
        <f t="shared" si="5"/>
        <v>0</v>
      </c>
      <c r="AI69" s="2">
        <f t="shared" si="6"/>
        <v>1</v>
      </c>
    </row>
    <row r="70" spans="1:35" ht="14.25" customHeight="1" x14ac:dyDescent="0.25">
      <c r="A70" s="20">
        <v>0</v>
      </c>
      <c r="B70" s="20">
        <v>1</v>
      </c>
      <c r="C70" s="20">
        <v>5</v>
      </c>
      <c r="D70" s="21" t="s">
        <v>817</v>
      </c>
      <c r="E70" s="21" t="s">
        <v>805</v>
      </c>
      <c r="F70" s="21" t="s">
        <v>807</v>
      </c>
      <c r="G70" s="21" t="s">
        <v>117</v>
      </c>
      <c r="H70" s="21" t="s">
        <v>165</v>
      </c>
      <c r="I70" s="20" t="s">
        <v>808</v>
      </c>
      <c r="J70" s="20">
        <v>1</v>
      </c>
      <c r="K70" s="20" t="s">
        <v>329</v>
      </c>
      <c r="L70" s="20">
        <v>45</v>
      </c>
      <c r="M70" s="21" t="s">
        <v>40</v>
      </c>
      <c r="N70" s="21"/>
      <c r="O70" s="7"/>
      <c r="P70" s="7"/>
      <c r="Q70" s="21"/>
      <c r="S70" s="2">
        <f t="shared" si="19"/>
        <v>1</v>
      </c>
      <c r="T70" s="2">
        <f t="shared" si="20"/>
        <v>0</v>
      </c>
      <c r="U70" s="2">
        <f t="shared" si="21"/>
        <v>0</v>
      </c>
      <c r="V70" s="2">
        <f t="shared" si="22"/>
        <v>0</v>
      </c>
      <c r="W70" s="2">
        <f t="shared" si="23"/>
        <v>0</v>
      </c>
      <c r="X70" s="2">
        <f t="shared" si="24"/>
        <v>0</v>
      </c>
      <c r="Y70" s="2">
        <f t="shared" si="25"/>
        <v>0</v>
      </c>
      <c r="Z70" s="2">
        <f t="shared" si="26"/>
        <v>0</v>
      </c>
      <c r="AA70" s="2">
        <f t="shared" si="27"/>
        <v>0</v>
      </c>
      <c r="AB70" s="2">
        <f t="shared" si="28"/>
        <v>0</v>
      </c>
      <c r="AD70" s="2">
        <f t="shared" si="29"/>
        <v>0</v>
      </c>
      <c r="AE70" s="2">
        <f t="shared" si="30"/>
        <v>0</v>
      </c>
      <c r="AF70" s="2">
        <f t="shared" si="3"/>
        <v>0</v>
      </c>
      <c r="AG70" s="2">
        <f t="shared" si="4"/>
        <v>0</v>
      </c>
      <c r="AH70" s="2">
        <f t="shared" si="5"/>
        <v>0</v>
      </c>
      <c r="AI70" s="2">
        <f t="shared" si="6"/>
        <v>1</v>
      </c>
    </row>
    <row r="71" spans="1:35" ht="14.25" customHeight="1" x14ac:dyDescent="0.25">
      <c r="A71" s="20">
        <v>1</v>
      </c>
      <c r="B71" s="20">
        <v>1</v>
      </c>
      <c r="C71" s="20">
        <v>5</v>
      </c>
      <c r="D71" s="21" t="s">
        <v>817</v>
      </c>
      <c r="E71" s="21" t="s">
        <v>805</v>
      </c>
      <c r="F71" s="21" t="s">
        <v>840</v>
      </c>
      <c r="G71" s="21" t="s">
        <v>96</v>
      </c>
      <c r="H71" s="21" t="s">
        <v>165</v>
      </c>
      <c r="I71" s="20" t="s">
        <v>809</v>
      </c>
      <c r="J71" s="20">
        <v>3</v>
      </c>
      <c r="K71" s="20">
        <v>7</v>
      </c>
      <c r="L71" s="20">
        <v>45</v>
      </c>
      <c r="M71" s="21" t="s">
        <v>40</v>
      </c>
      <c r="N71" s="21"/>
      <c r="O71" s="7"/>
      <c r="P71" s="7"/>
      <c r="Q71" s="21"/>
      <c r="S71" s="2">
        <f t="shared" si="19"/>
        <v>0</v>
      </c>
      <c r="T71" s="2">
        <f t="shared" si="20"/>
        <v>0</v>
      </c>
      <c r="U71" s="2">
        <f t="shared" si="21"/>
        <v>1</v>
      </c>
      <c r="V71" s="2">
        <f t="shared" si="22"/>
        <v>0</v>
      </c>
      <c r="W71" s="2">
        <f t="shared" si="23"/>
        <v>0</v>
      </c>
      <c r="X71" s="2">
        <f t="shared" si="24"/>
        <v>0</v>
      </c>
      <c r="Y71" s="2">
        <f t="shared" si="25"/>
        <v>0</v>
      </c>
      <c r="Z71" s="2">
        <f t="shared" si="26"/>
        <v>0</v>
      </c>
      <c r="AA71" s="2">
        <f t="shared" si="27"/>
        <v>0</v>
      </c>
      <c r="AB71" s="2">
        <f t="shared" si="28"/>
        <v>0</v>
      </c>
      <c r="AD71" s="2">
        <f t="shared" si="29"/>
        <v>0</v>
      </c>
      <c r="AE71" s="2">
        <f t="shared" si="30"/>
        <v>0</v>
      </c>
      <c r="AF71" s="2">
        <f t="shared" si="3"/>
        <v>0</v>
      </c>
      <c r="AG71" s="2">
        <f t="shared" si="4"/>
        <v>0</v>
      </c>
      <c r="AH71" s="2">
        <f t="shared" si="5"/>
        <v>0</v>
      </c>
      <c r="AI71" s="2">
        <f t="shared" si="6"/>
        <v>0</v>
      </c>
    </row>
    <row r="72" spans="1:35" ht="14.25" customHeight="1" x14ac:dyDescent="0.25">
      <c r="A72" s="31">
        <v>0</v>
      </c>
      <c r="B72" s="31">
        <v>1</v>
      </c>
      <c r="C72" s="31">
        <v>6</v>
      </c>
      <c r="D72" s="32" t="s">
        <v>810</v>
      </c>
      <c r="E72" s="32" t="s">
        <v>261</v>
      </c>
      <c r="F72" s="32" t="s">
        <v>772</v>
      </c>
      <c r="G72" s="32" t="s">
        <v>519</v>
      </c>
      <c r="H72" s="32" t="s">
        <v>165</v>
      </c>
      <c r="I72" s="31" t="s">
        <v>773</v>
      </c>
      <c r="J72" s="31">
        <v>99</v>
      </c>
      <c r="K72" s="31" t="s">
        <v>326</v>
      </c>
      <c r="L72" s="31" t="s">
        <v>40</v>
      </c>
      <c r="M72" s="32" t="s">
        <v>40</v>
      </c>
      <c r="N72" s="32" t="s">
        <v>895</v>
      </c>
      <c r="O72" s="33">
        <v>1</v>
      </c>
      <c r="P72" s="33">
        <v>1</v>
      </c>
      <c r="Q72" s="32"/>
      <c r="S72" s="2">
        <f t="shared" si="19"/>
        <v>0</v>
      </c>
      <c r="T72" s="2">
        <f t="shared" si="20"/>
        <v>0</v>
      </c>
      <c r="U72" s="2">
        <f t="shared" si="21"/>
        <v>0</v>
      </c>
      <c r="V72" s="2">
        <f t="shared" si="22"/>
        <v>0</v>
      </c>
      <c r="W72" s="2">
        <f t="shared" si="23"/>
        <v>0</v>
      </c>
      <c r="X72" s="2">
        <f t="shared" si="24"/>
        <v>0</v>
      </c>
      <c r="Y72" s="2">
        <f t="shared" si="25"/>
        <v>0</v>
      </c>
      <c r="Z72" s="2">
        <f t="shared" si="26"/>
        <v>0</v>
      </c>
      <c r="AA72" s="2">
        <f t="shared" si="27"/>
        <v>0</v>
      </c>
      <c r="AB72" s="2">
        <f t="shared" si="28"/>
        <v>0</v>
      </c>
      <c r="AD72" s="2">
        <f t="shared" si="29"/>
        <v>1</v>
      </c>
      <c r="AE72" s="2">
        <f t="shared" si="30"/>
        <v>0</v>
      </c>
      <c r="AF72" s="2">
        <f t="shared" ref="AF72:AF135" si="31">+O72*P72*(1-A72)</f>
        <v>1</v>
      </c>
      <c r="AG72" s="2">
        <f t="shared" ref="AG72:AG135" si="32">O72*(1-P72)*(1-A72)</f>
        <v>0</v>
      </c>
      <c r="AH72" s="2">
        <f t="shared" ref="AH72:AH135" si="33">+P72*(1-A72)</f>
        <v>1</v>
      </c>
      <c r="AI72" s="2">
        <f t="shared" ref="AI72:AI135" si="34">+(1-A72)*(1-P72)</f>
        <v>0</v>
      </c>
    </row>
    <row r="73" spans="1:35" ht="14.25" customHeight="1" x14ac:dyDescent="0.25">
      <c r="A73" s="28">
        <v>0</v>
      </c>
      <c r="B73" s="28">
        <v>1</v>
      </c>
      <c r="C73" s="28">
        <v>6</v>
      </c>
      <c r="D73" s="29" t="s">
        <v>299</v>
      </c>
      <c r="E73" s="29" t="s">
        <v>258</v>
      </c>
      <c r="F73" s="29" t="s">
        <v>300</v>
      </c>
      <c r="G73" s="29" t="s">
        <v>309</v>
      </c>
      <c r="H73" s="29" t="s">
        <v>165</v>
      </c>
      <c r="I73" s="28" t="s">
        <v>301</v>
      </c>
      <c r="J73" s="28">
        <v>1</v>
      </c>
      <c r="K73" s="28" t="s">
        <v>323</v>
      </c>
      <c r="L73" s="28" t="s">
        <v>40</v>
      </c>
      <c r="M73" s="29" t="s">
        <v>40</v>
      </c>
      <c r="N73" s="29"/>
      <c r="O73" s="30"/>
      <c r="P73" s="30">
        <v>1</v>
      </c>
      <c r="Q73" s="29"/>
      <c r="S73" s="2">
        <f t="shared" si="19"/>
        <v>1</v>
      </c>
      <c r="T73" s="2">
        <f t="shared" si="20"/>
        <v>0</v>
      </c>
      <c r="U73" s="2">
        <f t="shared" si="21"/>
        <v>0</v>
      </c>
      <c r="V73" s="2">
        <f t="shared" si="22"/>
        <v>0</v>
      </c>
      <c r="W73" s="2">
        <f t="shared" si="23"/>
        <v>0</v>
      </c>
      <c r="X73" s="2">
        <f t="shared" si="24"/>
        <v>0</v>
      </c>
      <c r="Y73" s="2">
        <f t="shared" si="25"/>
        <v>0</v>
      </c>
      <c r="Z73" s="2">
        <f t="shared" si="26"/>
        <v>0</v>
      </c>
      <c r="AA73" s="2">
        <f t="shared" si="27"/>
        <v>0</v>
      </c>
      <c r="AB73" s="2">
        <f t="shared" si="28"/>
        <v>0</v>
      </c>
      <c r="AD73" s="2">
        <f t="shared" si="29"/>
        <v>0</v>
      </c>
      <c r="AE73" s="2">
        <f t="shared" si="30"/>
        <v>0</v>
      </c>
      <c r="AF73" s="2">
        <f t="shared" si="31"/>
        <v>0</v>
      </c>
      <c r="AG73" s="2">
        <f t="shared" si="32"/>
        <v>0</v>
      </c>
      <c r="AH73" s="2">
        <f t="shared" si="33"/>
        <v>1</v>
      </c>
      <c r="AI73" s="2">
        <f t="shared" si="34"/>
        <v>0</v>
      </c>
    </row>
    <row r="74" spans="1:35" ht="14.25" customHeight="1" x14ac:dyDescent="0.25">
      <c r="A74" s="31">
        <v>0</v>
      </c>
      <c r="B74" s="31">
        <v>1</v>
      </c>
      <c r="C74" s="31">
        <v>6</v>
      </c>
      <c r="D74" s="32" t="s">
        <v>227</v>
      </c>
      <c r="E74" s="32" t="s">
        <v>674</v>
      </c>
      <c r="F74" s="32" t="s">
        <v>666</v>
      </c>
      <c r="G74" s="32" t="s">
        <v>667</v>
      </c>
      <c r="H74" s="32" t="s">
        <v>165</v>
      </c>
      <c r="I74" s="31" t="s">
        <v>668</v>
      </c>
      <c r="J74" s="31"/>
      <c r="K74" s="31" t="s">
        <v>332</v>
      </c>
      <c r="L74" s="31">
        <v>45</v>
      </c>
      <c r="M74" s="32" t="s">
        <v>754</v>
      </c>
      <c r="N74" s="32" t="s">
        <v>901</v>
      </c>
      <c r="O74" s="33">
        <v>1</v>
      </c>
      <c r="P74" s="33"/>
      <c r="Q74" s="32"/>
      <c r="S74" s="2">
        <f t="shared" si="19"/>
        <v>0</v>
      </c>
      <c r="T74" s="2">
        <f t="shared" si="20"/>
        <v>0</v>
      </c>
      <c r="U74" s="2">
        <f t="shared" si="21"/>
        <v>0</v>
      </c>
      <c r="V74" s="2">
        <f t="shared" si="22"/>
        <v>0</v>
      </c>
      <c r="W74" s="2">
        <f t="shared" si="23"/>
        <v>0</v>
      </c>
      <c r="X74" s="2">
        <f t="shared" si="24"/>
        <v>0</v>
      </c>
      <c r="Y74" s="2">
        <f t="shared" si="25"/>
        <v>0</v>
      </c>
      <c r="Z74" s="2">
        <f t="shared" si="26"/>
        <v>0</v>
      </c>
      <c r="AA74" s="2">
        <f t="shared" si="27"/>
        <v>0</v>
      </c>
      <c r="AB74" s="2">
        <f t="shared" si="28"/>
        <v>0</v>
      </c>
      <c r="AD74" s="2">
        <f t="shared" si="29"/>
        <v>0</v>
      </c>
      <c r="AE74" s="2">
        <f t="shared" si="30"/>
        <v>1</v>
      </c>
      <c r="AF74" s="2">
        <f t="shared" si="31"/>
        <v>0</v>
      </c>
      <c r="AG74" s="2">
        <f t="shared" si="32"/>
        <v>1</v>
      </c>
      <c r="AH74" s="2">
        <f t="shared" si="33"/>
        <v>0</v>
      </c>
      <c r="AI74" s="2">
        <f t="shared" si="34"/>
        <v>1</v>
      </c>
    </row>
    <row r="75" spans="1:35" ht="14.25" customHeight="1" x14ac:dyDescent="0.25">
      <c r="A75" s="31">
        <v>1</v>
      </c>
      <c r="B75" s="31">
        <v>1</v>
      </c>
      <c r="C75" s="31">
        <v>6</v>
      </c>
      <c r="D75" s="32" t="s">
        <v>227</v>
      </c>
      <c r="E75" s="32" t="s">
        <v>674</v>
      </c>
      <c r="F75" s="32" t="s">
        <v>228</v>
      </c>
      <c r="G75" s="32" t="s">
        <v>122</v>
      </c>
      <c r="H75" s="32" t="s">
        <v>165</v>
      </c>
      <c r="I75" s="31" t="s">
        <v>229</v>
      </c>
      <c r="J75" s="31">
        <v>6</v>
      </c>
      <c r="K75" s="31" t="s">
        <v>332</v>
      </c>
      <c r="L75" s="31">
        <v>45</v>
      </c>
      <c r="M75" s="32" t="s">
        <v>754</v>
      </c>
      <c r="N75" s="32" t="s">
        <v>901</v>
      </c>
      <c r="O75" s="33">
        <v>1</v>
      </c>
      <c r="P75" s="33"/>
      <c r="Q75" s="32"/>
      <c r="S75" s="2">
        <f t="shared" si="19"/>
        <v>0</v>
      </c>
      <c r="T75" s="2">
        <f t="shared" si="20"/>
        <v>0</v>
      </c>
      <c r="U75" s="2">
        <f t="shared" si="21"/>
        <v>0</v>
      </c>
      <c r="V75" s="2">
        <f t="shared" si="22"/>
        <v>0</v>
      </c>
      <c r="W75" s="2">
        <f t="shared" si="23"/>
        <v>0</v>
      </c>
      <c r="X75" s="2">
        <f t="shared" si="24"/>
        <v>1</v>
      </c>
      <c r="Y75" s="2">
        <f t="shared" si="25"/>
        <v>0</v>
      </c>
      <c r="Z75" s="2">
        <f t="shared" si="26"/>
        <v>0</v>
      </c>
      <c r="AA75" s="2">
        <f t="shared" si="27"/>
        <v>0</v>
      </c>
      <c r="AB75" s="2">
        <f t="shared" si="28"/>
        <v>0</v>
      </c>
      <c r="AD75" s="2">
        <f t="shared" si="29"/>
        <v>0</v>
      </c>
      <c r="AE75" s="2">
        <f t="shared" si="30"/>
        <v>1</v>
      </c>
      <c r="AF75" s="2">
        <f t="shared" si="31"/>
        <v>0</v>
      </c>
      <c r="AG75" s="2">
        <f t="shared" si="32"/>
        <v>0</v>
      </c>
      <c r="AH75" s="2">
        <f t="shared" si="33"/>
        <v>0</v>
      </c>
      <c r="AI75" s="2">
        <f t="shared" si="34"/>
        <v>0</v>
      </c>
    </row>
    <row r="76" spans="1:35" ht="14.25" customHeight="1" x14ac:dyDescent="0.25">
      <c r="A76" s="31">
        <v>0</v>
      </c>
      <c r="B76" s="31">
        <v>1</v>
      </c>
      <c r="C76" s="31">
        <v>6</v>
      </c>
      <c r="D76" s="32" t="s">
        <v>719</v>
      </c>
      <c r="E76" s="32" t="s">
        <v>258</v>
      </c>
      <c r="F76" s="32" t="s">
        <v>720</v>
      </c>
      <c r="G76" s="32" t="s">
        <v>130</v>
      </c>
      <c r="H76" s="32" t="s">
        <v>165</v>
      </c>
      <c r="I76" s="31" t="s">
        <v>721</v>
      </c>
      <c r="J76" s="31"/>
      <c r="K76" s="31" t="s">
        <v>329</v>
      </c>
      <c r="L76" s="31">
        <v>35</v>
      </c>
      <c r="M76" s="32" t="s">
        <v>884</v>
      </c>
      <c r="N76" s="32" t="s">
        <v>901</v>
      </c>
      <c r="O76" s="33">
        <v>1</v>
      </c>
      <c r="P76" s="33"/>
      <c r="Q76" s="32"/>
      <c r="S76" s="2">
        <f t="shared" si="19"/>
        <v>0</v>
      </c>
      <c r="T76" s="2">
        <f t="shared" si="20"/>
        <v>0</v>
      </c>
      <c r="U76" s="2">
        <f t="shared" si="21"/>
        <v>0</v>
      </c>
      <c r="V76" s="2">
        <f t="shared" si="22"/>
        <v>0</v>
      </c>
      <c r="W76" s="2">
        <f t="shared" si="23"/>
        <v>0</v>
      </c>
      <c r="X76" s="2">
        <f t="shared" si="24"/>
        <v>0</v>
      </c>
      <c r="Y76" s="2">
        <f t="shared" si="25"/>
        <v>0</v>
      </c>
      <c r="Z76" s="2">
        <f t="shared" si="26"/>
        <v>0</v>
      </c>
      <c r="AA76" s="2">
        <f t="shared" si="27"/>
        <v>0</v>
      </c>
      <c r="AB76" s="2">
        <f t="shared" si="28"/>
        <v>0</v>
      </c>
      <c r="AD76" s="2">
        <f t="shared" si="29"/>
        <v>0</v>
      </c>
      <c r="AE76" s="2">
        <f t="shared" si="30"/>
        <v>1</v>
      </c>
      <c r="AF76" s="2">
        <f t="shared" si="31"/>
        <v>0</v>
      </c>
      <c r="AG76" s="2">
        <f t="shared" si="32"/>
        <v>1</v>
      </c>
      <c r="AH76" s="2">
        <f t="shared" si="33"/>
        <v>0</v>
      </c>
      <c r="AI76" s="2">
        <f t="shared" si="34"/>
        <v>1</v>
      </c>
    </row>
    <row r="77" spans="1:35" ht="14.25" customHeight="1" x14ac:dyDescent="0.25">
      <c r="A77" s="31">
        <v>0</v>
      </c>
      <c r="B77" s="31">
        <v>1</v>
      </c>
      <c r="C77" s="31">
        <v>6</v>
      </c>
      <c r="D77" s="32" t="s">
        <v>70</v>
      </c>
      <c r="E77" s="32" t="s">
        <v>258</v>
      </c>
      <c r="F77" s="32" t="s">
        <v>149</v>
      </c>
      <c r="G77" s="32" t="s">
        <v>130</v>
      </c>
      <c r="H77" s="32" t="s">
        <v>165</v>
      </c>
      <c r="I77" s="31" t="s">
        <v>193</v>
      </c>
      <c r="J77" s="31">
        <v>10</v>
      </c>
      <c r="K77" s="31" t="s">
        <v>326</v>
      </c>
      <c r="L77" s="31">
        <v>40</v>
      </c>
      <c r="M77" s="32" t="s">
        <v>936</v>
      </c>
      <c r="N77" s="32" t="s">
        <v>901</v>
      </c>
      <c r="O77" s="33">
        <v>1</v>
      </c>
      <c r="P77" s="33"/>
      <c r="Q77" s="32"/>
      <c r="S77" s="2">
        <f t="shared" si="19"/>
        <v>0</v>
      </c>
      <c r="T77" s="2">
        <f t="shared" si="20"/>
        <v>0</v>
      </c>
      <c r="U77" s="2">
        <f t="shared" si="21"/>
        <v>0</v>
      </c>
      <c r="V77" s="2">
        <f t="shared" si="22"/>
        <v>0</v>
      </c>
      <c r="W77" s="2">
        <f t="shared" si="23"/>
        <v>0</v>
      </c>
      <c r="X77" s="2">
        <f t="shared" si="24"/>
        <v>0</v>
      </c>
      <c r="Y77" s="2">
        <f t="shared" si="25"/>
        <v>0</v>
      </c>
      <c r="Z77" s="2">
        <f t="shared" si="26"/>
        <v>0</v>
      </c>
      <c r="AA77" s="2">
        <f t="shared" si="27"/>
        <v>0</v>
      </c>
      <c r="AB77" s="2">
        <f t="shared" si="28"/>
        <v>1</v>
      </c>
      <c r="AD77" s="2">
        <f t="shared" si="29"/>
        <v>0</v>
      </c>
      <c r="AE77" s="2">
        <f t="shared" si="30"/>
        <v>1</v>
      </c>
      <c r="AF77" s="2">
        <f t="shared" si="31"/>
        <v>0</v>
      </c>
      <c r="AG77" s="2">
        <f t="shared" si="32"/>
        <v>1</v>
      </c>
      <c r="AH77" s="2">
        <f t="shared" si="33"/>
        <v>0</v>
      </c>
      <c r="AI77" s="2">
        <f t="shared" si="34"/>
        <v>1</v>
      </c>
    </row>
    <row r="78" spans="1:35" ht="14.25" customHeight="1" x14ac:dyDescent="0.25">
      <c r="A78" s="31">
        <v>0</v>
      </c>
      <c r="B78" s="31">
        <v>1</v>
      </c>
      <c r="C78" s="31">
        <v>6</v>
      </c>
      <c r="D78" s="32" t="s">
        <v>241</v>
      </c>
      <c r="E78" s="32" t="s">
        <v>261</v>
      </c>
      <c r="F78" s="32" t="s">
        <v>242</v>
      </c>
      <c r="G78" s="32" t="s">
        <v>243</v>
      </c>
      <c r="H78" s="32" t="s">
        <v>165</v>
      </c>
      <c r="I78" s="31" t="s">
        <v>244</v>
      </c>
      <c r="J78" s="31">
        <v>9</v>
      </c>
      <c r="K78" s="31" t="s">
        <v>328</v>
      </c>
      <c r="L78" s="31" t="s">
        <v>40</v>
      </c>
      <c r="M78" s="32" t="s">
        <v>40</v>
      </c>
      <c r="N78" s="32" t="s">
        <v>895</v>
      </c>
      <c r="O78" s="33">
        <v>1</v>
      </c>
      <c r="P78" s="33">
        <v>1</v>
      </c>
      <c r="Q78" s="32"/>
      <c r="S78" s="2">
        <f t="shared" si="19"/>
        <v>0</v>
      </c>
      <c r="T78" s="2">
        <f t="shared" si="20"/>
        <v>0</v>
      </c>
      <c r="U78" s="2">
        <f t="shared" si="21"/>
        <v>0</v>
      </c>
      <c r="V78" s="2">
        <f t="shared" si="22"/>
        <v>0</v>
      </c>
      <c r="W78" s="2">
        <f t="shared" si="23"/>
        <v>0</v>
      </c>
      <c r="X78" s="2">
        <f t="shared" si="24"/>
        <v>0</v>
      </c>
      <c r="Y78" s="2">
        <f t="shared" si="25"/>
        <v>0</v>
      </c>
      <c r="Z78" s="2">
        <f t="shared" si="26"/>
        <v>0</v>
      </c>
      <c r="AA78" s="2">
        <f t="shared" si="27"/>
        <v>1</v>
      </c>
      <c r="AB78" s="2">
        <f t="shared" si="28"/>
        <v>0</v>
      </c>
      <c r="AD78" s="2">
        <f t="shared" si="29"/>
        <v>1</v>
      </c>
      <c r="AE78" s="2">
        <f t="shared" si="30"/>
        <v>0</v>
      </c>
      <c r="AF78" s="2">
        <f t="shared" si="31"/>
        <v>1</v>
      </c>
      <c r="AG78" s="2">
        <f t="shared" si="32"/>
        <v>0</v>
      </c>
      <c r="AH78" s="2">
        <f t="shared" si="33"/>
        <v>1</v>
      </c>
      <c r="AI78" s="2">
        <f t="shared" si="34"/>
        <v>0</v>
      </c>
    </row>
    <row r="79" spans="1:35" ht="14.25" customHeight="1" x14ac:dyDescent="0.25">
      <c r="A79" s="34">
        <v>0</v>
      </c>
      <c r="B79" s="34">
        <v>1</v>
      </c>
      <c r="C79" s="34">
        <v>6</v>
      </c>
      <c r="D79" s="35" t="s">
        <v>359</v>
      </c>
      <c r="E79" s="35" t="s">
        <v>261</v>
      </c>
      <c r="F79" s="35" t="s">
        <v>293</v>
      </c>
      <c r="G79" s="35" t="s">
        <v>127</v>
      </c>
      <c r="H79" s="35" t="s">
        <v>165</v>
      </c>
      <c r="I79" s="34" t="s">
        <v>487</v>
      </c>
      <c r="J79" s="34">
        <v>2</v>
      </c>
      <c r="K79" s="34" t="s">
        <v>330</v>
      </c>
      <c r="L79" s="34" t="s">
        <v>334</v>
      </c>
      <c r="M79" s="35" t="s">
        <v>206</v>
      </c>
      <c r="N79" s="35" t="s">
        <v>931</v>
      </c>
      <c r="O79" s="36"/>
      <c r="P79" s="36"/>
      <c r="Q79" s="35"/>
      <c r="S79" s="2">
        <f t="shared" si="19"/>
        <v>0</v>
      </c>
      <c r="T79" s="2">
        <f t="shared" si="20"/>
        <v>1</v>
      </c>
      <c r="U79" s="2">
        <f t="shared" si="21"/>
        <v>0</v>
      </c>
      <c r="V79" s="2">
        <f t="shared" si="22"/>
        <v>0</v>
      </c>
      <c r="W79" s="2">
        <f t="shared" si="23"/>
        <v>0</v>
      </c>
      <c r="X79" s="2">
        <f t="shared" si="24"/>
        <v>0</v>
      </c>
      <c r="Y79" s="2">
        <f t="shared" si="25"/>
        <v>0</v>
      </c>
      <c r="Z79" s="2">
        <f t="shared" si="26"/>
        <v>0</v>
      </c>
      <c r="AA79" s="2">
        <f t="shared" si="27"/>
        <v>0</v>
      </c>
      <c r="AB79" s="2">
        <f t="shared" si="28"/>
        <v>0</v>
      </c>
      <c r="AD79" s="2">
        <f t="shared" si="29"/>
        <v>0</v>
      </c>
      <c r="AE79" s="2">
        <f t="shared" si="30"/>
        <v>0</v>
      </c>
      <c r="AF79" s="2">
        <f t="shared" si="31"/>
        <v>0</v>
      </c>
      <c r="AG79" s="2">
        <f t="shared" si="32"/>
        <v>0</v>
      </c>
      <c r="AH79" s="2">
        <f t="shared" si="33"/>
        <v>0</v>
      </c>
      <c r="AI79" s="2">
        <f t="shared" si="34"/>
        <v>1</v>
      </c>
    </row>
    <row r="80" spans="1:35" ht="14.25" customHeight="1" x14ac:dyDescent="0.25">
      <c r="A80" s="28">
        <v>0</v>
      </c>
      <c r="B80" s="28">
        <v>1</v>
      </c>
      <c r="C80" s="28">
        <v>6</v>
      </c>
      <c r="D80" s="29" t="s">
        <v>53</v>
      </c>
      <c r="E80" s="29" t="s">
        <v>258</v>
      </c>
      <c r="F80" s="29" t="s">
        <v>106</v>
      </c>
      <c r="G80" s="29" t="s">
        <v>107</v>
      </c>
      <c r="H80" s="29" t="s">
        <v>165</v>
      </c>
      <c r="I80" s="28" t="s">
        <v>172</v>
      </c>
      <c r="J80" s="28">
        <v>99</v>
      </c>
      <c r="K80" s="28" t="s">
        <v>324</v>
      </c>
      <c r="L80" s="28" t="s">
        <v>40</v>
      </c>
      <c r="M80" s="29" t="s">
        <v>40</v>
      </c>
      <c r="N80" s="29"/>
      <c r="O80" s="30"/>
      <c r="P80" s="30">
        <v>1</v>
      </c>
      <c r="Q80" s="29"/>
      <c r="S80" s="2">
        <f t="shared" si="19"/>
        <v>0</v>
      </c>
      <c r="T80" s="2">
        <f t="shared" si="20"/>
        <v>0</v>
      </c>
      <c r="U80" s="2">
        <f t="shared" si="21"/>
        <v>0</v>
      </c>
      <c r="V80" s="2">
        <f t="shared" si="22"/>
        <v>0</v>
      </c>
      <c r="W80" s="2">
        <f t="shared" si="23"/>
        <v>0</v>
      </c>
      <c r="X80" s="2">
        <f t="shared" si="24"/>
        <v>0</v>
      </c>
      <c r="Y80" s="2">
        <f t="shared" si="25"/>
        <v>0</v>
      </c>
      <c r="Z80" s="2">
        <f t="shared" si="26"/>
        <v>0</v>
      </c>
      <c r="AA80" s="2">
        <f t="shared" si="27"/>
        <v>0</v>
      </c>
      <c r="AB80" s="2">
        <f t="shared" si="28"/>
        <v>0</v>
      </c>
      <c r="AD80" s="2">
        <f t="shared" si="29"/>
        <v>0</v>
      </c>
      <c r="AE80" s="2">
        <f t="shared" si="30"/>
        <v>0</v>
      </c>
      <c r="AF80" s="2">
        <f t="shared" si="31"/>
        <v>0</v>
      </c>
      <c r="AG80" s="2">
        <f t="shared" si="32"/>
        <v>0</v>
      </c>
      <c r="AH80" s="2">
        <f t="shared" si="33"/>
        <v>1</v>
      </c>
      <c r="AI80" s="2">
        <f t="shared" si="34"/>
        <v>0</v>
      </c>
    </row>
    <row r="81" spans="1:35" ht="14.25" customHeight="1" x14ac:dyDescent="0.25">
      <c r="A81" s="31">
        <v>0</v>
      </c>
      <c r="B81" s="31">
        <v>1</v>
      </c>
      <c r="C81" s="31">
        <v>6</v>
      </c>
      <c r="D81" s="32" t="s">
        <v>286</v>
      </c>
      <c r="E81" s="32" t="s">
        <v>258</v>
      </c>
      <c r="F81" s="32" t="s">
        <v>287</v>
      </c>
      <c r="G81" s="32" t="s">
        <v>96</v>
      </c>
      <c r="H81" s="32" t="s">
        <v>165</v>
      </c>
      <c r="I81" s="31" t="s">
        <v>843</v>
      </c>
      <c r="J81" s="31">
        <v>3</v>
      </c>
      <c r="K81" s="31" t="s">
        <v>330</v>
      </c>
      <c r="L81" s="31" t="s">
        <v>346</v>
      </c>
      <c r="M81" s="32" t="s">
        <v>767</v>
      </c>
      <c r="N81" s="32" t="s">
        <v>903</v>
      </c>
      <c r="O81" s="33">
        <v>1</v>
      </c>
      <c r="P81" s="33"/>
      <c r="Q81" s="32"/>
      <c r="S81" s="2">
        <f t="shared" ref="S81:S144" si="35">IF(J81=$S$7,1,0)</f>
        <v>0</v>
      </c>
      <c r="T81" s="2">
        <f t="shared" ref="T81:T144" si="36">IF(J81=$T$7,1,0)</f>
        <v>0</v>
      </c>
      <c r="U81" s="2">
        <f t="shared" ref="U81:U144" si="37">IF(J81=$U$7,1,0)</f>
        <v>1</v>
      </c>
      <c r="V81" s="2">
        <f t="shared" ref="V81:V144" si="38">IF(J81=$V$7,1,0)</f>
        <v>0</v>
      </c>
      <c r="W81" s="2">
        <f t="shared" ref="W81:W144" si="39">IF(J81=$W$7,1,0)</f>
        <v>0</v>
      </c>
      <c r="X81" s="2">
        <f t="shared" ref="X81:X144" si="40">IF(J81=$X$7,1,0)</f>
        <v>0</v>
      </c>
      <c r="Y81" s="2">
        <f t="shared" ref="Y81:Y144" si="41">IF(J81=$Y$7,1,0)</f>
        <v>0</v>
      </c>
      <c r="Z81" s="2">
        <f t="shared" ref="Z81:Z144" si="42">IF(J81=$Z$7,1,0)</f>
        <v>0</v>
      </c>
      <c r="AA81" s="2">
        <f t="shared" ref="AA81:AA144" si="43">IF(J81=$AA$7,1,0)</f>
        <v>0</v>
      </c>
      <c r="AB81" s="2">
        <f t="shared" ref="AB81:AB144" si="44">IF(J81=$AB$7,1,0)</f>
        <v>0</v>
      </c>
      <c r="AD81" s="2">
        <f t="shared" ref="AD81:AD144" si="45">+O81*P81</f>
        <v>0</v>
      </c>
      <c r="AE81" s="2">
        <f t="shared" ref="AE81:AE144" si="46">O81*(1-P81)</f>
        <v>1</v>
      </c>
      <c r="AF81" s="2">
        <f t="shared" si="31"/>
        <v>0</v>
      </c>
      <c r="AG81" s="2">
        <f t="shared" si="32"/>
        <v>1</v>
      </c>
      <c r="AH81" s="2">
        <f t="shared" si="33"/>
        <v>0</v>
      </c>
      <c r="AI81" s="2">
        <f t="shared" si="34"/>
        <v>1</v>
      </c>
    </row>
    <row r="82" spans="1:35" ht="14.25" customHeight="1" x14ac:dyDescent="0.25">
      <c r="A82" s="34">
        <v>0</v>
      </c>
      <c r="B82" s="34">
        <v>1</v>
      </c>
      <c r="C82" s="34">
        <v>6</v>
      </c>
      <c r="D82" s="35" t="s">
        <v>61</v>
      </c>
      <c r="E82" s="35" t="s">
        <v>261</v>
      </c>
      <c r="F82" s="35" t="s">
        <v>131</v>
      </c>
      <c r="G82" s="35" t="s">
        <v>132</v>
      </c>
      <c r="H82" s="35" t="s">
        <v>165</v>
      </c>
      <c r="I82" s="34" t="s">
        <v>182</v>
      </c>
      <c r="J82" s="34">
        <v>99</v>
      </c>
      <c r="K82" s="34" t="s">
        <v>329</v>
      </c>
      <c r="L82" s="34" t="s">
        <v>856</v>
      </c>
      <c r="M82" s="35" t="s">
        <v>700</v>
      </c>
      <c r="N82" s="35" t="s">
        <v>902</v>
      </c>
      <c r="O82" s="36"/>
      <c r="P82" s="36"/>
      <c r="Q82" s="35"/>
      <c r="S82" s="2">
        <f t="shared" si="35"/>
        <v>0</v>
      </c>
      <c r="T82" s="2">
        <f t="shared" si="36"/>
        <v>0</v>
      </c>
      <c r="U82" s="2">
        <f t="shared" si="37"/>
        <v>0</v>
      </c>
      <c r="V82" s="2">
        <f t="shared" si="38"/>
        <v>0</v>
      </c>
      <c r="W82" s="2">
        <f t="shared" si="39"/>
        <v>0</v>
      </c>
      <c r="X82" s="2">
        <f t="shared" si="40"/>
        <v>0</v>
      </c>
      <c r="Y82" s="2">
        <f t="shared" si="41"/>
        <v>0</v>
      </c>
      <c r="Z82" s="2">
        <f t="shared" si="42"/>
        <v>0</v>
      </c>
      <c r="AA82" s="2">
        <f t="shared" si="43"/>
        <v>0</v>
      </c>
      <c r="AB82" s="2">
        <f t="shared" si="44"/>
        <v>0</v>
      </c>
      <c r="AD82" s="2">
        <f t="shared" si="45"/>
        <v>0</v>
      </c>
      <c r="AE82" s="2">
        <f t="shared" si="46"/>
        <v>0</v>
      </c>
      <c r="AF82" s="2">
        <f t="shared" si="31"/>
        <v>0</v>
      </c>
      <c r="AG82" s="2">
        <f t="shared" si="32"/>
        <v>0</v>
      </c>
      <c r="AH82" s="2">
        <f t="shared" si="33"/>
        <v>0</v>
      </c>
      <c r="AI82" s="2">
        <f t="shared" si="34"/>
        <v>1</v>
      </c>
    </row>
    <row r="83" spans="1:35" ht="14.25" customHeight="1" x14ac:dyDescent="0.25">
      <c r="A83" s="31">
        <v>0</v>
      </c>
      <c r="B83" s="31">
        <v>1</v>
      </c>
      <c r="C83" s="31">
        <v>6</v>
      </c>
      <c r="D83" s="32" t="s">
        <v>251</v>
      </c>
      <c r="E83" s="32" t="s">
        <v>261</v>
      </c>
      <c r="F83" s="32" t="s">
        <v>590</v>
      </c>
      <c r="G83" s="32" t="s">
        <v>132</v>
      </c>
      <c r="H83" s="32" t="s">
        <v>165</v>
      </c>
      <c r="I83" s="31" t="s">
        <v>224</v>
      </c>
      <c r="J83" s="31">
        <v>99</v>
      </c>
      <c r="K83" s="31" t="s">
        <v>331</v>
      </c>
      <c r="L83" s="31" t="s">
        <v>335</v>
      </c>
      <c r="M83" s="32" t="s">
        <v>751</v>
      </c>
      <c r="N83" s="32" t="s">
        <v>901</v>
      </c>
      <c r="O83" s="33">
        <v>1</v>
      </c>
      <c r="P83" s="33"/>
      <c r="Q83" s="32"/>
      <c r="S83" s="2">
        <f t="shared" si="35"/>
        <v>0</v>
      </c>
      <c r="T83" s="2">
        <f t="shared" si="36"/>
        <v>0</v>
      </c>
      <c r="U83" s="2">
        <f t="shared" si="37"/>
        <v>0</v>
      </c>
      <c r="V83" s="2">
        <f t="shared" si="38"/>
        <v>0</v>
      </c>
      <c r="W83" s="2">
        <f t="shared" si="39"/>
        <v>0</v>
      </c>
      <c r="X83" s="2">
        <f t="shared" si="40"/>
        <v>0</v>
      </c>
      <c r="Y83" s="2">
        <f t="shared" si="41"/>
        <v>0</v>
      </c>
      <c r="Z83" s="2">
        <f t="shared" si="42"/>
        <v>0</v>
      </c>
      <c r="AA83" s="2">
        <f t="shared" si="43"/>
        <v>0</v>
      </c>
      <c r="AB83" s="2">
        <f t="shared" si="44"/>
        <v>0</v>
      </c>
      <c r="AD83" s="2">
        <f t="shared" si="45"/>
        <v>0</v>
      </c>
      <c r="AE83" s="2">
        <f t="shared" si="46"/>
        <v>1</v>
      </c>
      <c r="AF83" s="2">
        <f t="shared" si="31"/>
        <v>0</v>
      </c>
      <c r="AG83" s="2">
        <f t="shared" si="32"/>
        <v>1</v>
      </c>
      <c r="AH83" s="2">
        <f t="shared" si="33"/>
        <v>0</v>
      </c>
      <c r="AI83" s="2">
        <f t="shared" si="34"/>
        <v>1</v>
      </c>
    </row>
    <row r="84" spans="1:35" ht="14.25" customHeight="1" x14ac:dyDescent="0.25">
      <c r="A84" s="20">
        <v>0</v>
      </c>
      <c r="B84" s="20">
        <v>1</v>
      </c>
      <c r="C84" s="20">
        <v>6</v>
      </c>
      <c r="D84" s="21" t="s">
        <v>390</v>
      </c>
      <c r="E84" s="21" t="s">
        <v>391</v>
      </c>
      <c r="F84" s="21" t="s">
        <v>479</v>
      </c>
      <c r="G84" s="21" t="s">
        <v>133</v>
      </c>
      <c r="H84" s="21" t="s">
        <v>165</v>
      </c>
      <c r="I84" s="20" t="s">
        <v>489</v>
      </c>
      <c r="J84" s="20"/>
      <c r="K84" s="20" t="s">
        <v>332</v>
      </c>
      <c r="L84" s="20" t="s">
        <v>335</v>
      </c>
      <c r="M84" s="21" t="s">
        <v>206</v>
      </c>
      <c r="N84" s="21"/>
      <c r="O84" s="7"/>
      <c r="P84" s="7"/>
      <c r="Q84" s="21"/>
      <c r="S84" s="2">
        <f t="shared" si="35"/>
        <v>0</v>
      </c>
      <c r="T84" s="2">
        <f t="shared" si="36"/>
        <v>0</v>
      </c>
      <c r="U84" s="2">
        <f t="shared" si="37"/>
        <v>0</v>
      </c>
      <c r="V84" s="2">
        <f t="shared" si="38"/>
        <v>0</v>
      </c>
      <c r="W84" s="2">
        <f t="shared" si="39"/>
        <v>0</v>
      </c>
      <c r="X84" s="2">
        <f t="shared" si="40"/>
        <v>0</v>
      </c>
      <c r="Y84" s="2">
        <f t="shared" si="41"/>
        <v>0</v>
      </c>
      <c r="Z84" s="2">
        <f t="shared" si="42"/>
        <v>0</v>
      </c>
      <c r="AA84" s="2">
        <f t="shared" si="43"/>
        <v>0</v>
      </c>
      <c r="AB84" s="2">
        <f t="shared" si="44"/>
        <v>0</v>
      </c>
      <c r="AD84" s="2">
        <f t="shared" si="45"/>
        <v>0</v>
      </c>
      <c r="AE84" s="2">
        <f t="shared" si="46"/>
        <v>0</v>
      </c>
      <c r="AF84" s="2">
        <f t="shared" si="31"/>
        <v>0</v>
      </c>
      <c r="AG84" s="2">
        <f t="shared" si="32"/>
        <v>0</v>
      </c>
      <c r="AH84" s="2">
        <f t="shared" si="33"/>
        <v>0</v>
      </c>
      <c r="AI84" s="2">
        <f t="shared" si="34"/>
        <v>1</v>
      </c>
    </row>
    <row r="85" spans="1:35" ht="14.25" customHeight="1" x14ac:dyDescent="0.25">
      <c r="A85" s="28">
        <v>0</v>
      </c>
      <c r="B85" s="28">
        <v>1</v>
      </c>
      <c r="C85" s="28">
        <v>6</v>
      </c>
      <c r="D85" s="29" t="s">
        <v>249</v>
      </c>
      <c r="E85" s="29" t="s">
        <v>261</v>
      </c>
      <c r="F85" s="29" t="s">
        <v>255</v>
      </c>
      <c r="G85" s="29" t="s">
        <v>125</v>
      </c>
      <c r="H85" s="29" t="s">
        <v>165</v>
      </c>
      <c r="I85" s="28" t="s">
        <v>222</v>
      </c>
      <c r="J85" s="28">
        <v>99</v>
      </c>
      <c r="K85" s="28" t="s">
        <v>330</v>
      </c>
      <c r="L85" s="28" t="s">
        <v>40</v>
      </c>
      <c r="M85" s="29" t="s">
        <v>40</v>
      </c>
      <c r="N85" s="29"/>
      <c r="O85" s="30"/>
      <c r="P85" s="30">
        <v>1</v>
      </c>
      <c r="Q85" s="29"/>
      <c r="S85" s="2">
        <f t="shared" si="35"/>
        <v>0</v>
      </c>
      <c r="T85" s="2">
        <f t="shared" si="36"/>
        <v>0</v>
      </c>
      <c r="U85" s="2">
        <f t="shared" si="37"/>
        <v>0</v>
      </c>
      <c r="V85" s="2">
        <f t="shared" si="38"/>
        <v>0</v>
      </c>
      <c r="W85" s="2">
        <f t="shared" si="39"/>
        <v>0</v>
      </c>
      <c r="X85" s="2">
        <f t="shared" si="40"/>
        <v>0</v>
      </c>
      <c r="Y85" s="2">
        <f t="shared" si="41"/>
        <v>0</v>
      </c>
      <c r="Z85" s="2">
        <f t="shared" si="42"/>
        <v>0</v>
      </c>
      <c r="AA85" s="2">
        <f t="shared" si="43"/>
        <v>0</v>
      </c>
      <c r="AB85" s="2">
        <f t="shared" si="44"/>
        <v>0</v>
      </c>
      <c r="AD85" s="2">
        <f t="shared" si="45"/>
        <v>0</v>
      </c>
      <c r="AE85" s="2">
        <f t="shared" si="46"/>
        <v>0</v>
      </c>
      <c r="AF85" s="2">
        <f t="shared" si="31"/>
        <v>0</v>
      </c>
      <c r="AG85" s="2">
        <f t="shared" si="32"/>
        <v>0</v>
      </c>
      <c r="AH85" s="2">
        <f t="shared" si="33"/>
        <v>1</v>
      </c>
      <c r="AI85" s="2">
        <f t="shared" si="34"/>
        <v>0</v>
      </c>
    </row>
    <row r="86" spans="1:35" ht="14.25" customHeight="1" x14ac:dyDescent="0.25">
      <c r="A86" s="20">
        <v>0</v>
      </c>
      <c r="B86" s="20">
        <v>1</v>
      </c>
      <c r="C86" s="20">
        <v>6</v>
      </c>
      <c r="D86" s="21" t="s">
        <v>735</v>
      </c>
      <c r="E86" s="21" t="s">
        <v>258</v>
      </c>
      <c r="F86" s="21" t="s">
        <v>736</v>
      </c>
      <c r="G86" s="21" t="s">
        <v>737</v>
      </c>
      <c r="H86" s="21" t="s">
        <v>165</v>
      </c>
      <c r="I86" s="20"/>
      <c r="J86" s="20">
        <v>99</v>
      </c>
      <c r="K86" s="20" t="s">
        <v>378</v>
      </c>
      <c r="L86" s="20">
        <v>75</v>
      </c>
      <c r="M86" s="21" t="s">
        <v>734</v>
      </c>
      <c r="N86" s="21"/>
      <c r="O86" s="7"/>
      <c r="P86" s="7"/>
      <c r="Q86" s="21"/>
      <c r="S86" s="2">
        <f t="shared" si="35"/>
        <v>0</v>
      </c>
      <c r="T86" s="2">
        <f t="shared" si="36"/>
        <v>0</v>
      </c>
      <c r="U86" s="2">
        <f t="shared" si="37"/>
        <v>0</v>
      </c>
      <c r="V86" s="2">
        <f t="shared" si="38"/>
        <v>0</v>
      </c>
      <c r="W86" s="2">
        <f t="shared" si="39"/>
        <v>0</v>
      </c>
      <c r="X86" s="2">
        <f t="shared" si="40"/>
        <v>0</v>
      </c>
      <c r="Y86" s="2">
        <f t="shared" si="41"/>
        <v>0</v>
      </c>
      <c r="Z86" s="2">
        <f t="shared" si="42"/>
        <v>0</v>
      </c>
      <c r="AA86" s="2">
        <f t="shared" si="43"/>
        <v>0</v>
      </c>
      <c r="AB86" s="2">
        <f t="shared" si="44"/>
        <v>0</v>
      </c>
      <c r="AD86" s="2">
        <f t="shared" si="45"/>
        <v>0</v>
      </c>
      <c r="AE86" s="2">
        <f t="shared" si="46"/>
        <v>0</v>
      </c>
      <c r="AF86" s="2">
        <f t="shared" si="31"/>
        <v>0</v>
      </c>
      <c r="AG86" s="2">
        <f t="shared" si="32"/>
        <v>0</v>
      </c>
      <c r="AH86" s="2">
        <f t="shared" si="33"/>
        <v>0</v>
      </c>
      <c r="AI86" s="2">
        <f t="shared" si="34"/>
        <v>1</v>
      </c>
    </row>
    <row r="87" spans="1:35" ht="14.25" customHeight="1" x14ac:dyDescent="0.25">
      <c r="A87" s="34">
        <v>0</v>
      </c>
      <c r="B87" s="34">
        <v>1</v>
      </c>
      <c r="C87" s="34">
        <v>6</v>
      </c>
      <c r="D87" s="35" t="s">
        <v>541</v>
      </c>
      <c r="E87" s="35" t="s">
        <v>575</v>
      </c>
      <c r="F87" s="35" t="s">
        <v>831</v>
      </c>
      <c r="G87" s="35" t="s">
        <v>542</v>
      </c>
      <c r="H87" s="35" t="s">
        <v>165</v>
      </c>
      <c r="I87" s="34" t="s">
        <v>543</v>
      </c>
      <c r="J87" s="34">
        <v>99</v>
      </c>
      <c r="K87" s="34" t="s">
        <v>330</v>
      </c>
      <c r="L87" s="34" t="s">
        <v>334</v>
      </c>
      <c r="M87" s="35" t="s">
        <v>745</v>
      </c>
      <c r="N87" s="35" t="s">
        <v>902</v>
      </c>
      <c r="O87" s="36"/>
      <c r="P87" s="36"/>
      <c r="Q87" s="35"/>
      <c r="S87" s="2">
        <f t="shared" si="35"/>
        <v>0</v>
      </c>
      <c r="T87" s="2">
        <f t="shared" si="36"/>
        <v>0</v>
      </c>
      <c r="U87" s="2">
        <f t="shared" si="37"/>
        <v>0</v>
      </c>
      <c r="V87" s="2">
        <f t="shared" si="38"/>
        <v>0</v>
      </c>
      <c r="W87" s="2">
        <f t="shared" si="39"/>
        <v>0</v>
      </c>
      <c r="X87" s="2">
        <f t="shared" si="40"/>
        <v>0</v>
      </c>
      <c r="Y87" s="2">
        <f t="shared" si="41"/>
        <v>0</v>
      </c>
      <c r="Z87" s="2">
        <f t="shared" si="42"/>
        <v>0</v>
      </c>
      <c r="AA87" s="2">
        <f t="shared" si="43"/>
        <v>0</v>
      </c>
      <c r="AB87" s="2">
        <f t="shared" si="44"/>
        <v>0</v>
      </c>
      <c r="AD87" s="2">
        <f t="shared" si="45"/>
        <v>0</v>
      </c>
      <c r="AE87" s="2">
        <f t="shared" si="46"/>
        <v>0</v>
      </c>
      <c r="AF87" s="2">
        <f t="shared" si="31"/>
        <v>0</v>
      </c>
      <c r="AG87" s="2">
        <f t="shared" si="32"/>
        <v>0</v>
      </c>
      <c r="AH87" s="2">
        <f t="shared" si="33"/>
        <v>0</v>
      </c>
      <c r="AI87" s="2">
        <f t="shared" si="34"/>
        <v>1</v>
      </c>
    </row>
    <row r="88" spans="1:35" ht="14.25" customHeight="1" x14ac:dyDescent="0.25">
      <c r="A88" s="31">
        <v>0</v>
      </c>
      <c r="B88" s="31">
        <v>1</v>
      </c>
      <c r="C88" s="31">
        <v>6</v>
      </c>
      <c r="D88" s="32" t="s">
        <v>360</v>
      </c>
      <c r="E88" s="32" t="s">
        <v>576</v>
      </c>
      <c r="F88" s="32" t="s">
        <v>136</v>
      </c>
      <c r="G88" s="32" t="s">
        <v>137</v>
      </c>
      <c r="H88" s="32" t="s">
        <v>165</v>
      </c>
      <c r="I88" s="31" t="s">
        <v>184</v>
      </c>
      <c r="J88" s="31">
        <v>1</v>
      </c>
      <c r="K88" s="31" t="s">
        <v>378</v>
      </c>
      <c r="L88" s="31">
        <v>92</v>
      </c>
      <c r="M88" s="32" t="s">
        <v>784</v>
      </c>
      <c r="N88" s="32" t="s">
        <v>909</v>
      </c>
      <c r="O88" s="33">
        <v>1</v>
      </c>
      <c r="P88" s="33"/>
      <c r="Q88" s="32"/>
      <c r="S88" s="2">
        <f t="shared" si="35"/>
        <v>1</v>
      </c>
      <c r="T88" s="2">
        <f t="shared" si="36"/>
        <v>0</v>
      </c>
      <c r="U88" s="2">
        <f t="shared" si="37"/>
        <v>0</v>
      </c>
      <c r="V88" s="2">
        <f t="shared" si="38"/>
        <v>0</v>
      </c>
      <c r="W88" s="2">
        <f t="shared" si="39"/>
        <v>0</v>
      </c>
      <c r="X88" s="2">
        <f t="shared" si="40"/>
        <v>0</v>
      </c>
      <c r="Y88" s="2">
        <f t="shared" si="41"/>
        <v>0</v>
      </c>
      <c r="Z88" s="2">
        <f t="shared" si="42"/>
        <v>0</v>
      </c>
      <c r="AA88" s="2">
        <f t="shared" si="43"/>
        <v>0</v>
      </c>
      <c r="AB88" s="2">
        <f t="shared" si="44"/>
        <v>0</v>
      </c>
      <c r="AD88" s="2">
        <f t="shared" si="45"/>
        <v>0</v>
      </c>
      <c r="AE88" s="2">
        <f t="shared" si="46"/>
        <v>1</v>
      </c>
      <c r="AF88" s="2">
        <f t="shared" si="31"/>
        <v>0</v>
      </c>
      <c r="AG88" s="2">
        <f t="shared" si="32"/>
        <v>1</v>
      </c>
      <c r="AH88" s="2">
        <f t="shared" si="33"/>
        <v>0</v>
      </c>
      <c r="AI88" s="2">
        <f t="shared" si="34"/>
        <v>1</v>
      </c>
    </row>
    <row r="89" spans="1:35" ht="14.25" customHeight="1" x14ac:dyDescent="0.25">
      <c r="A89" s="20">
        <v>0</v>
      </c>
      <c r="B89" s="20">
        <v>1</v>
      </c>
      <c r="C89" s="20">
        <v>6</v>
      </c>
      <c r="D89" s="21" t="s">
        <v>80</v>
      </c>
      <c r="E89" s="21" t="s">
        <v>258</v>
      </c>
      <c r="F89" s="21" t="s">
        <v>135</v>
      </c>
      <c r="G89" s="21" t="s">
        <v>92</v>
      </c>
      <c r="H89" s="21" t="s">
        <v>165</v>
      </c>
      <c r="I89" s="20" t="s">
        <v>203</v>
      </c>
      <c r="J89" s="20">
        <v>2</v>
      </c>
      <c r="K89" s="20" t="s">
        <v>329</v>
      </c>
      <c r="L89" s="20">
        <v>35</v>
      </c>
      <c r="M89" s="21" t="s">
        <v>267</v>
      </c>
      <c r="N89" s="21"/>
      <c r="O89" s="7"/>
      <c r="P89" s="7"/>
      <c r="Q89" s="21"/>
      <c r="S89" s="2">
        <f t="shared" si="35"/>
        <v>0</v>
      </c>
      <c r="T89" s="2">
        <f t="shared" si="36"/>
        <v>1</v>
      </c>
      <c r="U89" s="2">
        <f t="shared" si="37"/>
        <v>0</v>
      </c>
      <c r="V89" s="2">
        <f t="shared" si="38"/>
        <v>0</v>
      </c>
      <c r="W89" s="2">
        <f t="shared" si="39"/>
        <v>0</v>
      </c>
      <c r="X89" s="2">
        <f t="shared" si="40"/>
        <v>0</v>
      </c>
      <c r="Y89" s="2">
        <f t="shared" si="41"/>
        <v>0</v>
      </c>
      <c r="Z89" s="2">
        <f t="shared" si="42"/>
        <v>0</v>
      </c>
      <c r="AA89" s="2">
        <f t="shared" si="43"/>
        <v>0</v>
      </c>
      <c r="AB89" s="2">
        <f t="shared" si="44"/>
        <v>0</v>
      </c>
      <c r="AD89" s="2">
        <f t="shared" si="45"/>
        <v>0</v>
      </c>
      <c r="AE89" s="2">
        <f t="shared" si="46"/>
        <v>0</v>
      </c>
      <c r="AF89" s="2">
        <f t="shared" si="31"/>
        <v>0</v>
      </c>
      <c r="AG89" s="2">
        <f t="shared" si="32"/>
        <v>0</v>
      </c>
      <c r="AH89" s="2">
        <f t="shared" si="33"/>
        <v>0</v>
      </c>
      <c r="AI89" s="2">
        <f t="shared" si="34"/>
        <v>1</v>
      </c>
    </row>
    <row r="90" spans="1:35" ht="14.25" customHeight="1" x14ac:dyDescent="0.25">
      <c r="A90" s="31">
        <v>0</v>
      </c>
      <c r="B90" s="31">
        <v>1</v>
      </c>
      <c r="C90" s="31">
        <v>7</v>
      </c>
      <c r="D90" s="32" t="s">
        <v>41</v>
      </c>
      <c r="E90" s="32" t="s">
        <v>32</v>
      </c>
      <c r="F90" s="32" t="s">
        <v>366</v>
      </c>
      <c r="G90" s="32" t="s">
        <v>91</v>
      </c>
      <c r="H90" s="32" t="s">
        <v>165</v>
      </c>
      <c r="I90" s="31" t="s">
        <v>374</v>
      </c>
      <c r="J90" s="31">
        <v>6</v>
      </c>
      <c r="K90" s="31" t="s">
        <v>318</v>
      </c>
      <c r="L90" s="31" t="s">
        <v>335</v>
      </c>
      <c r="M90" s="32" t="s">
        <v>298</v>
      </c>
      <c r="N90" s="32" t="s">
        <v>914</v>
      </c>
      <c r="O90" s="33">
        <v>1</v>
      </c>
      <c r="P90" s="33"/>
      <c r="Q90" s="32"/>
      <c r="S90" s="2">
        <f t="shared" si="35"/>
        <v>0</v>
      </c>
      <c r="T90" s="2">
        <f t="shared" si="36"/>
        <v>0</v>
      </c>
      <c r="U90" s="2">
        <f t="shared" si="37"/>
        <v>0</v>
      </c>
      <c r="V90" s="2">
        <f t="shared" si="38"/>
        <v>0</v>
      </c>
      <c r="W90" s="2">
        <f t="shared" si="39"/>
        <v>0</v>
      </c>
      <c r="X90" s="2">
        <f t="shared" si="40"/>
        <v>1</v>
      </c>
      <c r="Y90" s="2">
        <f t="shared" si="41"/>
        <v>0</v>
      </c>
      <c r="Z90" s="2">
        <f t="shared" si="42"/>
        <v>0</v>
      </c>
      <c r="AA90" s="2">
        <f t="shared" si="43"/>
        <v>0</v>
      </c>
      <c r="AB90" s="2">
        <f t="shared" si="44"/>
        <v>0</v>
      </c>
      <c r="AD90" s="2">
        <f t="shared" si="45"/>
        <v>0</v>
      </c>
      <c r="AE90" s="2">
        <f t="shared" si="46"/>
        <v>1</v>
      </c>
      <c r="AF90" s="2">
        <f t="shared" si="31"/>
        <v>0</v>
      </c>
      <c r="AG90" s="2">
        <f t="shared" si="32"/>
        <v>1</v>
      </c>
      <c r="AH90" s="2">
        <f t="shared" si="33"/>
        <v>0</v>
      </c>
      <c r="AI90" s="2">
        <f t="shared" si="34"/>
        <v>1</v>
      </c>
    </row>
    <row r="91" spans="1:35" ht="14.25" customHeight="1" x14ac:dyDescent="0.25">
      <c r="A91" s="31">
        <v>1</v>
      </c>
      <c r="B91" s="31">
        <v>1</v>
      </c>
      <c r="C91" s="31">
        <v>7</v>
      </c>
      <c r="D91" s="32" t="s">
        <v>41</v>
      </c>
      <c r="E91" s="32" t="s">
        <v>32</v>
      </c>
      <c r="F91" s="32" t="s">
        <v>142</v>
      </c>
      <c r="G91" s="32" t="s">
        <v>130</v>
      </c>
      <c r="H91" s="32" t="s">
        <v>165</v>
      </c>
      <c r="I91" s="31" t="s">
        <v>188</v>
      </c>
      <c r="J91" s="31">
        <v>10</v>
      </c>
      <c r="K91" s="31" t="s">
        <v>318</v>
      </c>
      <c r="L91" s="31" t="s">
        <v>335</v>
      </c>
      <c r="M91" s="32" t="s">
        <v>298</v>
      </c>
      <c r="N91" s="32" t="s">
        <v>914</v>
      </c>
      <c r="O91" s="33">
        <v>1</v>
      </c>
      <c r="P91" s="33"/>
      <c r="Q91" s="32"/>
      <c r="S91" s="2">
        <f t="shared" si="35"/>
        <v>0</v>
      </c>
      <c r="T91" s="2">
        <f t="shared" si="36"/>
        <v>0</v>
      </c>
      <c r="U91" s="2">
        <f t="shared" si="37"/>
        <v>0</v>
      </c>
      <c r="V91" s="2">
        <f t="shared" si="38"/>
        <v>0</v>
      </c>
      <c r="W91" s="2">
        <f t="shared" si="39"/>
        <v>0</v>
      </c>
      <c r="X91" s="2">
        <f t="shared" si="40"/>
        <v>0</v>
      </c>
      <c r="Y91" s="2">
        <f t="shared" si="41"/>
        <v>0</v>
      </c>
      <c r="Z91" s="2">
        <f t="shared" si="42"/>
        <v>0</v>
      </c>
      <c r="AA91" s="2">
        <f t="shared" si="43"/>
        <v>0</v>
      </c>
      <c r="AB91" s="2">
        <f t="shared" si="44"/>
        <v>1</v>
      </c>
      <c r="AD91" s="2">
        <f t="shared" si="45"/>
        <v>0</v>
      </c>
      <c r="AE91" s="2">
        <f t="shared" si="46"/>
        <v>1</v>
      </c>
      <c r="AF91" s="2">
        <f t="shared" si="31"/>
        <v>0</v>
      </c>
      <c r="AG91" s="2">
        <f t="shared" si="32"/>
        <v>0</v>
      </c>
      <c r="AH91" s="2">
        <f t="shared" si="33"/>
        <v>0</v>
      </c>
      <c r="AI91" s="2">
        <f t="shared" si="34"/>
        <v>0</v>
      </c>
    </row>
    <row r="92" spans="1:35" ht="14.25" customHeight="1" x14ac:dyDescent="0.25">
      <c r="A92" s="31">
        <v>1</v>
      </c>
      <c r="B92" s="31">
        <v>1</v>
      </c>
      <c r="C92" s="31">
        <v>7</v>
      </c>
      <c r="D92" s="32" t="s">
        <v>41</v>
      </c>
      <c r="E92" s="32" t="s">
        <v>32</v>
      </c>
      <c r="F92" s="32" t="s">
        <v>143</v>
      </c>
      <c r="G92" s="32" t="s">
        <v>122</v>
      </c>
      <c r="H92" s="32" t="s">
        <v>165</v>
      </c>
      <c r="I92" s="31" t="s">
        <v>189</v>
      </c>
      <c r="J92" s="31">
        <v>6</v>
      </c>
      <c r="K92" s="31" t="s">
        <v>318</v>
      </c>
      <c r="L92" s="31" t="s">
        <v>335</v>
      </c>
      <c r="M92" s="32" t="s">
        <v>298</v>
      </c>
      <c r="N92" s="32" t="s">
        <v>914</v>
      </c>
      <c r="O92" s="33">
        <v>1</v>
      </c>
      <c r="P92" s="33"/>
      <c r="Q92" s="32"/>
      <c r="S92" s="2">
        <f t="shared" si="35"/>
        <v>0</v>
      </c>
      <c r="T92" s="2">
        <f t="shared" si="36"/>
        <v>0</v>
      </c>
      <c r="U92" s="2">
        <f t="shared" si="37"/>
        <v>0</v>
      </c>
      <c r="V92" s="2">
        <f t="shared" si="38"/>
        <v>0</v>
      </c>
      <c r="W92" s="2">
        <f t="shared" si="39"/>
        <v>0</v>
      </c>
      <c r="X92" s="2">
        <f t="shared" si="40"/>
        <v>1</v>
      </c>
      <c r="Y92" s="2">
        <f t="shared" si="41"/>
        <v>0</v>
      </c>
      <c r="Z92" s="2">
        <f t="shared" si="42"/>
        <v>0</v>
      </c>
      <c r="AA92" s="2">
        <f t="shared" si="43"/>
        <v>0</v>
      </c>
      <c r="AB92" s="2">
        <f t="shared" si="44"/>
        <v>0</v>
      </c>
      <c r="AD92" s="2">
        <f t="shared" si="45"/>
        <v>0</v>
      </c>
      <c r="AE92" s="2">
        <f t="shared" si="46"/>
        <v>1</v>
      </c>
      <c r="AF92" s="2">
        <f t="shared" si="31"/>
        <v>0</v>
      </c>
      <c r="AG92" s="2">
        <f t="shared" si="32"/>
        <v>0</v>
      </c>
      <c r="AH92" s="2">
        <f t="shared" si="33"/>
        <v>0</v>
      </c>
      <c r="AI92" s="2">
        <f t="shared" si="34"/>
        <v>0</v>
      </c>
    </row>
    <row r="93" spans="1:35" ht="14.25" customHeight="1" x14ac:dyDescent="0.25">
      <c r="A93" s="31">
        <v>1</v>
      </c>
      <c r="B93" s="31">
        <v>1</v>
      </c>
      <c r="C93" s="31">
        <v>7</v>
      </c>
      <c r="D93" s="32" t="s">
        <v>41</v>
      </c>
      <c r="E93" s="32" t="s">
        <v>32</v>
      </c>
      <c r="F93" s="32" t="s">
        <v>671</v>
      </c>
      <c r="G93" s="32" t="s">
        <v>673</v>
      </c>
      <c r="H93" s="32" t="s">
        <v>165</v>
      </c>
      <c r="I93" s="31" t="s">
        <v>672</v>
      </c>
      <c r="J93" s="31">
        <v>99</v>
      </c>
      <c r="K93" s="31" t="s">
        <v>318</v>
      </c>
      <c r="L93" s="31" t="s">
        <v>335</v>
      </c>
      <c r="M93" s="32" t="s">
        <v>298</v>
      </c>
      <c r="N93" s="32" t="s">
        <v>914</v>
      </c>
      <c r="O93" s="33">
        <v>1</v>
      </c>
      <c r="P93" s="33"/>
      <c r="Q93" s="32"/>
      <c r="S93" s="2">
        <f t="shared" si="35"/>
        <v>0</v>
      </c>
      <c r="T93" s="2">
        <f t="shared" si="36"/>
        <v>0</v>
      </c>
      <c r="U93" s="2">
        <f t="shared" si="37"/>
        <v>0</v>
      </c>
      <c r="V93" s="2">
        <f t="shared" si="38"/>
        <v>0</v>
      </c>
      <c r="W93" s="2">
        <f t="shared" si="39"/>
        <v>0</v>
      </c>
      <c r="X93" s="2">
        <f t="shared" si="40"/>
        <v>0</v>
      </c>
      <c r="Y93" s="2">
        <f t="shared" si="41"/>
        <v>0</v>
      </c>
      <c r="Z93" s="2">
        <f t="shared" si="42"/>
        <v>0</v>
      </c>
      <c r="AA93" s="2">
        <f t="shared" si="43"/>
        <v>0</v>
      </c>
      <c r="AB93" s="2">
        <f t="shared" si="44"/>
        <v>0</v>
      </c>
      <c r="AD93" s="2">
        <f t="shared" si="45"/>
        <v>0</v>
      </c>
      <c r="AE93" s="2">
        <f t="shared" si="46"/>
        <v>1</v>
      </c>
      <c r="AF93" s="2">
        <f t="shared" si="31"/>
        <v>0</v>
      </c>
      <c r="AG93" s="2">
        <f t="shared" si="32"/>
        <v>0</v>
      </c>
      <c r="AH93" s="2">
        <f t="shared" si="33"/>
        <v>0</v>
      </c>
      <c r="AI93" s="2">
        <f t="shared" si="34"/>
        <v>0</v>
      </c>
    </row>
    <row r="94" spans="1:35" ht="14.25" customHeight="1" x14ac:dyDescent="0.25">
      <c r="A94" s="31">
        <v>1</v>
      </c>
      <c r="B94" s="31">
        <v>1</v>
      </c>
      <c r="C94" s="31">
        <v>7</v>
      </c>
      <c r="D94" s="32" t="s">
        <v>41</v>
      </c>
      <c r="E94" s="32" t="s">
        <v>32</v>
      </c>
      <c r="F94" s="32" t="s">
        <v>365</v>
      </c>
      <c r="G94" s="32" t="s">
        <v>93</v>
      </c>
      <c r="H94" s="32" t="s">
        <v>165</v>
      </c>
      <c r="I94" s="31" t="s">
        <v>373</v>
      </c>
      <c r="J94" s="31">
        <v>8</v>
      </c>
      <c r="K94" s="31" t="s">
        <v>318</v>
      </c>
      <c r="L94" s="31" t="s">
        <v>335</v>
      </c>
      <c r="M94" s="32" t="s">
        <v>298</v>
      </c>
      <c r="N94" s="32" t="s">
        <v>914</v>
      </c>
      <c r="O94" s="33">
        <v>1</v>
      </c>
      <c r="P94" s="33"/>
      <c r="Q94" s="32"/>
      <c r="S94" s="2">
        <f t="shared" si="35"/>
        <v>0</v>
      </c>
      <c r="T94" s="2">
        <f t="shared" si="36"/>
        <v>0</v>
      </c>
      <c r="U94" s="2">
        <f t="shared" si="37"/>
        <v>0</v>
      </c>
      <c r="V94" s="2">
        <f t="shared" si="38"/>
        <v>0</v>
      </c>
      <c r="W94" s="2">
        <f t="shared" si="39"/>
        <v>0</v>
      </c>
      <c r="X94" s="2">
        <f t="shared" si="40"/>
        <v>0</v>
      </c>
      <c r="Y94" s="2">
        <f t="shared" si="41"/>
        <v>0</v>
      </c>
      <c r="Z94" s="2">
        <f t="shared" si="42"/>
        <v>1</v>
      </c>
      <c r="AA94" s="2">
        <f t="shared" si="43"/>
        <v>0</v>
      </c>
      <c r="AB94" s="2">
        <f t="shared" si="44"/>
        <v>0</v>
      </c>
      <c r="AD94" s="2">
        <f t="shared" si="45"/>
        <v>0</v>
      </c>
      <c r="AE94" s="2">
        <f t="shared" si="46"/>
        <v>1</v>
      </c>
      <c r="AF94" s="2">
        <f t="shared" si="31"/>
        <v>0</v>
      </c>
      <c r="AG94" s="2">
        <f t="shared" si="32"/>
        <v>0</v>
      </c>
      <c r="AH94" s="2">
        <f t="shared" si="33"/>
        <v>0</v>
      </c>
      <c r="AI94" s="2">
        <f t="shared" si="34"/>
        <v>0</v>
      </c>
    </row>
    <row r="95" spans="1:35" ht="14.25" customHeight="1" x14ac:dyDescent="0.25">
      <c r="A95" s="31">
        <v>1</v>
      </c>
      <c r="B95" s="31">
        <v>1</v>
      </c>
      <c r="C95" s="31">
        <v>7</v>
      </c>
      <c r="D95" s="32" t="s">
        <v>41</v>
      </c>
      <c r="E95" s="32" t="s">
        <v>32</v>
      </c>
      <c r="F95" s="32" t="s">
        <v>245</v>
      </c>
      <c r="G95" s="32" t="s">
        <v>125</v>
      </c>
      <c r="H95" s="32" t="s">
        <v>165</v>
      </c>
      <c r="I95" s="31" t="s">
        <v>246</v>
      </c>
      <c r="J95" s="31">
        <v>99</v>
      </c>
      <c r="K95" s="31" t="s">
        <v>318</v>
      </c>
      <c r="L95" s="31" t="s">
        <v>335</v>
      </c>
      <c r="M95" s="32" t="s">
        <v>298</v>
      </c>
      <c r="N95" s="32" t="s">
        <v>914</v>
      </c>
      <c r="O95" s="33">
        <v>1</v>
      </c>
      <c r="P95" s="33"/>
      <c r="Q95" s="32"/>
      <c r="S95" s="2">
        <f t="shared" si="35"/>
        <v>0</v>
      </c>
      <c r="T95" s="2">
        <f t="shared" si="36"/>
        <v>0</v>
      </c>
      <c r="U95" s="2">
        <f t="shared" si="37"/>
        <v>0</v>
      </c>
      <c r="V95" s="2">
        <f t="shared" si="38"/>
        <v>0</v>
      </c>
      <c r="W95" s="2">
        <f t="shared" si="39"/>
        <v>0</v>
      </c>
      <c r="X95" s="2">
        <f t="shared" si="40"/>
        <v>0</v>
      </c>
      <c r="Y95" s="2">
        <f t="shared" si="41"/>
        <v>0</v>
      </c>
      <c r="Z95" s="2">
        <f t="shared" si="42"/>
        <v>0</v>
      </c>
      <c r="AA95" s="2">
        <f t="shared" si="43"/>
        <v>0</v>
      </c>
      <c r="AB95" s="2">
        <f t="shared" si="44"/>
        <v>0</v>
      </c>
      <c r="AD95" s="2">
        <f t="shared" si="45"/>
        <v>0</v>
      </c>
      <c r="AE95" s="2">
        <f t="shared" si="46"/>
        <v>1</v>
      </c>
      <c r="AF95" s="2">
        <f t="shared" si="31"/>
        <v>0</v>
      </c>
      <c r="AG95" s="2">
        <f t="shared" si="32"/>
        <v>0</v>
      </c>
      <c r="AH95" s="2">
        <f t="shared" si="33"/>
        <v>0</v>
      </c>
      <c r="AI95" s="2">
        <f t="shared" si="34"/>
        <v>0</v>
      </c>
    </row>
    <row r="96" spans="1:35" ht="14.25" customHeight="1" x14ac:dyDescent="0.25">
      <c r="A96" s="28">
        <v>0</v>
      </c>
      <c r="B96" s="28">
        <v>1</v>
      </c>
      <c r="C96" s="28">
        <v>7</v>
      </c>
      <c r="D96" s="29" t="s">
        <v>571</v>
      </c>
      <c r="E96" s="29" t="s">
        <v>32</v>
      </c>
      <c r="F96" s="29" t="s">
        <v>586</v>
      </c>
      <c r="G96" s="29" t="s">
        <v>309</v>
      </c>
      <c r="H96" s="29" t="s">
        <v>165</v>
      </c>
      <c r="I96" s="28" t="s">
        <v>528</v>
      </c>
      <c r="J96" s="28">
        <v>1</v>
      </c>
      <c r="K96" s="28" t="s">
        <v>321</v>
      </c>
      <c r="L96" s="28" t="s">
        <v>40</v>
      </c>
      <c r="M96" s="29" t="s">
        <v>40</v>
      </c>
      <c r="N96" s="29"/>
      <c r="O96" s="30"/>
      <c r="P96" s="30">
        <v>1</v>
      </c>
      <c r="Q96" s="29"/>
      <c r="S96" s="2">
        <f t="shared" si="35"/>
        <v>1</v>
      </c>
      <c r="T96" s="2">
        <f t="shared" si="36"/>
        <v>0</v>
      </c>
      <c r="U96" s="2">
        <f t="shared" si="37"/>
        <v>0</v>
      </c>
      <c r="V96" s="2">
        <f t="shared" si="38"/>
        <v>0</v>
      </c>
      <c r="W96" s="2">
        <f t="shared" si="39"/>
        <v>0</v>
      </c>
      <c r="X96" s="2">
        <f t="shared" si="40"/>
        <v>0</v>
      </c>
      <c r="Y96" s="2">
        <f t="shared" si="41"/>
        <v>0</v>
      </c>
      <c r="Z96" s="2">
        <f t="shared" si="42"/>
        <v>0</v>
      </c>
      <c r="AA96" s="2">
        <f t="shared" si="43"/>
        <v>0</v>
      </c>
      <c r="AB96" s="2">
        <f t="shared" si="44"/>
        <v>0</v>
      </c>
      <c r="AD96" s="2">
        <f t="shared" si="45"/>
        <v>0</v>
      </c>
      <c r="AE96" s="2">
        <f t="shared" si="46"/>
        <v>0</v>
      </c>
      <c r="AF96" s="2">
        <f t="shared" si="31"/>
        <v>0</v>
      </c>
      <c r="AG96" s="2">
        <f t="shared" si="32"/>
        <v>0</v>
      </c>
      <c r="AH96" s="2">
        <f t="shared" si="33"/>
        <v>1</v>
      </c>
      <c r="AI96" s="2">
        <f t="shared" si="34"/>
        <v>0</v>
      </c>
    </row>
    <row r="97" spans="1:35" ht="14.25" customHeight="1" x14ac:dyDescent="0.25">
      <c r="A97" s="31">
        <v>0</v>
      </c>
      <c r="B97" s="31">
        <v>1</v>
      </c>
      <c r="C97" s="31">
        <v>7</v>
      </c>
      <c r="D97" s="32" t="s">
        <v>237</v>
      </c>
      <c r="E97" s="32" t="s">
        <v>238</v>
      </c>
      <c r="F97" s="32" t="s">
        <v>239</v>
      </c>
      <c r="G97" s="32" t="s">
        <v>96</v>
      </c>
      <c r="H97" s="32" t="s">
        <v>165</v>
      </c>
      <c r="I97" s="31" t="s">
        <v>240</v>
      </c>
      <c r="J97" s="31">
        <v>3</v>
      </c>
      <c r="K97" s="31" t="s">
        <v>321</v>
      </c>
      <c r="L97" s="31" t="s">
        <v>335</v>
      </c>
      <c r="M97" s="32" t="s">
        <v>340</v>
      </c>
      <c r="N97" s="32" t="s">
        <v>910</v>
      </c>
      <c r="O97" s="33">
        <v>1</v>
      </c>
      <c r="P97" s="33"/>
      <c r="Q97" s="32"/>
      <c r="S97" s="2">
        <f t="shared" si="35"/>
        <v>0</v>
      </c>
      <c r="T97" s="2">
        <f t="shared" si="36"/>
        <v>0</v>
      </c>
      <c r="U97" s="2">
        <f t="shared" si="37"/>
        <v>1</v>
      </c>
      <c r="V97" s="2">
        <f t="shared" si="38"/>
        <v>0</v>
      </c>
      <c r="W97" s="2">
        <f t="shared" si="39"/>
        <v>0</v>
      </c>
      <c r="X97" s="2">
        <f t="shared" si="40"/>
        <v>0</v>
      </c>
      <c r="Y97" s="2">
        <f t="shared" si="41"/>
        <v>0</v>
      </c>
      <c r="Z97" s="2">
        <f t="shared" si="42"/>
        <v>0</v>
      </c>
      <c r="AA97" s="2">
        <f t="shared" si="43"/>
        <v>0</v>
      </c>
      <c r="AB97" s="2">
        <f t="shared" si="44"/>
        <v>0</v>
      </c>
      <c r="AD97" s="2">
        <f t="shared" si="45"/>
        <v>0</v>
      </c>
      <c r="AE97" s="2">
        <f t="shared" si="46"/>
        <v>1</v>
      </c>
      <c r="AF97" s="2">
        <f t="shared" si="31"/>
        <v>0</v>
      </c>
      <c r="AG97" s="2">
        <f t="shared" si="32"/>
        <v>1</v>
      </c>
      <c r="AH97" s="2">
        <f t="shared" si="33"/>
        <v>0</v>
      </c>
      <c r="AI97" s="2">
        <f t="shared" si="34"/>
        <v>1</v>
      </c>
    </row>
    <row r="98" spans="1:35" ht="14.25" customHeight="1" x14ac:dyDescent="0.25">
      <c r="A98" s="31">
        <v>0</v>
      </c>
      <c r="B98" s="31">
        <v>1</v>
      </c>
      <c r="C98" s="31">
        <v>7</v>
      </c>
      <c r="D98" s="32" t="s">
        <v>230</v>
      </c>
      <c r="E98" s="32" t="s">
        <v>32</v>
      </c>
      <c r="F98" s="32" t="s">
        <v>669</v>
      </c>
      <c r="G98" s="32" t="s">
        <v>96</v>
      </c>
      <c r="H98" s="32" t="s">
        <v>165</v>
      </c>
      <c r="I98" s="31" t="s">
        <v>841</v>
      </c>
      <c r="J98" s="31">
        <v>1</v>
      </c>
      <c r="K98" s="31" t="s">
        <v>320</v>
      </c>
      <c r="L98" s="31" t="s">
        <v>343</v>
      </c>
      <c r="M98" s="32" t="s">
        <v>752</v>
      </c>
      <c r="N98" s="32" t="s">
        <v>903</v>
      </c>
      <c r="O98" s="33">
        <v>1</v>
      </c>
      <c r="P98" s="33"/>
      <c r="Q98" s="32"/>
      <c r="S98" s="2">
        <f t="shared" si="35"/>
        <v>1</v>
      </c>
      <c r="T98" s="2">
        <f t="shared" si="36"/>
        <v>0</v>
      </c>
      <c r="U98" s="2">
        <f t="shared" si="37"/>
        <v>0</v>
      </c>
      <c r="V98" s="2">
        <f t="shared" si="38"/>
        <v>0</v>
      </c>
      <c r="W98" s="2">
        <f t="shared" si="39"/>
        <v>0</v>
      </c>
      <c r="X98" s="2">
        <f t="shared" si="40"/>
        <v>0</v>
      </c>
      <c r="Y98" s="2">
        <f t="shared" si="41"/>
        <v>0</v>
      </c>
      <c r="Z98" s="2">
        <f t="shared" si="42"/>
        <v>0</v>
      </c>
      <c r="AA98" s="2">
        <f t="shared" si="43"/>
        <v>0</v>
      </c>
      <c r="AB98" s="2">
        <f t="shared" si="44"/>
        <v>0</v>
      </c>
      <c r="AD98" s="2">
        <f t="shared" si="45"/>
        <v>0</v>
      </c>
      <c r="AE98" s="2">
        <f t="shared" si="46"/>
        <v>1</v>
      </c>
      <c r="AF98" s="2">
        <f t="shared" si="31"/>
        <v>0</v>
      </c>
      <c r="AG98" s="2">
        <f t="shared" si="32"/>
        <v>1</v>
      </c>
      <c r="AH98" s="2">
        <f t="shared" si="33"/>
        <v>0</v>
      </c>
      <c r="AI98" s="2">
        <f t="shared" si="34"/>
        <v>1</v>
      </c>
    </row>
    <row r="99" spans="1:35" ht="14.25" customHeight="1" x14ac:dyDescent="0.25">
      <c r="A99" s="31">
        <v>1</v>
      </c>
      <c r="B99" s="31">
        <v>1</v>
      </c>
      <c r="C99" s="31">
        <v>7</v>
      </c>
      <c r="D99" s="32" t="s">
        <v>230</v>
      </c>
      <c r="E99" s="32" t="s">
        <v>32</v>
      </c>
      <c r="F99" s="32" t="s">
        <v>257</v>
      </c>
      <c r="G99" s="32" t="s">
        <v>38</v>
      </c>
      <c r="H99" s="32" t="s">
        <v>165</v>
      </c>
      <c r="I99" s="31" t="s">
        <v>231</v>
      </c>
      <c r="J99" s="31">
        <v>1</v>
      </c>
      <c r="K99" s="31" t="s">
        <v>320</v>
      </c>
      <c r="L99" s="31" t="s">
        <v>343</v>
      </c>
      <c r="M99" s="32" t="s">
        <v>752</v>
      </c>
      <c r="N99" s="32" t="s">
        <v>903</v>
      </c>
      <c r="O99" s="33">
        <v>1</v>
      </c>
      <c r="P99" s="33"/>
      <c r="Q99" s="32"/>
      <c r="S99" s="2">
        <f t="shared" si="35"/>
        <v>1</v>
      </c>
      <c r="T99" s="2">
        <f t="shared" si="36"/>
        <v>0</v>
      </c>
      <c r="U99" s="2">
        <f t="shared" si="37"/>
        <v>0</v>
      </c>
      <c r="V99" s="2">
        <f t="shared" si="38"/>
        <v>0</v>
      </c>
      <c r="W99" s="2">
        <f t="shared" si="39"/>
        <v>0</v>
      </c>
      <c r="X99" s="2">
        <f t="shared" si="40"/>
        <v>0</v>
      </c>
      <c r="Y99" s="2">
        <f t="shared" si="41"/>
        <v>0</v>
      </c>
      <c r="Z99" s="2">
        <f t="shared" si="42"/>
        <v>0</v>
      </c>
      <c r="AA99" s="2">
        <f t="shared" si="43"/>
        <v>0</v>
      </c>
      <c r="AB99" s="2">
        <f t="shared" si="44"/>
        <v>0</v>
      </c>
      <c r="AD99" s="2">
        <f t="shared" si="45"/>
        <v>0</v>
      </c>
      <c r="AE99" s="2">
        <f t="shared" si="46"/>
        <v>1</v>
      </c>
      <c r="AF99" s="2">
        <f t="shared" si="31"/>
        <v>0</v>
      </c>
      <c r="AG99" s="2">
        <f t="shared" si="32"/>
        <v>0</v>
      </c>
      <c r="AH99" s="2">
        <f t="shared" si="33"/>
        <v>0</v>
      </c>
      <c r="AI99" s="2">
        <f t="shared" si="34"/>
        <v>0</v>
      </c>
    </row>
    <row r="100" spans="1:35" ht="14.25" customHeight="1" x14ac:dyDescent="0.25">
      <c r="A100" s="31">
        <v>1</v>
      </c>
      <c r="B100" s="31">
        <v>1</v>
      </c>
      <c r="C100" s="31">
        <v>7</v>
      </c>
      <c r="D100" s="32" t="s">
        <v>230</v>
      </c>
      <c r="E100" s="32" t="s">
        <v>32</v>
      </c>
      <c r="F100" s="32" t="s">
        <v>473</v>
      </c>
      <c r="G100" s="32" t="s">
        <v>92</v>
      </c>
      <c r="H100" s="32" t="s">
        <v>165</v>
      </c>
      <c r="I100" s="31" t="s">
        <v>485</v>
      </c>
      <c r="J100" s="31">
        <v>2</v>
      </c>
      <c r="K100" s="31" t="s">
        <v>320</v>
      </c>
      <c r="L100" s="31" t="s">
        <v>343</v>
      </c>
      <c r="M100" s="32" t="s">
        <v>752</v>
      </c>
      <c r="N100" s="32" t="s">
        <v>903</v>
      </c>
      <c r="O100" s="33">
        <v>1</v>
      </c>
      <c r="P100" s="33"/>
      <c r="Q100" s="32"/>
      <c r="S100" s="2">
        <f t="shared" si="35"/>
        <v>0</v>
      </c>
      <c r="T100" s="2">
        <f t="shared" si="36"/>
        <v>1</v>
      </c>
      <c r="U100" s="2">
        <f t="shared" si="37"/>
        <v>0</v>
      </c>
      <c r="V100" s="2">
        <f t="shared" si="38"/>
        <v>0</v>
      </c>
      <c r="W100" s="2">
        <f t="shared" si="39"/>
        <v>0</v>
      </c>
      <c r="X100" s="2">
        <f t="shared" si="40"/>
        <v>0</v>
      </c>
      <c r="Y100" s="2">
        <f t="shared" si="41"/>
        <v>0</v>
      </c>
      <c r="Z100" s="2">
        <f t="shared" si="42"/>
        <v>0</v>
      </c>
      <c r="AA100" s="2">
        <f t="shared" si="43"/>
        <v>0</v>
      </c>
      <c r="AB100" s="2">
        <f t="shared" si="44"/>
        <v>0</v>
      </c>
      <c r="AD100" s="2">
        <f t="shared" si="45"/>
        <v>0</v>
      </c>
      <c r="AE100" s="2">
        <f t="shared" si="46"/>
        <v>1</v>
      </c>
      <c r="AF100" s="2">
        <f t="shared" si="31"/>
        <v>0</v>
      </c>
      <c r="AG100" s="2">
        <f t="shared" si="32"/>
        <v>0</v>
      </c>
      <c r="AH100" s="2">
        <f t="shared" si="33"/>
        <v>0</v>
      </c>
      <c r="AI100" s="2">
        <f t="shared" si="34"/>
        <v>0</v>
      </c>
    </row>
    <row r="101" spans="1:35" ht="14.25" customHeight="1" x14ac:dyDescent="0.25">
      <c r="A101" s="31">
        <v>0</v>
      </c>
      <c r="B101" s="31">
        <v>1</v>
      </c>
      <c r="C101" s="31">
        <v>7</v>
      </c>
      <c r="D101" s="32" t="s">
        <v>446</v>
      </c>
      <c r="E101" s="32" t="s">
        <v>32</v>
      </c>
      <c r="F101" s="32" t="s">
        <v>657</v>
      </c>
      <c r="G101" s="32" t="s">
        <v>96</v>
      </c>
      <c r="H101" s="32" t="s">
        <v>165</v>
      </c>
      <c r="I101" s="31" t="s">
        <v>658</v>
      </c>
      <c r="J101" s="31">
        <v>3</v>
      </c>
      <c r="K101" s="31" t="s">
        <v>320</v>
      </c>
      <c r="L101" s="31" t="s">
        <v>40</v>
      </c>
      <c r="M101" s="32" t="s">
        <v>40</v>
      </c>
      <c r="N101" s="32" t="s">
        <v>895</v>
      </c>
      <c r="O101" s="33">
        <v>1</v>
      </c>
      <c r="P101" s="33">
        <v>1</v>
      </c>
      <c r="Q101" s="32"/>
      <c r="S101" s="2">
        <f t="shared" si="35"/>
        <v>0</v>
      </c>
      <c r="T101" s="2">
        <f t="shared" si="36"/>
        <v>0</v>
      </c>
      <c r="U101" s="2">
        <f t="shared" si="37"/>
        <v>1</v>
      </c>
      <c r="V101" s="2">
        <f t="shared" si="38"/>
        <v>0</v>
      </c>
      <c r="W101" s="2">
        <f t="shared" si="39"/>
        <v>0</v>
      </c>
      <c r="X101" s="2">
        <f t="shared" si="40"/>
        <v>0</v>
      </c>
      <c r="Y101" s="2">
        <f t="shared" si="41"/>
        <v>0</v>
      </c>
      <c r="Z101" s="2">
        <f t="shared" si="42"/>
        <v>0</v>
      </c>
      <c r="AA101" s="2">
        <f t="shared" si="43"/>
        <v>0</v>
      </c>
      <c r="AB101" s="2">
        <f t="shared" si="44"/>
        <v>0</v>
      </c>
      <c r="AD101" s="2">
        <f t="shared" si="45"/>
        <v>1</v>
      </c>
      <c r="AE101" s="2">
        <f t="shared" si="46"/>
        <v>0</v>
      </c>
      <c r="AF101" s="2">
        <f t="shared" si="31"/>
        <v>1</v>
      </c>
      <c r="AG101" s="2">
        <f t="shared" si="32"/>
        <v>0</v>
      </c>
      <c r="AH101" s="2">
        <f t="shared" si="33"/>
        <v>1</v>
      </c>
      <c r="AI101" s="2">
        <f t="shared" si="34"/>
        <v>0</v>
      </c>
    </row>
    <row r="102" spans="1:35" ht="14.25" customHeight="1" x14ac:dyDescent="0.25">
      <c r="A102" s="31">
        <v>1</v>
      </c>
      <c r="B102" s="31">
        <v>1</v>
      </c>
      <c r="C102" s="31">
        <v>7</v>
      </c>
      <c r="D102" s="32" t="s">
        <v>446</v>
      </c>
      <c r="E102" s="32" t="s">
        <v>32</v>
      </c>
      <c r="F102" s="32" t="s">
        <v>447</v>
      </c>
      <c r="G102" s="32" t="s">
        <v>145</v>
      </c>
      <c r="H102" s="32" t="s">
        <v>165</v>
      </c>
      <c r="I102" s="31" t="s">
        <v>448</v>
      </c>
      <c r="J102" s="31">
        <v>2</v>
      </c>
      <c r="K102" s="31" t="s">
        <v>320</v>
      </c>
      <c r="L102" s="31" t="s">
        <v>40</v>
      </c>
      <c r="M102" s="32" t="s">
        <v>40</v>
      </c>
      <c r="N102" s="32" t="s">
        <v>895</v>
      </c>
      <c r="O102" s="33">
        <v>1</v>
      </c>
      <c r="P102" s="33">
        <v>1</v>
      </c>
      <c r="Q102" s="32"/>
      <c r="S102" s="2">
        <f t="shared" si="35"/>
        <v>0</v>
      </c>
      <c r="T102" s="2">
        <f t="shared" si="36"/>
        <v>1</v>
      </c>
      <c r="U102" s="2">
        <f t="shared" si="37"/>
        <v>0</v>
      </c>
      <c r="V102" s="2">
        <f t="shared" si="38"/>
        <v>0</v>
      </c>
      <c r="W102" s="2">
        <f t="shared" si="39"/>
        <v>0</v>
      </c>
      <c r="X102" s="2">
        <f t="shared" si="40"/>
        <v>0</v>
      </c>
      <c r="Y102" s="2">
        <f t="shared" si="41"/>
        <v>0</v>
      </c>
      <c r="Z102" s="2">
        <f t="shared" si="42"/>
        <v>0</v>
      </c>
      <c r="AA102" s="2">
        <f t="shared" si="43"/>
        <v>0</v>
      </c>
      <c r="AB102" s="2">
        <f t="shared" si="44"/>
        <v>0</v>
      </c>
      <c r="AD102" s="2">
        <f t="shared" si="45"/>
        <v>1</v>
      </c>
      <c r="AE102" s="2">
        <f t="shared" si="46"/>
        <v>0</v>
      </c>
      <c r="AF102" s="2">
        <f t="shared" si="31"/>
        <v>0</v>
      </c>
      <c r="AG102" s="2">
        <f t="shared" si="32"/>
        <v>0</v>
      </c>
      <c r="AH102" s="2">
        <f t="shared" si="33"/>
        <v>0</v>
      </c>
      <c r="AI102" s="2">
        <f t="shared" si="34"/>
        <v>0</v>
      </c>
    </row>
    <row r="103" spans="1:35" ht="14.25" customHeight="1" x14ac:dyDescent="0.25">
      <c r="A103" s="31">
        <v>1</v>
      </c>
      <c r="B103" s="31">
        <v>1</v>
      </c>
      <c r="C103" s="31">
        <v>7</v>
      </c>
      <c r="D103" s="32" t="s">
        <v>446</v>
      </c>
      <c r="E103" s="32" t="s">
        <v>32</v>
      </c>
      <c r="F103" s="32" t="s">
        <v>837</v>
      </c>
      <c r="G103" s="32" t="s">
        <v>124</v>
      </c>
      <c r="H103" s="32" t="s">
        <v>165</v>
      </c>
      <c r="I103" s="31" t="s">
        <v>851</v>
      </c>
      <c r="J103" s="31">
        <v>99</v>
      </c>
      <c r="K103" s="31" t="s">
        <v>320</v>
      </c>
      <c r="L103" s="31" t="s">
        <v>40</v>
      </c>
      <c r="M103" s="32" t="s">
        <v>40</v>
      </c>
      <c r="N103" s="32" t="s">
        <v>895</v>
      </c>
      <c r="O103" s="33">
        <v>1</v>
      </c>
      <c r="P103" s="33">
        <v>1</v>
      </c>
      <c r="Q103" s="32"/>
      <c r="S103" s="2">
        <f t="shared" si="35"/>
        <v>0</v>
      </c>
      <c r="T103" s="2">
        <f t="shared" si="36"/>
        <v>0</v>
      </c>
      <c r="U103" s="2">
        <f t="shared" si="37"/>
        <v>0</v>
      </c>
      <c r="V103" s="2">
        <f t="shared" si="38"/>
        <v>0</v>
      </c>
      <c r="W103" s="2">
        <f t="shared" si="39"/>
        <v>0</v>
      </c>
      <c r="X103" s="2">
        <f t="shared" si="40"/>
        <v>0</v>
      </c>
      <c r="Y103" s="2">
        <f t="shared" si="41"/>
        <v>0</v>
      </c>
      <c r="Z103" s="2">
        <f t="shared" si="42"/>
        <v>0</v>
      </c>
      <c r="AA103" s="2">
        <f t="shared" si="43"/>
        <v>0</v>
      </c>
      <c r="AB103" s="2">
        <f t="shared" si="44"/>
        <v>0</v>
      </c>
      <c r="AD103" s="2">
        <f t="shared" si="45"/>
        <v>1</v>
      </c>
      <c r="AE103" s="2">
        <f t="shared" si="46"/>
        <v>0</v>
      </c>
      <c r="AF103" s="2">
        <f t="shared" si="31"/>
        <v>0</v>
      </c>
      <c r="AG103" s="2">
        <f t="shared" si="32"/>
        <v>0</v>
      </c>
      <c r="AH103" s="2">
        <f t="shared" si="33"/>
        <v>0</v>
      </c>
      <c r="AI103" s="2">
        <f t="shared" si="34"/>
        <v>0</v>
      </c>
    </row>
    <row r="104" spans="1:35" ht="14.25" customHeight="1" x14ac:dyDescent="0.25">
      <c r="A104" s="31">
        <v>1</v>
      </c>
      <c r="B104" s="31">
        <v>1</v>
      </c>
      <c r="C104" s="31">
        <v>7</v>
      </c>
      <c r="D104" s="32" t="s">
        <v>446</v>
      </c>
      <c r="E104" s="32" t="s">
        <v>32</v>
      </c>
      <c r="F104" s="32" t="s">
        <v>838</v>
      </c>
      <c r="G104" s="32" t="s">
        <v>103</v>
      </c>
      <c r="H104" s="32" t="s">
        <v>165</v>
      </c>
      <c r="I104" s="31" t="s">
        <v>852</v>
      </c>
      <c r="J104" s="31">
        <v>2</v>
      </c>
      <c r="K104" s="31" t="s">
        <v>320</v>
      </c>
      <c r="L104" s="31" t="s">
        <v>40</v>
      </c>
      <c r="M104" s="32" t="s">
        <v>40</v>
      </c>
      <c r="N104" s="32" t="s">
        <v>895</v>
      </c>
      <c r="O104" s="33">
        <v>1</v>
      </c>
      <c r="P104" s="33">
        <v>1</v>
      </c>
      <c r="Q104" s="32"/>
      <c r="S104" s="2">
        <f t="shared" si="35"/>
        <v>0</v>
      </c>
      <c r="T104" s="2">
        <f t="shared" si="36"/>
        <v>1</v>
      </c>
      <c r="U104" s="2">
        <f t="shared" si="37"/>
        <v>0</v>
      </c>
      <c r="V104" s="2">
        <f t="shared" si="38"/>
        <v>0</v>
      </c>
      <c r="W104" s="2">
        <f t="shared" si="39"/>
        <v>0</v>
      </c>
      <c r="X104" s="2">
        <f t="shared" si="40"/>
        <v>0</v>
      </c>
      <c r="Y104" s="2">
        <f t="shared" si="41"/>
        <v>0</v>
      </c>
      <c r="Z104" s="2">
        <f t="shared" si="42"/>
        <v>0</v>
      </c>
      <c r="AA104" s="2">
        <f t="shared" si="43"/>
        <v>0</v>
      </c>
      <c r="AB104" s="2">
        <f t="shared" si="44"/>
        <v>0</v>
      </c>
      <c r="AD104" s="2">
        <f t="shared" si="45"/>
        <v>1</v>
      </c>
      <c r="AE104" s="2">
        <f t="shared" si="46"/>
        <v>0</v>
      </c>
      <c r="AF104" s="2">
        <f t="shared" si="31"/>
        <v>0</v>
      </c>
      <c r="AG104" s="2">
        <f t="shared" si="32"/>
        <v>0</v>
      </c>
      <c r="AH104" s="2">
        <f t="shared" si="33"/>
        <v>0</v>
      </c>
      <c r="AI104" s="2">
        <f t="shared" si="34"/>
        <v>0</v>
      </c>
    </row>
    <row r="105" spans="1:35" ht="14.25" customHeight="1" x14ac:dyDescent="0.25">
      <c r="A105" s="34">
        <v>0</v>
      </c>
      <c r="B105" s="34">
        <v>1</v>
      </c>
      <c r="C105" s="34">
        <v>7</v>
      </c>
      <c r="D105" s="35" t="s">
        <v>71</v>
      </c>
      <c r="E105" s="35" t="s">
        <v>32</v>
      </c>
      <c r="F105" s="35" t="s">
        <v>150</v>
      </c>
      <c r="G105" s="35" t="s">
        <v>92</v>
      </c>
      <c r="H105" s="35" t="s">
        <v>165</v>
      </c>
      <c r="I105" s="34" t="s">
        <v>194</v>
      </c>
      <c r="J105" s="34">
        <v>2</v>
      </c>
      <c r="K105" s="34" t="s">
        <v>320</v>
      </c>
      <c r="L105" s="34" t="s">
        <v>335</v>
      </c>
      <c r="M105" s="35" t="s">
        <v>268</v>
      </c>
      <c r="N105" s="35" t="s">
        <v>931</v>
      </c>
      <c r="O105" s="36"/>
      <c r="P105" s="36"/>
      <c r="Q105" s="35"/>
      <c r="S105" s="2">
        <f t="shared" si="35"/>
        <v>0</v>
      </c>
      <c r="T105" s="2">
        <f t="shared" si="36"/>
        <v>1</v>
      </c>
      <c r="U105" s="2">
        <f t="shared" si="37"/>
        <v>0</v>
      </c>
      <c r="V105" s="2">
        <f t="shared" si="38"/>
        <v>0</v>
      </c>
      <c r="W105" s="2">
        <f t="shared" si="39"/>
        <v>0</v>
      </c>
      <c r="X105" s="2">
        <f t="shared" si="40"/>
        <v>0</v>
      </c>
      <c r="Y105" s="2">
        <f t="shared" si="41"/>
        <v>0</v>
      </c>
      <c r="Z105" s="2">
        <f t="shared" si="42"/>
        <v>0</v>
      </c>
      <c r="AA105" s="2">
        <f t="shared" si="43"/>
        <v>0</v>
      </c>
      <c r="AB105" s="2">
        <f t="shared" si="44"/>
        <v>0</v>
      </c>
      <c r="AD105" s="2">
        <f t="shared" si="45"/>
        <v>0</v>
      </c>
      <c r="AE105" s="2">
        <f t="shared" si="46"/>
        <v>0</v>
      </c>
      <c r="AF105" s="2">
        <f t="shared" si="31"/>
        <v>0</v>
      </c>
      <c r="AG105" s="2">
        <f t="shared" si="32"/>
        <v>0</v>
      </c>
      <c r="AH105" s="2">
        <f t="shared" si="33"/>
        <v>0</v>
      </c>
      <c r="AI105" s="2">
        <f t="shared" si="34"/>
        <v>1</v>
      </c>
    </row>
    <row r="106" spans="1:35" ht="14.25" customHeight="1" x14ac:dyDescent="0.25">
      <c r="A106" s="34">
        <v>1</v>
      </c>
      <c r="B106" s="34">
        <v>1</v>
      </c>
      <c r="C106" s="34">
        <v>7</v>
      </c>
      <c r="D106" s="35" t="s">
        <v>71</v>
      </c>
      <c r="E106" s="35" t="s">
        <v>32</v>
      </c>
      <c r="F106" s="35" t="s">
        <v>315</v>
      </c>
      <c r="G106" s="35" t="s">
        <v>154</v>
      </c>
      <c r="H106" s="35" t="s">
        <v>165</v>
      </c>
      <c r="I106" s="34" t="s">
        <v>317</v>
      </c>
      <c r="J106" s="34">
        <v>99</v>
      </c>
      <c r="K106" s="34" t="s">
        <v>320</v>
      </c>
      <c r="L106" s="34" t="s">
        <v>335</v>
      </c>
      <c r="M106" s="35" t="s">
        <v>268</v>
      </c>
      <c r="N106" s="35" t="s">
        <v>931</v>
      </c>
      <c r="O106" s="36"/>
      <c r="P106" s="36"/>
      <c r="Q106" s="35"/>
      <c r="S106" s="2">
        <f t="shared" si="35"/>
        <v>0</v>
      </c>
      <c r="T106" s="2">
        <f t="shared" si="36"/>
        <v>0</v>
      </c>
      <c r="U106" s="2">
        <f t="shared" si="37"/>
        <v>0</v>
      </c>
      <c r="V106" s="2">
        <f t="shared" si="38"/>
        <v>0</v>
      </c>
      <c r="W106" s="2">
        <f t="shared" si="39"/>
        <v>0</v>
      </c>
      <c r="X106" s="2">
        <f t="shared" si="40"/>
        <v>0</v>
      </c>
      <c r="Y106" s="2">
        <f t="shared" si="41"/>
        <v>0</v>
      </c>
      <c r="Z106" s="2">
        <f t="shared" si="42"/>
        <v>0</v>
      </c>
      <c r="AA106" s="2">
        <f t="shared" si="43"/>
        <v>0</v>
      </c>
      <c r="AB106" s="2">
        <f t="shared" si="44"/>
        <v>0</v>
      </c>
      <c r="AD106" s="2">
        <f t="shared" si="45"/>
        <v>0</v>
      </c>
      <c r="AE106" s="2">
        <f t="shared" si="46"/>
        <v>0</v>
      </c>
      <c r="AF106" s="2">
        <f t="shared" si="31"/>
        <v>0</v>
      </c>
      <c r="AG106" s="2">
        <f t="shared" si="32"/>
        <v>0</v>
      </c>
      <c r="AH106" s="2">
        <f t="shared" si="33"/>
        <v>0</v>
      </c>
      <c r="AI106" s="2">
        <f t="shared" si="34"/>
        <v>0</v>
      </c>
    </row>
    <row r="107" spans="1:35" ht="14.25" customHeight="1" x14ac:dyDescent="0.25">
      <c r="A107" s="20">
        <v>0</v>
      </c>
      <c r="B107" s="20">
        <v>1</v>
      </c>
      <c r="C107" s="20">
        <v>7</v>
      </c>
      <c r="D107" s="21" t="s">
        <v>948</v>
      </c>
      <c r="E107" s="21" t="s">
        <v>32</v>
      </c>
      <c r="F107" s="21" t="s">
        <v>949</v>
      </c>
      <c r="G107" s="21"/>
      <c r="H107" s="21" t="s">
        <v>165</v>
      </c>
      <c r="I107" s="20" t="s">
        <v>950</v>
      </c>
      <c r="J107" s="20"/>
      <c r="K107" s="20" t="s">
        <v>378</v>
      </c>
      <c r="L107" s="20">
        <v>30</v>
      </c>
      <c r="M107" s="21" t="s">
        <v>951</v>
      </c>
      <c r="N107" s="21"/>
      <c r="O107" s="7"/>
      <c r="P107" s="7"/>
      <c r="Q107" s="21"/>
      <c r="S107" s="2">
        <f t="shared" si="35"/>
        <v>0</v>
      </c>
      <c r="T107" s="2">
        <f t="shared" si="36"/>
        <v>0</v>
      </c>
      <c r="U107" s="2">
        <f t="shared" si="37"/>
        <v>0</v>
      </c>
      <c r="V107" s="2">
        <f t="shared" si="38"/>
        <v>0</v>
      </c>
      <c r="W107" s="2">
        <f t="shared" si="39"/>
        <v>0</v>
      </c>
      <c r="X107" s="2">
        <f t="shared" si="40"/>
        <v>0</v>
      </c>
      <c r="Y107" s="2">
        <f t="shared" si="41"/>
        <v>0</v>
      </c>
      <c r="Z107" s="2">
        <f t="shared" si="42"/>
        <v>0</v>
      </c>
      <c r="AA107" s="2">
        <f t="shared" si="43"/>
        <v>0</v>
      </c>
      <c r="AB107" s="2">
        <f t="shared" si="44"/>
        <v>0</v>
      </c>
      <c r="AD107" s="2">
        <f t="shared" si="45"/>
        <v>0</v>
      </c>
      <c r="AE107" s="2">
        <f t="shared" si="46"/>
        <v>0</v>
      </c>
      <c r="AF107" s="2">
        <f t="shared" si="31"/>
        <v>0</v>
      </c>
      <c r="AG107" s="2">
        <f t="shared" si="32"/>
        <v>0</v>
      </c>
      <c r="AH107" s="2">
        <f t="shared" si="33"/>
        <v>0</v>
      </c>
      <c r="AI107" s="2">
        <f t="shared" si="34"/>
        <v>1</v>
      </c>
    </row>
    <row r="108" spans="1:35" ht="14.25" customHeight="1" x14ac:dyDescent="0.25">
      <c r="A108" s="34">
        <v>0</v>
      </c>
      <c r="B108" s="34">
        <v>1</v>
      </c>
      <c r="C108" s="34">
        <v>7</v>
      </c>
      <c r="D108" s="35" t="s">
        <v>647</v>
      </c>
      <c r="E108" s="35" t="s">
        <v>32</v>
      </c>
      <c r="F108" s="35" t="s">
        <v>649</v>
      </c>
      <c r="G108" s="35" t="s">
        <v>117</v>
      </c>
      <c r="H108" s="35" t="s">
        <v>165</v>
      </c>
      <c r="I108" s="34" t="s">
        <v>694</v>
      </c>
      <c r="J108" s="34">
        <v>1</v>
      </c>
      <c r="K108" s="34" t="s">
        <v>320</v>
      </c>
      <c r="L108" s="34" t="s">
        <v>335</v>
      </c>
      <c r="M108" s="35" t="s">
        <v>648</v>
      </c>
      <c r="N108" s="35" t="s">
        <v>897</v>
      </c>
      <c r="O108" s="36"/>
      <c r="P108" s="36"/>
      <c r="Q108" s="35"/>
      <c r="S108" s="2">
        <f t="shared" si="35"/>
        <v>1</v>
      </c>
      <c r="T108" s="2">
        <f t="shared" si="36"/>
        <v>0</v>
      </c>
      <c r="U108" s="2">
        <f t="shared" si="37"/>
        <v>0</v>
      </c>
      <c r="V108" s="2">
        <f t="shared" si="38"/>
        <v>0</v>
      </c>
      <c r="W108" s="2">
        <f t="shared" si="39"/>
        <v>0</v>
      </c>
      <c r="X108" s="2">
        <f t="shared" si="40"/>
        <v>0</v>
      </c>
      <c r="Y108" s="2">
        <f t="shared" si="41"/>
        <v>0</v>
      </c>
      <c r="Z108" s="2">
        <f t="shared" si="42"/>
        <v>0</v>
      </c>
      <c r="AA108" s="2">
        <f t="shared" si="43"/>
        <v>0</v>
      </c>
      <c r="AB108" s="2">
        <f t="shared" si="44"/>
        <v>0</v>
      </c>
      <c r="AD108" s="2">
        <f t="shared" si="45"/>
        <v>0</v>
      </c>
      <c r="AE108" s="2">
        <f t="shared" si="46"/>
        <v>0</v>
      </c>
      <c r="AF108" s="2">
        <f t="shared" si="31"/>
        <v>0</v>
      </c>
      <c r="AG108" s="2">
        <f t="shared" si="32"/>
        <v>0</v>
      </c>
      <c r="AH108" s="2">
        <f t="shared" si="33"/>
        <v>0</v>
      </c>
      <c r="AI108" s="2">
        <f t="shared" si="34"/>
        <v>1</v>
      </c>
    </row>
    <row r="109" spans="1:35" ht="14.25" customHeight="1" x14ac:dyDescent="0.25">
      <c r="A109" s="31">
        <v>0</v>
      </c>
      <c r="B109" s="31">
        <v>1</v>
      </c>
      <c r="C109" s="31">
        <v>7</v>
      </c>
      <c r="D109" s="32" t="s">
        <v>548</v>
      </c>
      <c r="E109" s="32" t="s">
        <v>32</v>
      </c>
      <c r="F109" s="32" t="s">
        <v>549</v>
      </c>
      <c r="G109" s="32" t="s">
        <v>550</v>
      </c>
      <c r="H109" s="32" t="s">
        <v>165</v>
      </c>
      <c r="I109" s="31" t="s">
        <v>551</v>
      </c>
      <c r="J109" s="31">
        <v>99</v>
      </c>
      <c r="K109" s="31" t="s">
        <v>320</v>
      </c>
      <c r="L109" s="31">
        <v>30</v>
      </c>
      <c r="M109" s="32" t="s">
        <v>298</v>
      </c>
      <c r="N109" s="32" t="s">
        <v>915</v>
      </c>
      <c r="O109" s="33">
        <v>1</v>
      </c>
      <c r="P109" s="33"/>
      <c r="Q109" s="32"/>
      <c r="S109" s="2">
        <f t="shared" si="35"/>
        <v>0</v>
      </c>
      <c r="T109" s="2">
        <f t="shared" si="36"/>
        <v>0</v>
      </c>
      <c r="U109" s="2">
        <f t="shared" si="37"/>
        <v>0</v>
      </c>
      <c r="V109" s="2">
        <f t="shared" si="38"/>
        <v>0</v>
      </c>
      <c r="W109" s="2">
        <f t="shared" si="39"/>
        <v>0</v>
      </c>
      <c r="X109" s="2">
        <f t="shared" si="40"/>
        <v>0</v>
      </c>
      <c r="Y109" s="2">
        <f t="shared" si="41"/>
        <v>0</v>
      </c>
      <c r="Z109" s="2">
        <f t="shared" si="42"/>
        <v>0</v>
      </c>
      <c r="AA109" s="2">
        <f t="shared" si="43"/>
        <v>0</v>
      </c>
      <c r="AB109" s="2">
        <f t="shared" si="44"/>
        <v>0</v>
      </c>
      <c r="AD109" s="2">
        <f t="shared" si="45"/>
        <v>0</v>
      </c>
      <c r="AE109" s="2">
        <f t="shared" si="46"/>
        <v>1</v>
      </c>
      <c r="AF109" s="2">
        <f t="shared" si="31"/>
        <v>0</v>
      </c>
      <c r="AG109" s="2">
        <f t="shared" si="32"/>
        <v>1</v>
      </c>
      <c r="AH109" s="2">
        <f t="shared" si="33"/>
        <v>0</v>
      </c>
      <c r="AI109" s="2">
        <f t="shared" si="34"/>
        <v>1</v>
      </c>
    </row>
    <row r="110" spans="1:35" ht="14.25" customHeight="1" x14ac:dyDescent="0.25">
      <c r="A110" s="31">
        <v>1</v>
      </c>
      <c r="B110" s="31">
        <v>1</v>
      </c>
      <c r="C110" s="31">
        <v>7</v>
      </c>
      <c r="D110" s="32" t="s">
        <v>548</v>
      </c>
      <c r="E110" s="32" t="s">
        <v>32</v>
      </c>
      <c r="F110" s="32" t="s">
        <v>662</v>
      </c>
      <c r="G110" s="32" t="s">
        <v>40</v>
      </c>
      <c r="H110" s="32" t="s">
        <v>165</v>
      </c>
      <c r="I110" s="31" t="s">
        <v>695</v>
      </c>
      <c r="J110" s="31"/>
      <c r="K110" s="31" t="s">
        <v>320</v>
      </c>
      <c r="L110" s="31">
        <v>30</v>
      </c>
      <c r="M110" s="32" t="s">
        <v>298</v>
      </c>
      <c r="N110" s="32" t="s">
        <v>915</v>
      </c>
      <c r="O110" s="33">
        <v>1</v>
      </c>
      <c r="P110" s="33"/>
      <c r="Q110" s="32"/>
      <c r="S110" s="2">
        <f t="shared" si="35"/>
        <v>0</v>
      </c>
      <c r="T110" s="2">
        <f t="shared" si="36"/>
        <v>0</v>
      </c>
      <c r="U110" s="2">
        <f t="shared" si="37"/>
        <v>0</v>
      </c>
      <c r="V110" s="2">
        <f t="shared" si="38"/>
        <v>0</v>
      </c>
      <c r="W110" s="2">
        <f t="shared" si="39"/>
        <v>0</v>
      </c>
      <c r="X110" s="2">
        <f t="shared" si="40"/>
        <v>0</v>
      </c>
      <c r="Y110" s="2">
        <f t="shared" si="41"/>
        <v>0</v>
      </c>
      <c r="Z110" s="2">
        <f t="shared" si="42"/>
        <v>0</v>
      </c>
      <c r="AA110" s="2">
        <f t="shared" si="43"/>
        <v>0</v>
      </c>
      <c r="AB110" s="2">
        <f t="shared" si="44"/>
        <v>0</v>
      </c>
      <c r="AD110" s="2">
        <f t="shared" si="45"/>
        <v>0</v>
      </c>
      <c r="AE110" s="2">
        <f t="shared" si="46"/>
        <v>1</v>
      </c>
      <c r="AF110" s="2">
        <f t="shared" si="31"/>
        <v>0</v>
      </c>
      <c r="AG110" s="2">
        <f t="shared" si="32"/>
        <v>0</v>
      </c>
      <c r="AH110" s="2">
        <f t="shared" si="33"/>
        <v>0</v>
      </c>
      <c r="AI110" s="2">
        <f t="shared" si="34"/>
        <v>0</v>
      </c>
    </row>
    <row r="111" spans="1:35" ht="14.25" customHeight="1" x14ac:dyDescent="0.25">
      <c r="A111" s="31">
        <v>0</v>
      </c>
      <c r="B111" s="31">
        <v>2</v>
      </c>
      <c r="C111" s="31">
        <v>1</v>
      </c>
      <c r="D111" s="32" t="s">
        <v>670</v>
      </c>
      <c r="E111" s="32" t="s">
        <v>44</v>
      </c>
      <c r="F111" s="32" t="s">
        <v>619</v>
      </c>
      <c r="G111" s="32" t="s">
        <v>471</v>
      </c>
      <c r="H111" s="32" t="s">
        <v>165</v>
      </c>
      <c r="I111" s="31" t="s">
        <v>620</v>
      </c>
      <c r="J111" s="31">
        <v>99</v>
      </c>
      <c r="K111" s="31" t="s">
        <v>318</v>
      </c>
      <c r="L111" s="31" t="s">
        <v>318</v>
      </c>
      <c r="M111" s="32" t="s">
        <v>269</v>
      </c>
      <c r="N111" s="32" t="s">
        <v>895</v>
      </c>
      <c r="O111" s="33">
        <v>1</v>
      </c>
      <c r="P111" s="33">
        <v>1</v>
      </c>
      <c r="Q111" s="32"/>
      <c r="S111" s="2">
        <f t="shared" si="35"/>
        <v>0</v>
      </c>
      <c r="T111" s="2">
        <f t="shared" si="36"/>
        <v>0</v>
      </c>
      <c r="U111" s="2">
        <f t="shared" si="37"/>
        <v>0</v>
      </c>
      <c r="V111" s="2">
        <f t="shared" si="38"/>
        <v>0</v>
      </c>
      <c r="W111" s="2">
        <f t="shared" si="39"/>
        <v>0</v>
      </c>
      <c r="X111" s="2">
        <f t="shared" si="40"/>
        <v>0</v>
      </c>
      <c r="Y111" s="2">
        <f t="shared" si="41"/>
        <v>0</v>
      </c>
      <c r="Z111" s="2">
        <f t="shared" si="42"/>
        <v>0</v>
      </c>
      <c r="AA111" s="2">
        <f t="shared" si="43"/>
        <v>0</v>
      </c>
      <c r="AB111" s="2">
        <f t="shared" si="44"/>
        <v>0</v>
      </c>
      <c r="AD111" s="2">
        <f t="shared" si="45"/>
        <v>1</v>
      </c>
      <c r="AE111" s="2">
        <f t="shared" si="46"/>
        <v>0</v>
      </c>
      <c r="AF111" s="2">
        <f t="shared" si="31"/>
        <v>1</v>
      </c>
      <c r="AG111" s="2">
        <f t="shared" si="32"/>
        <v>0</v>
      </c>
      <c r="AH111" s="2">
        <f t="shared" si="33"/>
        <v>1</v>
      </c>
      <c r="AI111" s="2">
        <f t="shared" si="34"/>
        <v>0</v>
      </c>
    </row>
    <row r="112" spans="1:35" ht="14.25" customHeight="1" x14ac:dyDescent="0.25">
      <c r="A112" s="31">
        <v>1</v>
      </c>
      <c r="B112" s="31">
        <v>2</v>
      </c>
      <c r="C112" s="31">
        <v>1</v>
      </c>
      <c r="D112" s="32" t="s">
        <v>670</v>
      </c>
      <c r="E112" s="32" t="s">
        <v>44</v>
      </c>
      <c r="F112" s="32" t="s">
        <v>621</v>
      </c>
      <c r="G112" s="32" t="s">
        <v>91</v>
      </c>
      <c r="H112" s="32" t="s">
        <v>165</v>
      </c>
      <c r="I112" s="31" t="s">
        <v>620</v>
      </c>
      <c r="J112" s="31">
        <v>1</v>
      </c>
      <c r="K112" s="31" t="s">
        <v>318</v>
      </c>
      <c r="L112" s="31" t="s">
        <v>318</v>
      </c>
      <c r="M112" s="32" t="s">
        <v>269</v>
      </c>
      <c r="N112" s="32" t="s">
        <v>895</v>
      </c>
      <c r="O112" s="33">
        <v>1</v>
      </c>
      <c r="P112" s="33">
        <v>1</v>
      </c>
      <c r="Q112" s="32"/>
      <c r="S112" s="2">
        <f t="shared" si="35"/>
        <v>1</v>
      </c>
      <c r="T112" s="2">
        <f t="shared" si="36"/>
        <v>0</v>
      </c>
      <c r="U112" s="2">
        <f t="shared" si="37"/>
        <v>0</v>
      </c>
      <c r="V112" s="2">
        <f t="shared" si="38"/>
        <v>0</v>
      </c>
      <c r="W112" s="2">
        <f t="shared" si="39"/>
        <v>0</v>
      </c>
      <c r="X112" s="2">
        <f t="shared" si="40"/>
        <v>0</v>
      </c>
      <c r="Y112" s="2">
        <f t="shared" si="41"/>
        <v>0</v>
      </c>
      <c r="Z112" s="2">
        <f t="shared" si="42"/>
        <v>0</v>
      </c>
      <c r="AA112" s="2">
        <f t="shared" si="43"/>
        <v>0</v>
      </c>
      <c r="AB112" s="2">
        <f t="shared" si="44"/>
        <v>0</v>
      </c>
      <c r="AD112" s="2">
        <f t="shared" si="45"/>
        <v>1</v>
      </c>
      <c r="AE112" s="2">
        <f t="shared" si="46"/>
        <v>0</v>
      </c>
      <c r="AF112" s="2">
        <f t="shared" si="31"/>
        <v>0</v>
      </c>
      <c r="AG112" s="2">
        <f t="shared" si="32"/>
        <v>0</v>
      </c>
      <c r="AH112" s="2">
        <f t="shared" si="33"/>
        <v>0</v>
      </c>
      <c r="AI112" s="2">
        <f t="shared" si="34"/>
        <v>0</v>
      </c>
    </row>
    <row r="113" spans="1:35" ht="14.25" customHeight="1" x14ac:dyDescent="0.25">
      <c r="A113" s="20">
        <v>0</v>
      </c>
      <c r="B113" s="20">
        <v>2</v>
      </c>
      <c r="C113" s="20">
        <v>1</v>
      </c>
      <c r="D113" s="21" t="s">
        <v>795</v>
      </c>
      <c r="E113" s="21" t="s">
        <v>470</v>
      </c>
      <c r="F113" s="21" t="s">
        <v>796</v>
      </c>
      <c r="G113" s="21" t="s">
        <v>114</v>
      </c>
      <c r="H113" s="21" t="s">
        <v>165</v>
      </c>
      <c r="I113" s="20" t="s">
        <v>797</v>
      </c>
      <c r="J113" s="20">
        <v>99</v>
      </c>
      <c r="K113" s="20" t="s">
        <v>378</v>
      </c>
      <c r="L113" s="20">
        <v>6</v>
      </c>
      <c r="M113" s="21" t="s">
        <v>944</v>
      </c>
      <c r="N113" s="21"/>
      <c r="O113" s="7"/>
      <c r="P113" s="7"/>
      <c r="Q113" s="21"/>
      <c r="S113" s="2">
        <f t="shared" si="35"/>
        <v>0</v>
      </c>
      <c r="T113" s="2">
        <f t="shared" si="36"/>
        <v>0</v>
      </c>
      <c r="U113" s="2">
        <f t="shared" si="37"/>
        <v>0</v>
      </c>
      <c r="V113" s="2">
        <f t="shared" si="38"/>
        <v>0</v>
      </c>
      <c r="W113" s="2">
        <f t="shared" si="39"/>
        <v>0</v>
      </c>
      <c r="X113" s="2">
        <f t="shared" si="40"/>
        <v>0</v>
      </c>
      <c r="Y113" s="2">
        <f t="shared" si="41"/>
        <v>0</v>
      </c>
      <c r="Z113" s="2">
        <f t="shared" si="42"/>
        <v>0</v>
      </c>
      <c r="AA113" s="2">
        <f t="shared" si="43"/>
        <v>0</v>
      </c>
      <c r="AB113" s="2">
        <f t="shared" si="44"/>
        <v>0</v>
      </c>
      <c r="AD113" s="2">
        <f t="shared" si="45"/>
        <v>0</v>
      </c>
      <c r="AE113" s="2">
        <f t="shared" si="46"/>
        <v>0</v>
      </c>
      <c r="AF113" s="2">
        <f t="shared" si="31"/>
        <v>0</v>
      </c>
      <c r="AG113" s="2">
        <f t="shared" si="32"/>
        <v>0</v>
      </c>
      <c r="AH113" s="2">
        <f t="shared" si="33"/>
        <v>0</v>
      </c>
      <c r="AI113" s="2">
        <f t="shared" si="34"/>
        <v>1</v>
      </c>
    </row>
    <row r="114" spans="1:35" ht="14.25" customHeight="1" x14ac:dyDescent="0.25">
      <c r="A114" s="31">
        <v>0</v>
      </c>
      <c r="B114" s="31">
        <v>2</v>
      </c>
      <c r="C114" s="31">
        <v>1</v>
      </c>
      <c r="D114" s="32" t="s">
        <v>790</v>
      </c>
      <c r="E114" s="32" t="s">
        <v>470</v>
      </c>
      <c r="F114" s="32" t="s">
        <v>791</v>
      </c>
      <c r="G114" s="32" t="s">
        <v>103</v>
      </c>
      <c r="H114" s="32" t="s">
        <v>165</v>
      </c>
      <c r="I114" s="31" t="s">
        <v>792</v>
      </c>
      <c r="J114" s="31">
        <v>2</v>
      </c>
      <c r="K114" s="31" t="s">
        <v>321</v>
      </c>
      <c r="L114" s="31">
        <v>15</v>
      </c>
      <c r="M114" s="32" t="s">
        <v>864</v>
      </c>
      <c r="N114" s="32" t="s">
        <v>895</v>
      </c>
      <c r="O114" s="33">
        <v>1</v>
      </c>
      <c r="P114" s="33">
        <v>1</v>
      </c>
      <c r="Q114" s="32"/>
      <c r="S114" s="2">
        <f t="shared" si="35"/>
        <v>0</v>
      </c>
      <c r="T114" s="2">
        <f t="shared" si="36"/>
        <v>1</v>
      </c>
      <c r="U114" s="2">
        <f t="shared" si="37"/>
        <v>0</v>
      </c>
      <c r="V114" s="2">
        <f t="shared" si="38"/>
        <v>0</v>
      </c>
      <c r="W114" s="2">
        <f t="shared" si="39"/>
        <v>0</v>
      </c>
      <c r="X114" s="2">
        <f t="shared" si="40"/>
        <v>0</v>
      </c>
      <c r="Y114" s="2">
        <f t="shared" si="41"/>
        <v>0</v>
      </c>
      <c r="Z114" s="2">
        <f t="shared" si="42"/>
        <v>0</v>
      </c>
      <c r="AA114" s="2">
        <f t="shared" si="43"/>
        <v>0</v>
      </c>
      <c r="AB114" s="2">
        <f t="shared" si="44"/>
        <v>0</v>
      </c>
      <c r="AD114" s="2">
        <f t="shared" si="45"/>
        <v>1</v>
      </c>
      <c r="AE114" s="2">
        <f t="shared" si="46"/>
        <v>0</v>
      </c>
      <c r="AF114" s="2">
        <f t="shared" si="31"/>
        <v>1</v>
      </c>
      <c r="AG114" s="2">
        <f t="shared" si="32"/>
        <v>0</v>
      </c>
      <c r="AH114" s="2">
        <f t="shared" si="33"/>
        <v>1</v>
      </c>
      <c r="AI114" s="2">
        <f t="shared" si="34"/>
        <v>0</v>
      </c>
    </row>
    <row r="115" spans="1:35" ht="14.25" customHeight="1" x14ac:dyDescent="0.25">
      <c r="A115" s="31">
        <v>0</v>
      </c>
      <c r="B115" s="31">
        <v>2</v>
      </c>
      <c r="C115" s="31">
        <v>1</v>
      </c>
      <c r="D115" s="32" t="s">
        <v>531</v>
      </c>
      <c r="E115" s="32" t="s">
        <v>470</v>
      </c>
      <c r="F115" s="32" t="s">
        <v>536</v>
      </c>
      <c r="G115" s="32" t="s">
        <v>471</v>
      </c>
      <c r="H115" s="32" t="s">
        <v>165</v>
      </c>
      <c r="I115" s="31" t="s">
        <v>538</v>
      </c>
      <c r="J115" s="31">
        <v>99</v>
      </c>
      <c r="K115" s="31" t="s">
        <v>318</v>
      </c>
      <c r="L115" s="31">
        <v>13</v>
      </c>
      <c r="M115" s="32" t="s">
        <v>864</v>
      </c>
      <c r="N115" s="32" t="s">
        <v>895</v>
      </c>
      <c r="O115" s="33">
        <v>1</v>
      </c>
      <c r="P115" s="33">
        <v>1</v>
      </c>
      <c r="Q115" s="32"/>
      <c r="S115" s="2">
        <f t="shared" si="35"/>
        <v>0</v>
      </c>
      <c r="T115" s="2">
        <f t="shared" si="36"/>
        <v>0</v>
      </c>
      <c r="U115" s="2">
        <f t="shared" si="37"/>
        <v>0</v>
      </c>
      <c r="V115" s="2">
        <f t="shared" si="38"/>
        <v>0</v>
      </c>
      <c r="W115" s="2">
        <f t="shared" si="39"/>
        <v>0</v>
      </c>
      <c r="X115" s="2">
        <f t="shared" si="40"/>
        <v>0</v>
      </c>
      <c r="Y115" s="2">
        <f t="shared" si="41"/>
        <v>0</v>
      </c>
      <c r="Z115" s="2">
        <f t="shared" si="42"/>
        <v>0</v>
      </c>
      <c r="AA115" s="2">
        <f t="shared" si="43"/>
        <v>0</v>
      </c>
      <c r="AB115" s="2">
        <f t="shared" si="44"/>
        <v>0</v>
      </c>
      <c r="AD115" s="2">
        <f t="shared" si="45"/>
        <v>1</v>
      </c>
      <c r="AE115" s="2">
        <f t="shared" si="46"/>
        <v>0</v>
      </c>
      <c r="AF115" s="2">
        <f t="shared" si="31"/>
        <v>1</v>
      </c>
      <c r="AG115" s="2">
        <f t="shared" si="32"/>
        <v>0</v>
      </c>
      <c r="AH115" s="2">
        <f t="shared" si="33"/>
        <v>1</v>
      </c>
      <c r="AI115" s="2">
        <f t="shared" si="34"/>
        <v>0</v>
      </c>
    </row>
    <row r="116" spans="1:35" ht="14.25" customHeight="1" x14ac:dyDescent="0.25">
      <c r="A116" s="31">
        <v>1</v>
      </c>
      <c r="B116" s="31">
        <v>2</v>
      </c>
      <c r="C116" s="31">
        <v>1</v>
      </c>
      <c r="D116" s="32" t="s">
        <v>531</v>
      </c>
      <c r="E116" s="32" t="s">
        <v>470</v>
      </c>
      <c r="F116" s="32" t="s">
        <v>532</v>
      </c>
      <c r="G116" s="32" t="s">
        <v>92</v>
      </c>
      <c r="H116" s="32" t="s">
        <v>165</v>
      </c>
      <c r="I116" s="31" t="s">
        <v>533</v>
      </c>
      <c r="J116" s="31">
        <v>2</v>
      </c>
      <c r="K116" s="31" t="s">
        <v>318</v>
      </c>
      <c r="L116" s="31">
        <v>13</v>
      </c>
      <c r="M116" s="32" t="s">
        <v>865</v>
      </c>
      <c r="N116" s="32" t="s">
        <v>895</v>
      </c>
      <c r="O116" s="33">
        <v>1</v>
      </c>
      <c r="P116" s="33">
        <v>1</v>
      </c>
      <c r="Q116" s="32"/>
      <c r="S116" s="2">
        <f t="shared" si="35"/>
        <v>0</v>
      </c>
      <c r="T116" s="2">
        <f t="shared" si="36"/>
        <v>1</v>
      </c>
      <c r="U116" s="2">
        <f t="shared" si="37"/>
        <v>0</v>
      </c>
      <c r="V116" s="2">
        <f t="shared" si="38"/>
        <v>0</v>
      </c>
      <c r="W116" s="2">
        <f t="shared" si="39"/>
        <v>0</v>
      </c>
      <c r="X116" s="2">
        <f t="shared" si="40"/>
        <v>0</v>
      </c>
      <c r="Y116" s="2">
        <f t="shared" si="41"/>
        <v>0</v>
      </c>
      <c r="Z116" s="2">
        <f t="shared" si="42"/>
        <v>0</v>
      </c>
      <c r="AA116" s="2">
        <f t="shared" si="43"/>
        <v>0</v>
      </c>
      <c r="AB116" s="2">
        <f t="shared" si="44"/>
        <v>0</v>
      </c>
      <c r="AD116" s="2">
        <f t="shared" si="45"/>
        <v>1</v>
      </c>
      <c r="AE116" s="2">
        <f t="shared" si="46"/>
        <v>0</v>
      </c>
      <c r="AF116" s="2">
        <f t="shared" si="31"/>
        <v>0</v>
      </c>
      <c r="AG116" s="2">
        <f t="shared" si="32"/>
        <v>0</v>
      </c>
      <c r="AH116" s="2">
        <f t="shared" si="33"/>
        <v>0</v>
      </c>
      <c r="AI116" s="2">
        <f t="shared" si="34"/>
        <v>0</v>
      </c>
    </row>
    <row r="117" spans="1:35" ht="14.25" customHeight="1" x14ac:dyDescent="0.25">
      <c r="A117" s="31">
        <v>1</v>
      </c>
      <c r="B117" s="31">
        <v>2</v>
      </c>
      <c r="C117" s="31">
        <v>1</v>
      </c>
      <c r="D117" s="32" t="s">
        <v>531</v>
      </c>
      <c r="E117" s="32" t="s">
        <v>470</v>
      </c>
      <c r="F117" s="32" t="s">
        <v>537</v>
      </c>
      <c r="G117" s="32" t="s">
        <v>405</v>
      </c>
      <c r="H117" s="32" t="s">
        <v>165</v>
      </c>
      <c r="I117" s="31" t="s">
        <v>539</v>
      </c>
      <c r="J117" s="31">
        <v>99</v>
      </c>
      <c r="K117" s="31" t="s">
        <v>318</v>
      </c>
      <c r="L117" s="31">
        <v>13</v>
      </c>
      <c r="M117" s="32" t="s">
        <v>866</v>
      </c>
      <c r="N117" s="32" t="s">
        <v>895</v>
      </c>
      <c r="O117" s="33">
        <v>1</v>
      </c>
      <c r="P117" s="33">
        <v>1</v>
      </c>
      <c r="Q117" s="32"/>
      <c r="S117" s="2">
        <f t="shared" si="35"/>
        <v>0</v>
      </c>
      <c r="T117" s="2">
        <f t="shared" si="36"/>
        <v>0</v>
      </c>
      <c r="U117" s="2">
        <f t="shared" si="37"/>
        <v>0</v>
      </c>
      <c r="V117" s="2">
        <f t="shared" si="38"/>
        <v>0</v>
      </c>
      <c r="W117" s="2">
        <f t="shared" si="39"/>
        <v>0</v>
      </c>
      <c r="X117" s="2">
        <f t="shared" si="40"/>
        <v>0</v>
      </c>
      <c r="Y117" s="2">
        <f t="shared" si="41"/>
        <v>0</v>
      </c>
      <c r="Z117" s="2">
        <f t="shared" si="42"/>
        <v>0</v>
      </c>
      <c r="AA117" s="2">
        <f t="shared" si="43"/>
        <v>0</v>
      </c>
      <c r="AB117" s="2">
        <f t="shared" si="44"/>
        <v>0</v>
      </c>
      <c r="AD117" s="2">
        <f t="shared" si="45"/>
        <v>1</v>
      </c>
      <c r="AE117" s="2">
        <f t="shared" si="46"/>
        <v>0</v>
      </c>
      <c r="AF117" s="2">
        <f t="shared" si="31"/>
        <v>0</v>
      </c>
      <c r="AG117" s="2">
        <f t="shared" si="32"/>
        <v>0</v>
      </c>
      <c r="AH117" s="2">
        <f t="shared" si="33"/>
        <v>0</v>
      </c>
      <c r="AI117" s="2">
        <f t="shared" si="34"/>
        <v>0</v>
      </c>
    </row>
    <row r="118" spans="1:35" ht="14.25" customHeight="1" x14ac:dyDescent="0.25">
      <c r="A118" s="31">
        <v>1</v>
      </c>
      <c r="B118" s="31">
        <v>2</v>
      </c>
      <c r="C118" s="31">
        <v>1</v>
      </c>
      <c r="D118" s="32" t="s">
        <v>531</v>
      </c>
      <c r="E118" s="32" t="s">
        <v>470</v>
      </c>
      <c r="F118" s="32" t="s">
        <v>778</v>
      </c>
      <c r="G118" s="32" t="s">
        <v>779</v>
      </c>
      <c r="H118" s="32" t="s">
        <v>165</v>
      </c>
      <c r="I118" s="31" t="s">
        <v>33</v>
      </c>
      <c r="J118" s="31">
        <v>99</v>
      </c>
      <c r="K118" s="31" t="s">
        <v>318</v>
      </c>
      <c r="L118" s="31">
        <v>13</v>
      </c>
      <c r="M118" s="32" t="s">
        <v>867</v>
      </c>
      <c r="N118" s="32" t="s">
        <v>895</v>
      </c>
      <c r="O118" s="33">
        <v>1</v>
      </c>
      <c r="P118" s="33">
        <v>1</v>
      </c>
      <c r="Q118" s="32"/>
      <c r="S118" s="2">
        <f t="shared" si="35"/>
        <v>0</v>
      </c>
      <c r="T118" s="2">
        <f t="shared" si="36"/>
        <v>0</v>
      </c>
      <c r="U118" s="2">
        <f t="shared" si="37"/>
        <v>0</v>
      </c>
      <c r="V118" s="2">
        <f t="shared" si="38"/>
        <v>0</v>
      </c>
      <c r="W118" s="2">
        <f t="shared" si="39"/>
        <v>0</v>
      </c>
      <c r="X118" s="2">
        <f t="shared" si="40"/>
        <v>0</v>
      </c>
      <c r="Y118" s="2">
        <f t="shared" si="41"/>
        <v>0</v>
      </c>
      <c r="Z118" s="2">
        <f t="shared" si="42"/>
        <v>0</v>
      </c>
      <c r="AA118" s="2">
        <f t="shared" si="43"/>
        <v>0</v>
      </c>
      <c r="AB118" s="2">
        <f t="shared" si="44"/>
        <v>0</v>
      </c>
      <c r="AD118" s="2">
        <f t="shared" si="45"/>
        <v>1</v>
      </c>
      <c r="AE118" s="2">
        <f t="shared" si="46"/>
        <v>0</v>
      </c>
      <c r="AF118" s="2">
        <f t="shared" si="31"/>
        <v>0</v>
      </c>
      <c r="AG118" s="2">
        <f t="shared" si="32"/>
        <v>0</v>
      </c>
      <c r="AH118" s="2">
        <f t="shared" si="33"/>
        <v>0</v>
      </c>
      <c r="AI118" s="2">
        <f t="shared" si="34"/>
        <v>0</v>
      </c>
    </row>
    <row r="119" spans="1:35" ht="14.25" customHeight="1" x14ac:dyDescent="0.25">
      <c r="A119" s="31">
        <v>1</v>
      </c>
      <c r="B119" s="31">
        <v>2</v>
      </c>
      <c r="C119" s="31">
        <v>1</v>
      </c>
      <c r="D119" s="32" t="s">
        <v>531</v>
      </c>
      <c r="E119" s="32" t="s">
        <v>470</v>
      </c>
      <c r="F119" s="32" t="s">
        <v>780</v>
      </c>
      <c r="G119" s="32" t="s">
        <v>820</v>
      </c>
      <c r="H119" s="32" t="s">
        <v>165</v>
      </c>
      <c r="I119" s="31" t="s">
        <v>538</v>
      </c>
      <c r="J119" s="31">
        <v>3</v>
      </c>
      <c r="K119" s="31" t="s">
        <v>318</v>
      </c>
      <c r="L119" s="31">
        <v>13</v>
      </c>
      <c r="M119" s="32" t="s">
        <v>868</v>
      </c>
      <c r="N119" s="32" t="s">
        <v>895</v>
      </c>
      <c r="O119" s="33">
        <v>1</v>
      </c>
      <c r="P119" s="33">
        <v>1</v>
      </c>
      <c r="Q119" s="32"/>
      <c r="S119" s="2">
        <f t="shared" si="35"/>
        <v>0</v>
      </c>
      <c r="T119" s="2">
        <f t="shared" si="36"/>
        <v>0</v>
      </c>
      <c r="U119" s="2">
        <f t="shared" si="37"/>
        <v>1</v>
      </c>
      <c r="V119" s="2">
        <f t="shared" si="38"/>
        <v>0</v>
      </c>
      <c r="W119" s="2">
        <f t="shared" si="39"/>
        <v>0</v>
      </c>
      <c r="X119" s="2">
        <f t="shared" si="40"/>
        <v>0</v>
      </c>
      <c r="Y119" s="2">
        <f t="shared" si="41"/>
        <v>0</v>
      </c>
      <c r="Z119" s="2">
        <f t="shared" si="42"/>
        <v>0</v>
      </c>
      <c r="AA119" s="2">
        <f t="shared" si="43"/>
        <v>0</v>
      </c>
      <c r="AB119" s="2">
        <f t="shared" si="44"/>
        <v>0</v>
      </c>
      <c r="AD119" s="2">
        <f t="shared" si="45"/>
        <v>1</v>
      </c>
      <c r="AE119" s="2">
        <f t="shared" si="46"/>
        <v>0</v>
      </c>
      <c r="AF119" s="2">
        <f t="shared" si="31"/>
        <v>0</v>
      </c>
      <c r="AG119" s="2">
        <f t="shared" si="32"/>
        <v>0</v>
      </c>
      <c r="AH119" s="2">
        <f t="shared" si="33"/>
        <v>0</v>
      </c>
      <c r="AI119" s="2">
        <f t="shared" si="34"/>
        <v>0</v>
      </c>
    </row>
    <row r="120" spans="1:35" ht="14.25" customHeight="1" x14ac:dyDescent="0.25">
      <c r="A120" s="31">
        <v>0</v>
      </c>
      <c r="B120" s="31">
        <v>2</v>
      </c>
      <c r="C120" s="31">
        <v>1</v>
      </c>
      <c r="D120" s="32" t="s">
        <v>663</v>
      </c>
      <c r="E120" s="32" t="s">
        <v>35</v>
      </c>
      <c r="F120" s="32" t="s">
        <v>635</v>
      </c>
      <c r="G120" s="32" t="s">
        <v>688</v>
      </c>
      <c r="H120" s="32" t="s">
        <v>165</v>
      </c>
      <c r="I120" s="31" t="s">
        <v>636</v>
      </c>
      <c r="J120" s="31">
        <v>99</v>
      </c>
      <c r="K120" s="31" t="s">
        <v>318</v>
      </c>
      <c r="L120" s="31" t="s">
        <v>318</v>
      </c>
      <c r="M120" s="32" t="s">
        <v>269</v>
      </c>
      <c r="N120" s="32" t="s">
        <v>901</v>
      </c>
      <c r="O120" s="33">
        <v>1</v>
      </c>
      <c r="P120" s="33"/>
      <c r="Q120" s="32"/>
      <c r="S120" s="2">
        <f t="shared" si="35"/>
        <v>0</v>
      </c>
      <c r="T120" s="2">
        <f t="shared" si="36"/>
        <v>0</v>
      </c>
      <c r="U120" s="2">
        <f t="shared" si="37"/>
        <v>0</v>
      </c>
      <c r="V120" s="2">
        <f t="shared" si="38"/>
        <v>0</v>
      </c>
      <c r="W120" s="2">
        <f t="shared" si="39"/>
        <v>0</v>
      </c>
      <c r="X120" s="2">
        <f t="shared" si="40"/>
        <v>0</v>
      </c>
      <c r="Y120" s="2">
        <f t="shared" si="41"/>
        <v>0</v>
      </c>
      <c r="Z120" s="2">
        <f t="shared" si="42"/>
        <v>0</v>
      </c>
      <c r="AA120" s="2">
        <f t="shared" si="43"/>
        <v>0</v>
      </c>
      <c r="AB120" s="2">
        <f t="shared" si="44"/>
        <v>0</v>
      </c>
      <c r="AD120" s="2">
        <f t="shared" si="45"/>
        <v>0</v>
      </c>
      <c r="AE120" s="2">
        <f t="shared" si="46"/>
        <v>1</v>
      </c>
      <c r="AF120" s="2">
        <f t="shared" si="31"/>
        <v>0</v>
      </c>
      <c r="AG120" s="2">
        <f t="shared" si="32"/>
        <v>1</v>
      </c>
      <c r="AH120" s="2">
        <f t="shared" si="33"/>
        <v>0</v>
      </c>
      <c r="AI120" s="2">
        <f t="shared" si="34"/>
        <v>1</v>
      </c>
    </row>
    <row r="121" spans="1:35" ht="14.25" customHeight="1" x14ac:dyDescent="0.25">
      <c r="A121" s="31">
        <v>0</v>
      </c>
      <c r="B121" s="31">
        <v>2</v>
      </c>
      <c r="C121" s="31">
        <v>1</v>
      </c>
      <c r="D121" s="32" t="s">
        <v>938</v>
      </c>
      <c r="E121" s="32" t="s">
        <v>470</v>
      </c>
      <c r="F121" s="32" t="s">
        <v>939</v>
      </c>
      <c r="G121" s="32" t="s">
        <v>38</v>
      </c>
      <c r="H121" s="32" t="s">
        <v>165</v>
      </c>
      <c r="I121" s="31" t="s">
        <v>940</v>
      </c>
      <c r="J121" s="31">
        <v>1</v>
      </c>
      <c r="K121" s="31" t="s">
        <v>378</v>
      </c>
      <c r="L121" s="31"/>
      <c r="M121" s="32"/>
      <c r="N121" s="32" t="s">
        <v>895</v>
      </c>
      <c r="O121" s="33">
        <v>1</v>
      </c>
      <c r="P121" s="33">
        <v>1</v>
      </c>
      <c r="Q121" s="32"/>
      <c r="S121" s="2">
        <f t="shared" si="35"/>
        <v>1</v>
      </c>
      <c r="T121" s="2">
        <f t="shared" si="36"/>
        <v>0</v>
      </c>
      <c r="U121" s="2">
        <f t="shared" si="37"/>
        <v>0</v>
      </c>
      <c r="V121" s="2">
        <f t="shared" si="38"/>
        <v>0</v>
      </c>
      <c r="W121" s="2">
        <f t="shared" si="39"/>
        <v>0</v>
      </c>
      <c r="X121" s="2">
        <f t="shared" si="40"/>
        <v>0</v>
      </c>
      <c r="Y121" s="2">
        <f t="shared" si="41"/>
        <v>0</v>
      </c>
      <c r="Z121" s="2">
        <f t="shared" si="42"/>
        <v>0</v>
      </c>
      <c r="AA121" s="2">
        <f t="shared" si="43"/>
        <v>0</v>
      </c>
      <c r="AB121" s="2">
        <f t="shared" si="44"/>
        <v>0</v>
      </c>
      <c r="AD121" s="2">
        <f t="shared" si="45"/>
        <v>1</v>
      </c>
      <c r="AE121" s="2">
        <f t="shared" si="46"/>
        <v>0</v>
      </c>
      <c r="AF121" s="2">
        <f t="shared" si="31"/>
        <v>1</v>
      </c>
      <c r="AG121" s="2">
        <f t="shared" si="32"/>
        <v>0</v>
      </c>
      <c r="AH121" s="2">
        <f t="shared" si="33"/>
        <v>1</v>
      </c>
      <c r="AI121" s="2">
        <f t="shared" si="34"/>
        <v>0</v>
      </c>
    </row>
    <row r="122" spans="1:35" ht="14.25" customHeight="1" x14ac:dyDescent="0.25">
      <c r="A122" s="31">
        <v>0</v>
      </c>
      <c r="B122" s="31">
        <v>2</v>
      </c>
      <c r="C122" s="31">
        <v>1</v>
      </c>
      <c r="D122" s="32" t="s">
        <v>761</v>
      </c>
      <c r="E122" s="32" t="s">
        <v>470</v>
      </c>
      <c r="F122" s="32" t="s">
        <v>762</v>
      </c>
      <c r="G122" s="32" t="s">
        <v>821</v>
      </c>
      <c r="H122" s="32" t="s">
        <v>165</v>
      </c>
      <c r="I122" s="31" t="s">
        <v>763</v>
      </c>
      <c r="J122" s="31">
        <v>99</v>
      </c>
      <c r="K122" s="31" t="s">
        <v>320</v>
      </c>
      <c r="L122" s="31"/>
      <c r="M122" s="32" t="s">
        <v>708</v>
      </c>
      <c r="N122" s="32" t="s">
        <v>895</v>
      </c>
      <c r="O122" s="33">
        <v>1</v>
      </c>
      <c r="P122" s="33">
        <v>1</v>
      </c>
      <c r="Q122" s="32"/>
      <c r="S122" s="2">
        <f t="shared" si="35"/>
        <v>0</v>
      </c>
      <c r="T122" s="2">
        <f t="shared" si="36"/>
        <v>0</v>
      </c>
      <c r="U122" s="2">
        <f t="shared" si="37"/>
        <v>0</v>
      </c>
      <c r="V122" s="2">
        <f t="shared" si="38"/>
        <v>0</v>
      </c>
      <c r="W122" s="2">
        <f t="shared" si="39"/>
        <v>0</v>
      </c>
      <c r="X122" s="2">
        <f t="shared" si="40"/>
        <v>0</v>
      </c>
      <c r="Y122" s="2">
        <f t="shared" si="41"/>
        <v>0</v>
      </c>
      <c r="Z122" s="2">
        <f t="shared" si="42"/>
        <v>0</v>
      </c>
      <c r="AA122" s="2">
        <f t="shared" si="43"/>
        <v>0</v>
      </c>
      <c r="AB122" s="2">
        <f t="shared" si="44"/>
        <v>0</v>
      </c>
      <c r="AD122" s="2">
        <f t="shared" si="45"/>
        <v>1</v>
      </c>
      <c r="AE122" s="2">
        <f t="shared" si="46"/>
        <v>0</v>
      </c>
      <c r="AF122" s="2">
        <f t="shared" si="31"/>
        <v>1</v>
      </c>
      <c r="AG122" s="2">
        <f t="shared" si="32"/>
        <v>0</v>
      </c>
      <c r="AH122" s="2">
        <f t="shared" si="33"/>
        <v>1</v>
      </c>
      <c r="AI122" s="2">
        <f t="shared" si="34"/>
        <v>0</v>
      </c>
    </row>
    <row r="123" spans="1:35" ht="14.25" customHeight="1" x14ac:dyDescent="0.25">
      <c r="A123" s="31">
        <v>0</v>
      </c>
      <c r="B123" s="31">
        <v>2</v>
      </c>
      <c r="C123" s="31">
        <v>1</v>
      </c>
      <c r="D123" s="32" t="s">
        <v>680</v>
      </c>
      <c r="E123" s="32" t="s">
        <v>211</v>
      </c>
      <c r="F123" s="32" t="s">
        <v>223</v>
      </c>
      <c r="G123" s="32" t="s">
        <v>96</v>
      </c>
      <c r="H123" s="32" t="s">
        <v>165</v>
      </c>
      <c r="I123" s="31" t="s">
        <v>486</v>
      </c>
      <c r="J123" s="31">
        <v>3</v>
      </c>
      <c r="K123" s="31" t="s">
        <v>319</v>
      </c>
      <c r="L123" s="31" t="s">
        <v>318</v>
      </c>
      <c r="M123" s="32" t="s">
        <v>269</v>
      </c>
      <c r="N123" s="32" t="s">
        <v>895</v>
      </c>
      <c r="O123" s="33">
        <v>1</v>
      </c>
      <c r="P123" s="33">
        <v>1</v>
      </c>
      <c r="Q123" s="32"/>
      <c r="S123" s="2">
        <f t="shared" si="35"/>
        <v>0</v>
      </c>
      <c r="T123" s="2">
        <f t="shared" si="36"/>
        <v>0</v>
      </c>
      <c r="U123" s="2">
        <f t="shared" si="37"/>
        <v>1</v>
      </c>
      <c r="V123" s="2">
        <f t="shared" si="38"/>
        <v>0</v>
      </c>
      <c r="W123" s="2">
        <f t="shared" si="39"/>
        <v>0</v>
      </c>
      <c r="X123" s="2">
        <f t="shared" si="40"/>
        <v>0</v>
      </c>
      <c r="Y123" s="2">
        <f t="shared" si="41"/>
        <v>0</v>
      </c>
      <c r="Z123" s="2">
        <f t="shared" si="42"/>
        <v>0</v>
      </c>
      <c r="AA123" s="2">
        <f t="shared" si="43"/>
        <v>0</v>
      </c>
      <c r="AB123" s="2">
        <f t="shared" si="44"/>
        <v>0</v>
      </c>
      <c r="AD123" s="2">
        <f t="shared" si="45"/>
        <v>1</v>
      </c>
      <c r="AE123" s="2">
        <f t="shared" si="46"/>
        <v>0</v>
      </c>
      <c r="AF123" s="2">
        <f t="shared" si="31"/>
        <v>1</v>
      </c>
      <c r="AG123" s="2">
        <f t="shared" si="32"/>
        <v>0</v>
      </c>
      <c r="AH123" s="2">
        <f t="shared" si="33"/>
        <v>1</v>
      </c>
      <c r="AI123" s="2">
        <f t="shared" si="34"/>
        <v>0</v>
      </c>
    </row>
    <row r="124" spans="1:35" ht="14.25" customHeight="1" x14ac:dyDescent="0.25">
      <c r="A124" s="31">
        <v>1</v>
      </c>
      <c r="B124" s="31">
        <v>2</v>
      </c>
      <c r="C124" s="31">
        <v>1</v>
      </c>
      <c r="D124" s="32" t="s">
        <v>680</v>
      </c>
      <c r="E124" s="32" t="s">
        <v>211</v>
      </c>
      <c r="F124" s="32" t="s">
        <v>651</v>
      </c>
      <c r="G124" s="32" t="s">
        <v>92</v>
      </c>
      <c r="H124" s="32" t="s">
        <v>165</v>
      </c>
      <c r="I124" s="31" t="s">
        <v>652</v>
      </c>
      <c r="J124" s="31">
        <v>2</v>
      </c>
      <c r="K124" s="31" t="s">
        <v>319</v>
      </c>
      <c r="L124" s="31" t="s">
        <v>318</v>
      </c>
      <c r="M124" s="32" t="s">
        <v>269</v>
      </c>
      <c r="N124" s="32" t="s">
        <v>895</v>
      </c>
      <c r="O124" s="33">
        <v>1</v>
      </c>
      <c r="P124" s="33">
        <v>1</v>
      </c>
      <c r="Q124" s="32"/>
      <c r="S124" s="2">
        <f t="shared" si="35"/>
        <v>0</v>
      </c>
      <c r="T124" s="2">
        <f t="shared" si="36"/>
        <v>1</v>
      </c>
      <c r="U124" s="2">
        <f t="shared" si="37"/>
        <v>0</v>
      </c>
      <c r="V124" s="2">
        <f t="shared" si="38"/>
        <v>0</v>
      </c>
      <c r="W124" s="2">
        <f t="shared" si="39"/>
        <v>0</v>
      </c>
      <c r="X124" s="2">
        <f t="shared" si="40"/>
        <v>0</v>
      </c>
      <c r="Y124" s="2">
        <f t="shared" si="41"/>
        <v>0</v>
      </c>
      <c r="Z124" s="2">
        <f t="shared" si="42"/>
        <v>0</v>
      </c>
      <c r="AA124" s="2">
        <f t="shared" si="43"/>
        <v>0</v>
      </c>
      <c r="AB124" s="2">
        <f t="shared" si="44"/>
        <v>0</v>
      </c>
      <c r="AD124" s="2">
        <f t="shared" si="45"/>
        <v>1</v>
      </c>
      <c r="AE124" s="2">
        <f t="shared" si="46"/>
        <v>0</v>
      </c>
      <c r="AF124" s="2">
        <f t="shared" si="31"/>
        <v>0</v>
      </c>
      <c r="AG124" s="2">
        <f t="shared" si="32"/>
        <v>0</v>
      </c>
      <c r="AH124" s="2">
        <f t="shared" si="33"/>
        <v>0</v>
      </c>
      <c r="AI124" s="2">
        <f t="shared" si="34"/>
        <v>0</v>
      </c>
    </row>
    <row r="125" spans="1:35" ht="14.25" customHeight="1" x14ac:dyDescent="0.25">
      <c r="A125" s="31">
        <v>1</v>
      </c>
      <c r="B125" s="31">
        <v>2</v>
      </c>
      <c r="C125" s="31">
        <v>1</v>
      </c>
      <c r="D125" s="32" t="s">
        <v>680</v>
      </c>
      <c r="E125" s="32" t="s">
        <v>211</v>
      </c>
      <c r="F125" s="32" t="s">
        <v>650</v>
      </c>
      <c r="G125" s="32" t="s">
        <v>40</v>
      </c>
      <c r="H125" s="32" t="s">
        <v>165</v>
      </c>
      <c r="I125" s="31" t="s">
        <v>653</v>
      </c>
      <c r="J125" s="31">
        <v>4</v>
      </c>
      <c r="K125" s="31" t="s">
        <v>319</v>
      </c>
      <c r="L125" s="31" t="s">
        <v>318</v>
      </c>
      <c r="M125" s="32" t="s">
        <v>269</v>
      </c>
      <c r="N125" s="32" t="s">
        <v>895</v>
      </c>
      <c r="O125" s="33">
        <v>1</v>
      </c>
      <c r="P125" s="33">
        <v>1</v>
      </c>
      <c r="Q125" s="32"/>
      <c r="S125" s="2">
        <f t="shared" si="35"/>
        <v>0</v>
      </c>
      <c r="T125" s="2">
        <f t="shared" si="36"/>
        <v>0</v>
      </c>
      <c r="U125" s="2">
        <f t="shared" si="37"/>
        <v>0</v>
      </c>
      <c r="V125" s="2">
        <f t="shared" si="38"/>
        <v>1</v>
      </c>
      <c r="W125" s="2">
        <f t="shared" si="39"/>
        <v>0</v>
      </c>
      <c r="X125" s="2">
        <f t="shared" si="40"/>
        <v>0</v>
      </c>
      <c r="Y125" s="2">
        <f t="shared" si="41"/>
        <v>0</v>
      </c>
      <c r="Z125" s="2">
        <f t="shared" si="42"/>
        <v>0</v>
      </c>
      <c r="AA125" s="2">
        <f t="shared" si="43"/>
        <v>0</v>
      </c>
      <c r="AB125" s="2">
        <f t="shared" si="44"/>
        <v>0</v>
      </c>
      <c r="AD125" s="2">
        <f t="shared" si="45"/>
        <v>1</v>
      </c>
      <c r="AE125" s="2">
        <f t="shared" si="46"/>
        <v>0</v>
      </c>
      <c r="AF125" s="2">
        <f t="shared" si="31"/>
        <v>0</v>
      </c>
      <c r="AG125" s="2">
        <f t="shared" si="32"/>
        <v>0</v>
      </c>
      <c r="AH125" s="2">
        <f t="shared" si="33"/>
        <v>0</v>
      </c>
      <c r="AI125" s="2">
        <f t="shared" si="34"/>
        <v>0</v>
      </c>
    </row>
    <row r="126" spans="1:35" ht="14.25" customHeight="1" x14ac:dyDescent="0.25">
      <c r="A126" s="34">
        <v>0</v>
      </c>
      <c r="B126" s="34">
        <v>2</v>
      </c>
      <c r="C126" s="34">
        <v>1</v>
      </c>
      <c r="D126" s="35" t="s">
        <v>461</v>
      </c>
      <c r="E126" s="35" t="s">
        <v>468</v>
      </c>
      <c r="F126" s="35" t="s">
        <v>474</v>
      </c>
      <c r="G126" s="35" t="s">
        <v>475</v>
      </c>
      <c r="H126" s="35" t="s">
        <v>165</v>
      </c>
      <c r="I126" s="34" t="s">
        <v>409</v>
      </c>
      <c r="J126" s="34">
        <v>99</v>
      </c>
      <c r="K126" s="34" t="s">
        <v>320</v>
      </c>
      <c r="L126" s="34" t="s">
        <v>318</v>
      </c>
      <c r="M126" s="35" t="s">
        <v>269</v>
      </c>
      <c r="N126" s="35" t="s">
        <v>931</v>
      </c>
      <c r="O126" s="36"/>
      <c r="P126" s="36"/>
      <c r="Q126" s="35"/>
      <c r="S126" s="2">
        <f t="shared" si="35"/>
        <v>0</v>
      </c>
      <c r="T126" s="2">
        <f t="shared" si="36"/>
        <v>0</v>
      </c>
      <c r="U126" s="2">
        <f t="shared" si="37"/>
        <v>0</v>
      </c>
      <c r="V126" s="2">
        <f t="shared" si="38"/>
        <v>0</v>
      </c>
      <c r="W126" s="2">
        <f t="shared" si="39"/>
        <v>0</v>
      </c>
      <c r="X126" s="2">
        <f t="shared" si="40"/>
        <v>0</v>
      </c>
      <c r="Y126" s="2">
        <f t="shared" si="41"/>
        <v>0</v>
      </c>
      <c r="Z126" s="2">
        <f t="shared" si="42"/>
        <v>0</v>
      </c>
      <c r="AA126" s="2">
        <f t="shared" si="43"/>
        <v>0</v>
      </c>
      <c r="AB126" s="2">
        <f t="shared" si="44"/>
        <v>0</v>
      </c>
      <c r="AD126" s="2">
        <f t="shared" si="45"/>
        <v>0</v>
      </c>
      <c r="AE126" s="2">
        <f t="shared" si="46"/>
        <v>0</v>
      </c>
      <c r="AF126" s="2">
        <f t="shared" si="31"/>
        <v>0</v>
      </c>
      <c r="AG126" s="2">
        <f t="shared" si="32"/>
        <v>0</v>
      </c>
      <c r="AH126" s="2">
        <f t="shared" si="33"/>
        <v>0</v>
      </c>
      <c r="AI126" s="2">
        <f t="shared" si="34"/>
        <v>1</v>
      </c>
    </row>
    <row r="127" spans="1:35" ht="14.25" customHeight="1" x14ac:dyDescent="0.25">
      <c r="A127" s="20">
        <v>0</v>
      </c>
      <c r="B127" s="20">
        <v>2</v>
      </c>
      <c r="C127" s="20">
        <v>1</v>
      </c>
      <c r="D127" s="21" t="s">
        <v>50</v>
      </c>
      <c r="E127" s="21" t="s">
        <v>44</v>
      </c>
      <c r="F127" s="21" t="s">
        <v>253</v>
      </c>
      <c r="G127" s="21" t="s">
        <v>102</v>
      </c>
      <c r="H127" s="21" t="s">
        <v>165</v>
      </c>
      <c r="I127" s="20" t="s">
        <v>170</v>
      </c>
      <c r="J127" s="20">
        <v>4</v>
      </c>
      <c r="K127" s="20" t="s">
        <v>378</v>
      </c>
      <c r="L127" s="20" t="s">
        <v>318</v>
      </c>
      <c r="M127" s="21" t="s">
        <v>269</v>
      </c>
      <c r="N127" s="21"/>
      <c r="O127" s="7"/>
      <c r="P127" s="7"/>
      <c r="Q127" s="21"/>
      <c r="S127" s="2">
        <f t="shared" si="35"/>
        <v>0</v>
      </c>
      <c r="T127" s="2">
        <f t="shared" si="36"/>
        <v>0</v>
      </c>
      <c r="U127" s="2">
        <f t="shared" si="37"/>
        <v>0</v>
      </c>
      <c r="V127" s="2">
        <f t="shared" si="38"/>
        <v>1</v>
      </c>
      <c r="W127" s="2">
        <f t="shared" si="39"/>
        <v>0</v>
      </c>
      <c r="X127" s="2">
        <f t="shared" si="40"/>
        <v>0</v>
      </c>
      <c r="Y127" s="2">
        <f t="shared" si="41"/>
        <v>0</v>
      </c>
      <c r="Z127" s="2">
        <f t="shared" si="42"/>
        <v>0</v>
      </c>
      <c r="AA127" s="2">
        <f t="shared" si="43"/>
        <v>0</v>
      </c>
      <c r="AB127" s="2">
        <f t="shared" si="44"/>
        <v>0</v>
      </c>
      <c r="AD127" s="2">
        <f t="shared" si="45"/>
        <v>0</v>
      </c>
      <c r="AE127" s="2">
        <f t="shared" si="46"/>
        <v>0</v>
      </c>
      <c r="AF127" s="2">
        <f t="shared" si="31"/>
        <v>0</v>
      </c>
      <c r="AG127" s="2">
        <f t="shared" si="32"/>
        <v>0</v>
      </c>
      <c r="AH127" s="2">
        <f t="shared" si="33"/>
        <v>0</v>
      </c>
      <c r="AI127" s="2">
        <f t="shared" si="34"/>
        <v>1</v>
      </c>
    </row>
    <row r="128" spans="1:35" ht="14.25" customHeight="1" x14ac:dyDescent="0.25">
      <c r="A128" s="31">
        <v>0</v>
      </c>
      <c r="B128" s="31">
        <v>2</v>
      </c>
      <c r="C128" s="31">
        <v>1</v>
      </c>
      <c r="D128" s="32" t="s">
        <v>941</v>
      </c>
      <c r="E128" s="32" t="s">
        <v>942</v>
      </c>
      <c r="F128" s="32" t="s">
        <v>943</v>
      </c>
      <c r="G128" s="32"/>
      <c r="H128" s="32" t="s">
        <v>165</v>
      </c>
      <c r="I128" s="31" t="s">
        <v>33</v>
      </c>
      <c r="J128" s="31"/>
      <c r="K128" s="31" t="s">
        <v>378</v>
      </c>
      <c r="L128" s="31"/>
      <c r="M128" s="32"/>
      <c r="N128" s="32" t="s">
        <v>895</v>
      </c>
      <c r="O128" s="33">
        <v>1</v>
      </c>
      <c r="P128" s="33">
        <v>1</v>
      </c>
      <c r="Q128" s="32"/>
      <c r="S128" s="2">
        <f t="shared" si="35"/>
        <v>0</v>
      </c>
      <c r="T128" s="2">
        <f t="shared" si="36"/>
        <v>0</v>
      </c>
      <c r="U128" s="2">
        <f t="shared" si="37"/>
        <v>0</v>
      </c>
      <c r="V128" s="2">
        <f t="shared" si="38"/>
        <v>0</v>
      </c>
      <c r="W128" s="2">
        <f t="shared" si="39"/>
        <v>0</v>
      </c>
      <c r="X128" s="2">
        <f t="shared" si="40"/>
        <v>0</v>
      </c>
      <c r="Y128" s="2">
        <f t="shared" si="41"/>
        <v>0</v>
      </c>
      <c r="Z128" s="2">
        <f t="shared" si="42"/>
        <v>0</v>
      </c>
      <c r="AA128" s="2">
        <f t="shared" si="43"/>
        <v>0</v>
      </c>
      <c r="AB128" s="2">
        <f t="shared" si="44"/>
        <v>0</v>
      </c>
      <c r="AD128" s="2">
        <f t="shared" si="45"/>
        <v>1</v>
      </c>
      <c r="AE128" s="2">
        <f t="shared" si="46"/>
        <v>0</v>
      </c>
      <c r="AF128" s="2">
        <f t="shared" si="31"/>
        <v>1</v>
      </c>
      <c r="AG128" s="2">
        <f t="shared" si="32"/>
        <v>0</v>
      </c>
      <c r="AH128" s="2">
        <f t="shared" si="33"/>
        <v>1</v>
      </c>
      <c r="AI128" s="2">
        <f t="shared" si="34"/>
        <v>0</v>
      </c>
    </row>
    <row r="129" spans="1:35" ht="14.25" customHeight="1" x14ac:dyDescent="0.25">
      <c r="A129" s="31">
        <v>0</v>
      </c>
      <c r="B129" s="31">
        <v>2</v>
      </c>
      <c r="C129" s="31">
        <v>1</v>
      </c>
      <c r="D129" s="32" t="s">
        <v>916</v>
      </c>
      <c r="E129" s="32" t="s">
        <v>35</v>
      </c>
      <c r="F129" s="32" t="s">
        <v>917</v>
      </c>
      <c r="G129" s="32"/>
      <c r="H129" s="32" t="s">
        <v>165</v>
      </c>
      <c r="I129" s="31" t="s">
        <v>918</v>
      </c>
      <c r="J129" s="31">
        <v>99</v>
      </c>
      <c r="K129" s="31" t="s">
        <v>378</v>
      </c>
      <c r="L129" s="31"/>
      <c r="M129" s="32"/>
      <c r="N129" s="32" t="s">
        <v>895</v>
      </c>
      <c r="O129" s="33">
        <v>1</v>
      </c>
      <c r="P129" s="33">
        <v>1</v>
      </c>
      <c r="Q129" s="32"/>
      <c r="S129" s="2">
        <f t="shared" si="35"/>
        <v>0</v>
      </c>
      <c r="T129" s="2">
        <f t="shared" si="36"/>
        <v>0</v>
      </c>
      <c r="U129" s="2">
        <f t="shared" si="37"/>
        <v>0</v>
      </c>
      <c r="V129" s="2">
        <f t="shared" si="38"/>
        <v>0</v>
      </c>
      <c r="W129" s="2">
        <f t="shared" si="39"/>
        <v>0</v>
      </c>
      <c r="X129" s="2">
        <f t="shared" si="40"/>
        <v>0</v>
      </c>
      <c r="Y129" s="2">
        <f t="shared" si="41"/>
        <v>0</v>
      </c>
      <c r="Z129" s="2">
        <f t="shared" si="42"/>
        <v>0</v>
      </c>
      <c r="AA129" s="2">
        <f t="shared" si="43"/>
        <v>0</v>
      </c>
      <c r="AB129" s="2">
        <f t="shared" si="44"/>
        <v>0</v>
      </c>
      <c r="AD129" s="2">
        <f t="shared" si="45"/>
        <v>1</v>
      </c>
      <c r="AE129" s="2">
        <f t="shared" si="46"/>
        <v>0</v>
      </c>
      <c r="AF129" s="2">
        <f t="shared" si="31"/>
        <v>1</v>
      </c>
      <c r="AG129" s="2">
        <f t="shared" si="32"/>
        <v>0</v>
      </c>
      <c r="AH129" s="2">
        <f t="shared" si="33"/>
        <v>1</v>
      </c>
      <c r="AI129" s="2">
        <f t="shared" si="34"/>
        <v>0</v>
      </c>
    </row>
    <row r="130" spans="1:35" ht="14.25" customHeight="1" x14ac:dyDescent="0.25">
      <c r="A130" s="28">
        <v>0</v>
      </c>
      <c r="B130" s="28">
        <v>2</v>
      </c>
      <c r="C130" s="28">
        <v>1</v>
      </c>
      <c r="D130" s="29" t="s">
        <v>552</v>
      </c>
      <c r="E130" s="29" t="s">
        <v>211</v>
      </c>
      <c r="F130" s="29" t="s">
        <v>553</v>
      </c>
      <c r="G130" s="29" t="s">
        <v>554</v>
      </c>
      <c r="H130" s="29" t="s">
        <v>165</v>
      </c>
      <c r="I130" s="28" t="s">
        <v>33</v>
      </c>
      <c r="J130" s="28">
        <v>99</v>
      </c>
      <c r="K130" s="28" t="s">
        <v>321</v>
      </c>
      <c r="L130" s="28">
        <v>8</v>
      </c>
      <c r="M130" s="29" t="s">
        <v>864</v>
      </c>
      <c r="N130" s="29"/>
      <c r="O130" s="30"/>
      <c r="P130" s="30">
        <v>1</v>
      </c>
      <c r="Q130" s="29"/>
      <c r="S130" s="2">
        <f t="shared" si="35"/>
        <v>0</v>
      </c>
      <c r="T130" s="2">
        <f t="shared" si="36"/>
        <v>0</v>
      </c>
      <c r="U130" s="2">
        <f t="shared" si="37"/>
        <v>0</v>
      </c>
      <c r="V130" s="2">
        <f t="shared" si="38"/>
        <v>0</v>
      </c>
      <c r="W130" s="2">
        <f t="shared" si="39"/>
        <v>0</v>
      </c>
      <c r="X130" s="2">
        <f t="shared" si="40"/>
        <v>0</v>
      </c>
      <c r="Y130" s="2">
        <f t="shared" si="41"/>
        <v>0</v>
      </c>
      <c r="Z130" s="2">
        <f t="shared" si="42"/>
        <v>0</v>
      </c>
      <c r="AA130" s="2">
        <f t="shared" si="43"/>
        <v>0</v>
      </c>
      <c r="AB130" s="2">
        <f t="shared" si="44"/>
        <v>0</v>
      </c>
      <c r="AD130" s="2">
        <f t="shared" si="45"/>
        <v>0</v>
      </c>
      <c r="AE130" s="2">
        <f t="shared" si="46"/>
        <v>0</v>
      </c>
      <c r="AF130" s="2">
        <f t="shared" si="31"/>
        <v>0</v>
      </c>
      <c r="AG130" s="2">
        <f t="shared" si="32"/>
        <v>0</v>
      </c>
      <c r="AH130" s="2">
        <f t="shared" si="33"/>
        <v>1</v>
      </c>
      <c r="AI130" s="2">
        <f t="shared" si="34"/>
        <v>0</v>
      </c>
    </row>
    <row r="131" spans="1:35" ht="14.25" customHeight="1" x14ac:dyDescent="0.25">
      <c r="A131" s="28">
        <v>0</v>
      </c>
      <c r="B131" s="28">
        <v>2</v>
      </c>
      <c r="C131" s="28">
        <v>1</v>
      </c>
      <c r="D131" s="29" t="s">
        <v>225</v>
      </c>
      <c r="E131" s="29" t="s">
        <v>44</v>
      </c>
      <c r="F131" s="29" t="s">
        <v>825</v>
      </c>
      <c r="G131" s="29" t="s">
        <v>130</v>
      </c>
      <c r="H131" s="29" t="s">
        <v>165</v>
      </c>
      <c r="I131" s="28" t="s">
        <v>226</v>
      </c>
      <c r="J131" s="28">
        <v>10</v>
      </c>
      <c r="K131" s="28" t="s">
        <v>321</v>
      </c>
      <c r="L131" s="28">
        <v>5</v>
      </c>
      <c r="M131" s="29" t="s">
        <v>269</v>
      </c>
      <c r="N131" s="29"/>
      <c r="O131" s="30"/>
      <c r="P131" s="30">
        <v>1</v>
      </c>
      <c r="Q131" s="29"/>
      <c r="S131" s="2">
        <f t="shared" si="35"/>
        <v>0</v>
      </c>
      <c r="T131" s="2">
        <f t="shared" si="36"/>
        <v>0</v>
      </c>
      <c r="U131" s="2">
        <f t="shared" si="37"/>
        <v>0</v>
      </c>
      <c r="V131" s="2">
        <f t="shared" si="38"/>
        <v>0</v>
      </c>
      <c r="W131" s="2">
        <f t="shared" si="39"/>
        <v>0</v>
      </c>
      <c r="X131" s="2">
        <f t="shared" si="40"/>
        <v>0</v>
      </c>
      <c r="Y131" s="2">
        <f t="shared" si="41"/>
        <v>0</v>
      </c>
      <c r="Z131" s="2">
        <f t="shared" si="42"/>
        <v>0</v>
      </c>
      <c r="AA131" s="2">
        <f t="shared" si="43"/>
        <v>0</v>
      </c>
      <c r="AB131" s="2">
        <f t="shared" si="44"/>
        <v>1</v>
      </c>
      <c r="AD131" s="2">
        <f t="shared" si="45"/>
        <v>0</v>
      </c>
      <c r="AE131" s="2">
        <f t="shared" si="46"/>
        <v>0</v>
      </c>
      <c r="AF131" s="2">
        <f t="shared" si="31"/>
        <v>0</v>
      </c>
      <c r="AG131" s="2">
        <f t="shared" si="32"/>
        <v>0</v>
      </c>
      <c r="AH131" s="2">
        <f t="shared" si="33"/>
        <v>1</v>
      </c>
      <c r="AI131" s="2">
        <f t="shared" si="34"/>
        <v>0</v>
      </c>
    </row>
    <row r="132" spans="1:35" ht="14.25" customHeight="1" x14ac:dyDescent="0.25">
      <c r="A132" s="31">
        <v>0</v>
      </c>
      <c r="B132" s="31">
        <v>2</v>
      </c>
      <c r="C132" s="31">
        <v>1</v>
      </c>
      <c r="D132" s="32" t="s">
        <v>352</v>
      </c>
      <c r="E132" s="32" t="s">
        <v>470</v>
      </c>
      <c r="F132" s="32" t="s">
        <v>353</v>
      </c>
      <c r="G132" s="32" t="s">
        <v>243</v>
      </c>
      <c r="H132" s="32" t="s">
        <v>165</v>
      </c>
      <c r="I132" s="31" t="s">
        <v>488</v>
      </c>
      <c r="J132" s="31">
        <v>9</v>
      </c>
      <c r="K132" s="31" t="s">
        <v>320</v>
      </c>
      <c r="L132" s="31">
        <v>11</v>
      </c>
      <c r="M132" s="32" t="s">
        <v>869</v>
      </c>
      <c r="N132" s="32" t="s">
        <v>901</v>
      </c>
      <c r="O132" s="33">
        <v>1</v>
      </c>
      <c r="P132" s="33"/>
      <c r="Q132" s="32"/>
      <c r="S132" s="2">
        <f t="shared" si="35"/>
        <v>0</v>
      </c>
      <c r="T132" s="2">
        <f t="shared" si="36"/>
        <v>0</v>
      </c>
      <c r="U132" s="2">
        <f t="shared" si="37"/>
        <v>0</v>
      </c>
      <c r="V132" s="2">
        <f t="shared" si="38"/>
        <v>0</v>
      </c>
      <c r="W132" s="2">
        <f t="shared" si="39"/>
        <v>0</v>
      </c>
      <c r="X132" s="2">
        <f t="shared" si="40"/>
        <v>0</v>
      </c>
      <c r="Y132" s="2">
        <f t="shared" si="41"/>
        <v>0</v>
      </c>
      <c r="Z132" s="2">
        <f t="shared" si="42"/>
        <v>0</v>
      </c>
      <c r="AA132" s="2">
        <f t="shared" si="43"/>
        <v>1</v>
      </c>
      <c r="AB132" s="2">
        <f t="shared" si="44"/>
        <v>0</v>
      </c>
      <c r="AD132" s="2">
        <f t="shared" si="45"/>
        <v>0</v>
      </c>
      <c r="AE132" s="2">
        <f t="shared" si="46"/>
        <v>1</v>
      </c>
      <c r="AF132" s="2">
        <f t="shared" si="31"/>
        <v>0</v>
      </c>
      <c r="AG132" s="2">
        <f t="shared" si="32"/>
        <v>1</v>
      </c>
      <c r="AH132" s="2">
        <f t="shared" si="33"/>
        <v>0</v>
      </c>
      <c r="AI132" s="2">
        <f t="shared" si="34"/>
        <v>1</v>
      </c>
    </row>
    <row r="133" spans="1:35" ht="14.25" customHeight="1" x14ac:dyDescent="0.25">
      <c r="A133" s="31">
        <v>1</v>
      </c>
      <c r="B133" s="31">
        <v>2</v>
      </c>
      <c r="C133" s="31">
        <v>1</v>
      </c>
      <c r="D133" s="32" t="s">
        <v>352</v>
      </c>
      <c r="E133" s="32" t="s">
        <v>470</v>
      </c>
      <c r="F133" s="32" t="s">
        <v>581</v>
      </c>
      <c r="G133" s="32" t="s">
        <v>555</v>
      </c>
      <c r="H133" s="32" t="s">
        <v>165</v>
      </c>
      <c r="I133" s="31" t="s">
        <v>556</v>
      </c>
      <c r="J133" s="31">
        <v>99</v>
      </c>
      <c r="K133" s="31" t="s">
        <v>320</v>
      </c>
      <c r="L133" s="31">
        <v>11</v>
      </c>
      <c r="M133" s="32" t="s">
        <v>870</v>
      </c>
      <c r="N133" s="32" t="s">
        <v>901</v>
      </c>
      <c r="O133" s="33">
        <v>1</v>
      </c>
      <c r="P133" s="33"/>
      <c r="Q133" s="32"/>
      <c r="S133" s="2">
        <f t="shared" si="35"/>
        <v>0</v>
      </c>
      <c r="T133" s="2">
        <f t="shared" si="36"/>
        <v>0</v>
      </c>
      <c r="U133" s="2">
        <f t="shared" si="37"/>
        <v>0</v>
      </c>
      <c r="V133" s="2">
        <f t="shared" si="38"/>
        <v>0</v>
      </c>
      <c r="W133" s="2">
        <f t="shared" si="39"/>
        <v>0</v>
      </c>
      <c r="X133" s="2">
        <f t="shared" si="40"/>
        <v>0</v>
      </c>
      <c r="Y133" s="2">
        <f t="shared" si="41"/>
        <v>0</v>
      </c>
      <c r="Z133" s="2">
        <f t="shared" si="42"/>
        <v>0</v>
      </c>
      <c r="AA133" s="2">
        <f t="shared" si="43"/>
        <v>0</v>
      </c>
      <c r="AB133" s="2">
        <f t="shared" si="44"/>
        <v>0</v>
      </c>
      <c r="AD133" s="2">
        <f t="shared" si="45"/>
        <v>0</v>
      </c>
      <c r="AE133" s="2">
        <f t="shared" si="46"/>
        <v>1</v>
      </c>
      <c r="AF133" s="2">
        <f t="shared" si="31"/>
        <v>0</v>
      </c>
      <c r="AG133" s="2">
        <f t="shared" si="32"/>
        <v>0</v>
      </c>
      <c r="AH133" s="2">
        <f t="shared" si="33"/>
        <v>0</v>
      </c>
      <c r="AI133" s="2">
        <f t="shared" si="34"/>
        <v>0</v>
      </c>
    </row>
    <row r="134" spans="1:35" ht="14.25" customHeight="1" x14ac:dyDescent="0.25">
      <c r="A134" s="31">
        <v>0</v>
      </c>
      <c r="B134" s="31">
        <v>2</v>
      </c>
      <c r="C134" s="31">
        <v>1</v>
      </c>
      <c r="D134" s="32" t="s">
        <v>247</v>
      </c>
      <c r="E134" s="32" t="s">
        <v>35</v>
      </c>
      <c r="F134" s="32" t="s">
        <v>209</v>
      </c>
      <c r="G134" s="32" t="s">
        <v>93</v>
      </c>
      <c r="H134" s="32" t="s">
        <v>165</v>
      </c>
      <c r="I134" s="31" t="s">
        <v>210</v>
      </c>
      <c r="J134" s="31">
        <v>8</v>
      </c>
      <c r="K134" s="31" t="s">
        <v>319</v>
      </c>
      <c r="L134" s="31" t="s">
        <v>318</v>
      </c>
      <c r="M134" s="32" t="s">
        <v>269</v>
      </c>
      <c r="N134" s="32" t="s">
        <v>895</v>
      </c>
      <c r="O134" s="33">
        <v>1</v>
      </c>
      <c r="P134" s="33">
        <v>1</v>
      </c>
      <c r="Q134" s="32"/>
      <c r="S134" s="2">
        <f t="shared" si="35"/>
        <v>0</v>
      </c>
      <c r="T134" s="2">
        <f t="shared" si="36"/>
        <v>0</v>
      </c>
      <c r="U134" s="2">
        <f t="shared" si="37"/>
        <v>0</v>
      </c>
      <c r="V134" s="2">
        <f t="shared" si="38"/>
        <v>0</v>
      </c>
      <c r="W134" s="2">
        <f t="shared" si="39"/>
        <v>0</v>
      </c>
      <c r="X134" s="2">
        <f t="shared" si="40"/>
        <v>0</v>
      </c>
      <c r="Y134" s="2">
        <f t="shared" si="41"/>
        <v>0</v>
      </c>
      <c r="Z134" s="2">
        <f t="shared" si="42"/>
        <v>1</v>
      </c>
      <c r="AA134" s="2">
        <f t="shared" si="43"/>
        <v>0</v>
      </c>
      <c r="AB134" s="2">
        <f t="shared" si="44"/>
        <v>0</v>
      </c>
      <c r="AD134" s="2">
        <f t="shared" si="45"/>
        <v>1</v>
      </c>
      <c r="AE134" s="2">
        <f t="shared" si="46"/>
        <v>0</v>
      </c>
      <c r="AF134" s="2">
        <f t="shared" si="31"/>
        <v>1</v>
      </c>
      <c r="AG134" s="2">
        <f t="shared" si="32"/>
        <v>0</v>
      </c>
      <c r="AH134" s="2">
        <f t="shared" si="33"/>
        <v>1</v>
      </c>
      <c r="AI134" s="2">
        <f t="shared" si="34"/>
        <v>0</v>
      </c>
    </row>
    <row r="135" spans="1:35" ht="14.25" customHeight="1" x14ac:dyDescent="0.25">
      <c r="A135" s="31">
        <v>0</v>
      </c>
      <c r="B135" s="31">
        <v>2</v>
      </c>
      <c r="C135" s="31">
        <v>1</v>
      </c>
      <c r="D135" s="32" t="s">
        <v>361</v>
      </c>
      <c r="E135" s="32" t="s">
        <v>470</v>
      </c>
      <c r="F135" s="32" t="s">
        <v>583</v>
      </c>
      <c r="G135" s="32" t="s">
        <v>91</v>
      </c>
      <c r="H135" s="32" t="s">
        <v>165</v>
      </c>
      <c r="I135" s="31" t="s">
        <v>357</v>
      </c>
      <c r="J135" s="31">
        <v>1</v>
      </c>
      <c r="K135" s="31" t="s">
        <v>321</v>
      </c>
      <c r="L135" s="31" t="s">
        <v>325</v>
      </c>
      <c r="M135" s="32" t="s">
        <v>497</v>
      </c>
      <c r="N135" s="32" t="s">
        <v>895</v>
      </c>
      <c r="O135" s="33">
        <v>1</v>
      </c>
      <c r="P135" s="33">
        <v>1</v>
      </c>
      <c r="Q135" s="32"/>
      <c r="S135" s="2">
        <f t="shared" si="35"/>
        <v>1</v>
      </c>
      <c r="T135" s="2">
        <f t="shared" si="36"/>
        <v>0</v>
      </c>
      <c r="U135" s="2">
        <f t="shared" si="37"/>
        <v>0</v>
      </c>
      <c r="V135" s="2">
        <f t="shared" si="38"/>
        <v>0</v>
      </c>
      <c r="W135" s="2">
        <f t="shared" si="39"/>
        <v>0</v>
      </c>
      <c r="X135" s="2">
        <f t="shared" si="40"/>
        <v>0</v>
      </c>
      <c r="Y135" s="2">
        <f t="shared" si="41"/>
        <v>0</v>
      </c>
      <c r="Z135" s="2">
        <f t="shared" si="42"/>
        <v>0</v>
      </c>
      <c r="AA135" s="2">
        <f t="shared" si="43"/>
        <v>0</v>
      </c>
      <c r="AB135" s="2">
        <f t="shared" si="44"/>
        <v>0</v>
      </c>
      <c r="AD135" s="2">
        <f t="shared" si="45"/>
        <v>1</v>
      </c>
      <c r="AE135" s="2">
        <f t="shared" si="46"/>
        <v>0</v>
      </c>
      <c r="AF135" s="2">
        <f t="shared" si="31"/>
        <v>1</v>
      </c>
      <c r="AG135" s="2">
        <f t="shared" si="32"/>
        <v>0</v>
      </c>
      <c r="AH135" s="2">
        <f t="shared" si="33"/>
        <v>1</v>
      </c>
      <c r="AI135" s="2">
        <f t="shared" si="34"/>
        <v>0</v>
      </c>
    </row>
    <row r="136" spans="1:35" ht="14.25" customHeight="1" x14ac:dyDescent="0.25">
      <c r="A136" s="31">
        <v>0</v>
      </c>
      <c r="B136" s="31">
        <v>2</v>
      </c>
      <c r="C136" s="31">
        <v>1</v>
      </c>
      <c r="D136" s="32" t="s">
        <v>55</v>
      </c>
      <c r="E136" s="32" t="s">
        <v>470</v>
      </c>
      <c r="F136" s="32" t="s">
        <v>110</v>
      </c>
      <c r="G136" s="32" t="s">
        <v>99</v>
      </c>
      <c r="H136" s="32" t="s">
        <v>165</v>
      </c>
      <c r="I136" s="31" t="s">
        <v>174</v>
      </c>
      <c r="J136" s="31">
        <v>3</v>
      </c>
      <c r="K136" s="31" t="s">
        <v>320</v>
      </c>
      <c r="L136" s="31" t="s">
        <v>325</v>
      </c>
      <c r="M136" s="32" t="s">
        <v>497</v>
      </c>
      <c r="N136" s="32" t="s">
        <v>895</v>
      </c>
      <c r="O136" s="33">
        <v>1</v>
      </c>
      <c r="P136" s="33">
        <v>1</v>
      </c>
      <c r="Q136" s="32"/>
      <c r="S136" s="2">
        <f t="shared" si="35"/>
        <v>0</v>
      </c>
      <c r="T136" s="2">
        <f t="shared" si="36"/>
        <v>0</v>
      </c>
      <c r="U136" s="2">
        <f t="shared" si="37"/>
        <v>1</v>
      </c>
      <c r="V136" s="2">
        <f t="shared" si="38"/>
        <v>0</v>
      </c>
      <c r="W136" s="2">
        <f t="shared" si="39"/>
        <v>0</v>
      </c>
      <c r="X136" s="2">
        <f t="shared" si="40"/>
        <v>0</v>
      </c>
      <c r="Y136" s="2">
        <f t="shared" si="41"/>
        <v>0</v>
      </c>
      <c r="Z136" s="2">
        <f t="shared" si="42"/>
        <v>0</v>
      </c>
      <c r="AA136" s="2">
        <f t="shared" si="43"/>
        <v>0</v>
      </c>
      <c r="AB136" s="2">
        <f t="shared" si="44"/>
        <v>0</v>
      </c>
      <c r="AD136" s="2">
        <f t="shared" si="45"/>
        <v>1</v>
      </c>
      <c r="AE136" s="2">
        <f t="shared" si="46"/>
        <v>0</v>
      </c>
      <c r="AF136" s="2">
        <f t="shared" ref="AF136:AF199" si="47">+O136*P136*(1-A136)</f>
        <v>1</v>
      </c>
      <c r="AG136" s="2">
        <f t="shared" ref="AG136:AG199" si="48">O136*(1-P136)*(1-A136)</f>
        <v>0</v>
      </c>
      <c r="AH136" s="2">
        <f t="shared" ref="AH136:AH199" si="49">+P136*(1-A136)</f>
        <v>1</v>
      </c>
      <c r="AI136" s="2">
        <f t="shared" ref="AI136:AI199" si="50">+(1-A136)*(1-P136)</f>
        <v>0</v>
      </c>
    </row>
    <row r="137" spans="1:35" ht="14.25" customHeight="1" x14ac:dyDescent="0.25">
      <c r="A137" s="31">
        <v>0</v>
      </c>
      <c r="B137" s="31">
        <v>2</v>
      </c>
      <c r="C137" s="31">
        <v>1</v>
      </c>
      <c r="D137" s="32" t="s">
        <v>47</v>
      </c>
      <c r="E137" s="32" t="s">
        <v>82</v>
      </c>
      <c r="F137" s="32" t="s">
        <v>829</v>
      </c>
      <c r="G137" s="32" t="s">
        <v>93</v>
      </c>
      <c r="H137" s="32" t="s">
        <v>165</v>
      </c>
      <c r="I137" s="31" t="s">
        <v>167</v>
      </c>
      <c r="J137" s="31">
        <v>8</v>
      </c>
      <c r="K137" s="31" t="s">
        <v>320</v>
      </c>
      <c r="L137" s="31" t="s">
        <v>318</v>
      </c>
      <c r="M137" s="32" t="s">
        <v>269</v>
      </c>
      <c r="N137" s="32" t="s">
        <v>915</v>
      </c>
      <c r="O137" s="33">
        <v>1</v>
      </c>
      <c r="P137" s="33"/>
      <c r="Q137" s="32"/>
      <c r="S137" s="2">
        <f t="shared" si="35"/>
        <v>0</v>
      </c>
      <c r="T137" s="2">
        <f t="shared" si="36"/>
        <v>0</v>
      </c>
      <c r="U137" s="2">
        <f t="shared" si="37"/>
        <v>0</v>
      </c>
      <c r="V137" s="2">
        <f t="shared" si="38"/>
        <v>0</v>
      </c>
      <c r="W137" s="2">
        <f t="shared" si="39"/>
        <v>0</v>
      </c>
      <c r="X137" s="2">
        <f t="shared" si="40"/>
        <v>0</v>
      </c>
      <c r="Y137" s="2">
        <f t="shared" si="41"/>
        <v>0</v>
      </c>
      <c r="Z137" s="2">
        <f t="shared" si="42"/>
        <v>1</v>
      </c>
      <c r="AA137" s="2">
        <f t="shared" si="43"/>
        <v>0</v>
      </c>
      <c r="AB137" s="2">
        <f t="shared" si="44"/>
        <v>0</v>
      </c>
      <c r="AD137" s="2">
        <f t="shared" si="45"/>
        <v>0</v>
      </c>
      <c r="AE137" s="2">
        <f t="shared" si="46"/>
        <v>1</v>
      </c>
      <c r="AF137" s="2">
        <f t="shared" si="47"/>
        <v>0</v>
      </c>
      <c r="AG137" s="2">
        <f t="shared" si="48"/>
        <v>1</v>
      </c>
      <c r="AH137" s="2">
        <f t="shared" si="49"/>
        <v>0</v>
      </c>
      <c r="AI137" s="2">
        <f t="shared" si="50"/>
        <v>1</v>
      </c>
    </row>
    <row r="138" spans="1:35" ht="14.25" customHeight="1" x14ac:dyDescent="0.25">
      <c r="A138" s="31">
        <v>1</v>
      </c>
      <c r="B138" s="31">
        <v>2</v>
      </c>
      <c r="C138" s="31">
        <v>1</v>
      </c>
      <c r="D138" s="32" t="s">
        <v>47</v>
      </c>
      <c r="E138" s="32" t="s">
        <v>82</v>
      </c>
      <c r="F138" s="32" t="s">
        <v>98</v>
      </c>
      <c r="G138" s="32" t="s">
        <v>99</v>
      </c>
      <c r="H138" s="32" t="s">
        <v>165</v>
      </c>
      <c r="I138" s="31" t="s">
        <v>492</v>
      </c>
      <c r="J138" s="31">
        <v>3</v>
      </c>
      <c r="K138" s="31" t="s">
        <v>320</v>
      </c>
      <c r="L138" s="31" t="s">
        <v>318</v>
      </c>
      <c r="M138" s="32" t="s">
        <v>269</v>
      </c>
      <c r="N138" s="32" t="s">
        <v>915</v>
      </c>
      <c r="O138" s="33">
        <v>1</v>
      </c>
      <c r="P138" s="33"/>
      <c r="Q138" s="32"/>
      <c r="S138" s="2">
        <f t="shared" si="35"/>
        <v>0</v>
      </c>
      <c r="T138" s="2">
        <f t="shared" si="36"/>
        <v>0</v>
      </c>
      <c r="U138" s="2">
        <f t="shared" si="37"/>
        <v>1</v>
      </c>
      <c r="V138" s="2">
        <f t="shared" si="38"/>
        <v>0</v>
      </c>
      <c r="W138" s="2">
        <f t="shared" si="39"/>
        <v>0</v>
      </c>
      <c r="X138" s="2">
        <f t="shared" si="40"/>
        <v>0</v>
      </c>
      <c r="Y138" s="2">
        <f t="shared" si="41"/>
        <v>0</v>
      </c>
      <c r="Z138" s="2">
        <f t="shared" si="42"/>
        <v>0</v>
      </c>
      <c r="AA138" s="2">
        <f t="shared" si="43"/>
        <v>0</v>
      </c>
      <c r="AB138" s="2">
        <f t="shared" si="44"/>
        <v>0</v>
      </c>
      <c r="AD138" s="2">
        <f t="shared" si="45"/>
        <v>0</v>
      </c>
      <c r="AE138" s="2">
        <f t="shared" si="46"/>
        <v>1</v>
      </c>
      <c r="AF138" s="2">
        <f t="shared" si="47"/>
        <v>0</v>
      </c>
      <c r="AG138" s="2">
        <f t="shared" si="48"/>
        <v>0</v>
      </c>
      <c r="AH138" s="2">
        <f t="shared" si="49"/>
        <v>0</v>
      </c>
      <c r="AI138" s="2">
        <f t="shared" si="50"/>
        <v>0</v>
      </c>
    </row>
    <row r="139" spans="1:35" ht="14.25" customHeight="1" x14ac:dyDescent="0.25">
      <c r="A139" s="31">
        <v>0</v>
      </c>
      <c r="B139" s="31">
        <v>2</v>
      </c>
      <c r="C139" s="31">
        <v>1</v>
      </c>
      <c r="D139" s="32" t="s">
        <v>923</v>
      </c>
      <c r="E139" s="32" t="s">
        <v>35</v>
      </c>
      <c r="F139" s="32" t="s">
        <v>924</v>
      </c>
      <c r="G139" s="32" t="s">
        <v>132</v>
      </c>
      <c r="H139" s="32" t="s">
        <v>165</v>
      </c>
      <c r="I139" s="31" t="s">
        <v>925</v>
      </c>
      <c r="J139" s="31">
        <v>99</v>
      </c>
      <c r="K139" s="31" t="s">
        <v>378</v>
      </c>
      <c r="L139" s="31"/>
      <c r="M139" s="32"/>
      <c r="N139" s="32" t="s">
        <v>895</v>
      </c>
      <c r="O139" s="33">
        <v>1</v>
      </c>
      <c r="P139" s="33">
        <v>1</v>
      </c>
      <c r="Q139" s="32"/>
      <c r="S139" s="2">
        <f t="shared" si="35"/>
        <v>0</v>
      </c>
      <c r="T139" s="2">
        <f t="shared" si="36"/>
        <v>0</v>
      </c>
      <c r="U139" s="2">
        <f t="shared" si="37"/>
        <v>0</v>
      </c>
      <c r="V139" s="2">
        <f t="shared" si="38"/>
        <v>0</v>
      </c>
      <c r="W139" s="2">
        <f t="shared" si="39"/>
        <v>0</v>
      </c>
      <c r="X139" s="2">
        <f t="shared" si="40"/>
        <v>0</v>
      </c>
      <c r="Y139" s="2">
        <f t="shared" si="41"/>
        <v>0</v>
      </c>
      <c r="Z139" s="2">
        <f t="shared" si="42"/>
        <v>0</v>
      </c>
      <c r="AA139" s="2">
        <f t="shared" si="43"/>
        <v>0</v>
      </c>
      <c r="AB139" s="2">
        <f t="shared" si="44"/>
        <v>0</v>
      </c>
      <c r="AD139" s="2">
        <f t="shared" si="45"/>
        <v>1</v>
      </c>
      <c r="AE139" s="2">
        <f t="shared" si="46"/>
        <v>0</v>
      </c>
      <c r="AF139" s="2">
        <f t="shared" si="47"/>
        <v>1</v>
      </c>
      <c r="AG139" s="2">
        <f t="shared" si="48"/>
        <v>0</v>
      </c>
      <c r="AH139" s="2">
        <f t="shared" si="49"/>
        <v>1</v>
      </c>
      <c r="AI139" s="2">
        <f t="shared" si="50"/>
        <v>0</v>
      </c>
    </row>
    <row r="140" spans="1:35" ht="14.25" customHeight="1" x14ac:dyDescent="0.25">
      <c r="A140" s="31">
        <v>0</v>
      </c>
      <c r="B140" s="31">
        <v>2</v>
      </c>
      <c r="C140" s="31">
        <v>1</v>
      </c>
      <c r="D140" s="32" t="s">
        <v>455</v>
      </c>
      <c r="E140" s="32" t="s">
        <v>456</v>
      </c>
      <c r="F140" s="32" t="s">
        <v>457</v>
      </c>
      <c r="G140" s="32" t="s">
        <v>458</v>
      </c>
      <c r="H140" s="32" t="s">
        <v>165</v>
      </c>
      <c r="I140" s="31" t="s">
        <v>459</v>
      </c>
      <c r="J140" s="31">
        <v>99</v>
      </c>
      <c r="K140" s="31" t="s">
        <v>318</v>
      </c>
      <c r="L140" s="31" t="s">
        <v>321</v>
      </c>
      <c r="M140" s="32" t="s">
        <v>269</v>
      </c>
      <c r="N140" s="32" t="s">
        <v>895</v>
      </c>
      <c r="O140" s="33">
        <v>1</v>
      </c>
      <c r="P140" s="33">
        <v>1</v>
      </c>
      <c r="Q140" s="32"/>
      <c r="S140" s="2">
        <f t="shared" si="35"/>
        <v>0</v>
      </c>
      <c r="T140" s="2">
        <f t="shared" si="36"/>
        <v>0</v>
      </c>
      <c r="U140" s="2">
        <f t="shared" si="37"/>
        <v>0</v>
      </c>
      <c r="V140" s="2">
        <f t="shared" si="38"/>
        <v>0</v>
      </c>
      <c r="W140" s="2">
        <f t="shared" si="39"/>
        <v>0</v>
      </c>
      <c r="X140" s="2">
        <f t="shared" si="40"/>
        <v>0</v>
      </c>
      <c r="Y140" s="2">
        <f t="shared" si="41"/>
        <v>0</v>
      </c>
      <c r="Z140" s="2">
        <f t="shared" si="42"/>
        <v>0</v>
      </c>
      <c r="AA140" s="2">
        <f t="shared" si="43"/>
        <v>0</v>
      </c>
      <c r="AB140" s="2">
        <f t="shared" si="44"/>
        <v>0</v>
      </c>
      <c r="AD140" s="2">
        <f t="shared" si="45"/>
        <v>1</v>
      </c>
      <c r="AE140" s="2">
        <f t="shared" si="46"/>
        <v>0</v>
      </c>
      <c r="AF140" s="2">
        <f t="shared" si="47"/>
        <v>1</v>
      </c>
      <c r="AG140" s="2">
        <f t="shared" si="48"/>
        <v>0</v>
      </c>
      <c r="AH140" s="2">
        <f t="shared" si="49"/>
        <v>1</v>
      </c>
      <c r="AI140" s="2">
        <f t="shared" si="50"/>
        <v>0</v>
      </c>
    </row>
    <row r="141" spans="1:35" ht="14.25" customHeight="1" x14ac:dyDescent="0.25">
      <c r="A141" s="31">
        <v>0</v>
      </c>
      <c r="B141" s="31">
        <v>2</v>
      </c>
      <c r="C141" s="31">
        <v>1</v>
      </c>
      <c r="D141" s="32" t="s">
        <v>560</v>
      </c>
      <c r="E141" s="32" t="s">
        <v>35</v>
      </c>
      <c r="F141" s="32" t="s">
        <v>832</v>
      </c>
      <c r="G141" s="32" t="s">
        <v>519</v>
      </c>
      <c r="H141" s="32" t="s">
        <v>165</v>
      </c>
      <c r="I141" s="31" t="s">
        <v>561</v>
      </c>
      <c r="J141" s="31">
        <v>99</v>
      </c>
      <c r="K141" s="31" t="s">
        <v>318</v>
      </c>
      <c r="L141" s="31">
        <v>5</v>
      </c>
      <c r="M141" s="32" t="s">
        <v>269</v>
      </c>
      <c r="N141" s="32" t="s">
        <v>901</v>
      </c>
      <c r="O141" s="33">
        <v>1</v>
      </c>
      <c r="P141" s="33"/>
      <c r="Q141" s="32" t="s">
        <v>959</v>
      </c>
      <c r="S141" s="2">
        <f t="shared" si="35"/>
        <v>0</v>
      </c>
      <c r="T141" s="2">
        <f t="shared" si="36"/>
        <v>0</v>
      </c>
      <c r="U141" s="2">
        <f t="shared" si="37"/>
        <v>0</v>
      </c>
      <c r="V141" s="2">
        <f t="shared" si="38"/>
        <v>0</v>
      </c>
      <c r="W141" s="2">
        <f t="shared" si="39"/>
        <v>0</v>
      </c>
      <c r="X141" s="2">
        <f t="shared" si="40"/>
        <v>0</v>
      </c>
      <c r="Y141" s="2">
        <f t="shared" si="41"/>
        <v>0</v>
      </c>
      <c r="Z141" s="2">
        <f t="shared" si="42"/>
        <v>0</v>
      </c>
      <c r="AA141" s="2">
        <f t="shared" si="43"/>
        <v>0</v>
      </c>
      <c r="AB141" s="2">
        <f t="shared" si="44"/>
        <v>0</v>
      </c>
      <c r="AD141" s="2">
        <f t="shared" si="45"/>
        <v>0</v>
      </c>
      <c r="AE141" s="2">
        <f t="shared" si="46"/>
        <v>1</v>
      </c>
      <c r="AF141" s="2">
        <f t="shared" si="47"/>
        <v>0</v>
      </c>
      <c r="AG141" s="2">
        <f t="shared" si="48"/>
        <v>1</v>
      </c>
      <c r="AH141" s="2">
        <f t="shared" si="49"/>
        <v>0</v>
      </c>
      <c r="AI141" s="2">
        <f t="shared" si="50"/>
        <v>1</v>
      </c>
    </row>
    <row r="142" spans="1:35" ht="14.25" customHeight="1" x14ac:dyDescent="0.25">
      <c r="A142" s="31">
        <v>0</v>
      </c>
      <c r="B142" s="31">
        <v>2</v>
      </c>
      <c r="C142" s="31">
        <v>1</v>
      </c>
      <c r="D142" s="32" t="s">
        <v>392</v>
      </c>
      <c r="E142" s="32" t="s">
        <v>37</v>
      </c>
      <c r="F142" s="32" t="s">
        <v>483</v>
      </c>
      <c r="G142" s="32" t="s">
        <v>130</v>
      </c>
      <c r="H142" s="32" t="s">
        <v>165</v>
      </c>
      <c r="I142" s="31" t="s">
        <v>393</v>
      </c>
      <c r="J142" s="31">
        <v>10</v>
      </c>
      <c r="K142" s="31" t="s">
        <v>319</v>
      </c>
      <c r="L142" s="31">
        <v>5</v>
      </c>
      <c r="M142" s="32" t="s">
        <v>269</v>
      </c>
      <c r="N142" s="32" t="s">
        <v>901</v>
      </c>
      <c r="O142" s="33">
        <v>1</v>
      </c>
      <c r="P142" s="33"/>
      <c r="Q142" s="32"/>
      <c r="S142" s="2">
        <f t="shared" si="35"/>
        <v>0</v>
      </c>
      <c r="T142" s="2">
        <f t="shared" si="36"/>
        <v>0</v>
      </c>
      <c r="U142" s="2">
        <f t="shared" si="37"/>
        <v>0</v>
      </c>
      <c r="V142" s="2">
        <f t="shared" si="38"/>
        <v>0</v>
      </c>
      <c r="W142" s="2">
        <f t="shared" si="39"/>
        <v>0</v>
      </c>
      <c r="X142" s="2">
        <f t="shared" si="40"/>
        <v>0</v>
      </c>
      <c r="Y142" s="2">
        <f t="shared" si="41"/>
        <v>0</v>
      </c>
      <c r="Z142" s="2">
        <f t="shared" si="42"/>
        <v>0</v>
      </c>
      <c r="AA142" s="2">
        <f t="shared" si="43"/>
        <v>0</v>
      </c>
      <c r="AB142" s="2">
        <f t="shared" si="44"/>
        <v>1</v>
      </c>
      <c r="AD142" s="2">
        <f t="shared" si="45"/>
        <v>0</v>
      </c>
      <c r="AE142" s="2">
        <f t="shared" si="46"/>
        <v>1</v>
      </c>
      <c r="AF142" s="2">
        <f t="shared" si="47"/>
        <v>0</v>
      </c>
      <c r="AG142" s="2">
        <f t="shared" si="48"/>
        <v>1</v>
      </c>
      <c r="AH142" s="2">
        <f t="shared" si="49"/>
        <v>0</v>
      </c>
      <c r="AI142" s="2">
        <f t="shared" si="50"/>
        <v>1</v>
      </c>
    </row>
    <row r="143" spans="1:35" ht="14.25" customHeight="1" x14ac:dyDescent="0.25">
      <c r="A143" s="31">
        <v>0</v>
      </c>
      <c r="B143" s="31">
        <v>2</v>
      </c>
      <c r="C143" s="31">
        <v>1</v>
      </c>
      <c r="D143" s="32" t="s">
        <v>248</v>
      </c>
      <c r="E143" s="32" t="s">
        <v>37</v>
      </c>
      <c r="F143" s="32" t="s">
        <v>232</v>
      </c>
      <c r="G143" s="32" t="s">
        <v>585</v>
      </c>
      <c r="H143" s="32" t="s">
        <v>165</v>
      </c>
      <c r="I143" s="31" t="s">
        <v>265</v>
      </c>
      <c r="J143" s="31">
        <v>99</v>
      </c>
      <c r="K143" s="31" t="s">
        <v>320</v>
      </c>
      <c r="L143" s="31">
        <v>5</v>
      </c>
      <c r="M143" s="32" t="s">
        <v>269</v>
      </c>
      <c r="N143" s="32" t="s">
        <v>901</v>
      </c>
      <c r="O143" s="33">
        <v>1</v>
      </c>
      <c r="P143" s="33"/>
      <c r="Q143" s="32"/>
      <c r="S143" s="2">
        <f t="shared" si="35"/>
        <v>0</v>
      </c>
      <c r="T143" s="2">
        <f t="shared" si="36"/>
        <v>0</v>
      </c>
      <c r="U143" s="2">
        <f t="shared" si="37"/>
        <v>0</v>
      </c>
      <c r="V143" s="2">
        <f t="shared" si="38"/>
        <v>0</v>
      </c>
      <c r="W143" s="2">
        <f t="shared" si="39"/>
        <v>0</v>
      </c>
      <c r="X143" s="2">
        <f t="shared" si="40"/>
        <v>0</v>
      </c>
      <c r="Y143" s="2">
        <f t="shared" si="41"/>
        <v>0</v>
      </c>
      <c r="Z143" s="2">
        <f t="shared" si="42"/>
        <v>0</v>
      </c>
      <c r="AA143" s="2">
        <f t="shared" si="43"/>
        <v>0</v>
      </c>
      <c r="AB143" s="2">
        <f t="shared" si="44"/>
        <v>0</v>
      </c>
      <c r="AD143" s="2">
        <f t="shared" si="45"/>
        <v>0</v>
      </c>
      <c r="AE143" s="2">
        <f t="shared" si="46"/>
        <v>1</v>
      </c>
      <c r="AF143" s="2">
        <f t="shared" si="47"/>
        <v>0</v>
      </c>
      <c r="AG143" s="2">
        <f t="shared" si="48"/>
        <v>1</v>
      </c>
      <c r="AH143" s="2">
        <f t="shared" si="49"/>
        <v>0</v>
      </c>
      <c r="AI143" s="2">
        <f t="shared" si="50"/>
        <v>1</v>
      </c>
    </row>
    <row r="144" spans="1:35" ht="14.25" customHeight="1" x14ac:dyDescent="0.25">
      <c r="A144" s="20">
        <v>0</v>
      </c>
      <c r="B144" s="20">
        <v>2</v>
      </c>
      <c r="C144" s="20">
        <v>2</v>
      </c>
      <c r="D144" s="21" t="s">
        <v>724</v>
      </c>
      <c r="E144" s="21" t="s">
        <v>818</v>
      </c>
      <c r="F144" s="21" t="s">
        <v>725</v>
      </c>
      <c r="G144" s="21" t="s">
        <v>96</v>
      </c>
      <c r="H144" s="21" t="s">
        <v>165</v>
      </c>
      <c r="I144" s="20" t="s">
        <v>726</v>
      </c>
      <c r="J144" s="20">
        <v>3</v>
      </c>
      <c r="K144" s="20" t="s">
        <v>319</v>
      </c>
      <c r="L144" s="20">
        <v>35</v>
      </c>
      <c r="M144" s="21" t="s">
        <v>885</v>
      </c>
      <c r="N144" s="21"/>
      <c r="O144" s="7"/>
      <c r="P144" s="7"/>
      <c r="Q144" s="21"/>
      <c r="S144" s="2">
        <f t="shared" si="35"/>
        <v>0</v>
      </c>
      <c r="T144" s="2">
        <f t="shared" si="36"/>
        <v>0</v>
      </c>
      <c r="U144" s="2">
        <f t="shared" si="37"/>
        <v>1</v>
      </c>
      <c r="V144" s="2">
        <f t="shared" si="38"/>
        <v>0</v>
      </c>
      <c r="W144" s="2">
        <f t="shared" si="39"/>
        <v>0</v>
      </c>
      <c r="X144" s="2">
        <f t="shared" si="40"/>
        <v>0</v>
      </c>
      <c r="Y144" s="2">
        <f t="shared" si="41"/>
        <v>0</v>
      </c>
      <c r="Z144" s="2">
        <f t="shared" si="42"/>
        <v>0</v>
      </c>
      <c r="AA144" s="2">
        <f t="shared" si="43"/>
        <v>0</v>
      </c>
      <c r="AB144" s="2">
        <f t="shared" si="44"/>
        <v>0</v>
      </c>
      <c r="AD144" s="2">
        <f t="shared" si="45"/>
        <v>0</v>
      </c>
      <c r="AE144" s="2">
        <f t="shared" si="46"/>
        <v>0</v>
      </c>
      <c r="AF144" s="2">
        <f t="shared" si="47"/>
        <v>0</v>
      </c>
      <c r="AG144" s="2">
        <f t="shared" si="48"/>
        <v>0</v>
      </c>
      <c r="AH144" s="2">
        <f t="shared" si="49"/>
        <v>0</v>
      </c>
      <c r="AI144" s="2">
        <f t="shared" si="50"/>
        <v>1</v>
      </c>
    </row>
    <row r="145" spans="1:35" ht="14.25" customHeight="1" x14ac:dyDescent="0.25">
      <c r="A145" s="31">
        <v>0</v>
      </c>
      <c r="B145" s="31">
        <v>2</v>
      </c>
      <c r="C145" s="31">
        <v>2</v>
      </c>
      <c r="D145" s="32" t="s">
        <v>503</v>
      </c>
      <c r="E145" s="32" t="s">
        <v>675</v>
      </c>
      <c r="F145" s="32" t="s">
        <v>504</v>
      </c>
      <c r="G145" s="32" t="s">
        <v>137</v>
      </c>
      <c r="H145" s="32" t="s">
        <v>165</v>
      </c>
      <c r="I145" s="31" t="s">
        <v>505</v>
      </c>
      <c r="J145" s="31">
        <v>1</v>
      </c>
      <c r="K145" s="31" t="s">
        <v>318</v>
      </c>
      <c r="L145" s="31">
        <v>45</v>
      </c>
      <c r="M145" s="32" t="s">
        <v>886</v>
      </c>
      <c r="N145" s="32" t="s">
        <v>901</v>
      </c>
      <c r="O145" s="33">
        <v>1</v>
      </c>
      <c r="P145" s="33"/>
      <c r="Q145" s="32"/>
      <c r="S145" s="2">
        <f t="shared" ref="S145:S208" si="51">IF(J145=$S$7,1,0)</f>
        <v>1</v>
      </c>
      <c r="T145" s="2">
        <f t="shared" ref="T145:T208" si="52">IF(J145=$T$7,1,0)</f>
        <v>0</v>
      </c>
      <c r="U145" s="2">
        <f t="shared" ref="U145:U208" si="53">IF(J145=$U$7,1,0)</f>
        <v>0</v>
      </c>
      <c r="V145" s="2">
        <f t="shared" ref="V145:V208" si="54">IF(J145=$V$7,1,0)</f>
        <v>0</v>
      </c>
      <c r="W145" s="2">
        <f t="shared" ref="W145:W208" si="55">IF(J145=$W$7,1,0)</f>
        <v>0</v>
      </c>
      <c r="X145" s="2">
        <f t="shared" ref="X145:X208" si="56">IF(J145=$X$7,1,0)</f>
        <v>0</v>
      </c>
      <c r="Y145" s="2">
        <f t="shared" ref="Y145:Y208" si="57">IF(J145=$Y$7,1,0)</f>
        <v>0</v>
      </c>
      <c r="Z145" s="2">
        <f t="shared" ref="Z145:Z208" si="58">IF(J145=$Z$7,1,0)</f>
        <v>0</v>
      </c>
      <c r="AA145" s="2">
        <f t="shared" ref="AA145:AA208" si="59">IF(J145=$AA$7,1,0)</f>
        <v>0</v>
      </c>
      <c r="AB145" s="2">
        <f t="shared" ref="AB145:AB208" si="60">IF(J145=$AB$7,1,0)</f>
        <v>0</v>
      </c>
      <c r="AD145" s="2">
        <f t="shared" ref="AD145:AD208" si="61">+O145*P145</f>
        <v>0</v>
      </c>
      <c r="AE145" s="2">
        <f t="shared" ref="AE145:AE208" si="62">O145*(1-P145)</f>
        <v>1</v>
      </c>
      <c r="AF145" s="2">
        <f t="shared" si="47"/>
        <v>0</v>
      </c>
      <c r="AG145" s="2">
        <f t="shared" si="48"/>
        <v>1</v>
      </c>
      <c r="AH145" s="2">
        <f t="shared" si="49"/>
        <v>0</v>
      </c>
      <c r="AI145" s="2">
        <f t="shared" si="50"/>
        <v>1</v>
      </c>
    </row>
    <row r="146" spans="1:35" ht="14.25" customHeight="1" x14ac:dyDescent="0.25">
      <c r="A146" s="34">
        <v>0</v>
      </c>
      <c r="B146" s="34">
        <v>2</v>
      </c>
      <c r="C146" s="34">
        <v>2</v>
      </c>
      <c r="D146" s="35" t="s">
        <v>798</v>
      </c>
      <c r="E146" s="35"/>
      <c r="F146" s="35" t="s">
        <v>799</v>
      </c>
      <c r="G146" s="35" t="s">
        <v>309</v>
      </c>
      <c r="H146" s="35" t="s">
        <v>165</v>
      </c>
      <c r="I146" s="34" t="s">
        <v>33</v>
      </c>
      <c r="J146" s="34">
        <v>1</v>
      </c>
      <c r="K146" s="34" t="s">
        <v>378</v>
      </c>
      <c r="L146" s="34">
        <v>40</v>
      </c>
      <c r="M146" s="35" t="s">
        <v>800</v>
      </c>
      <c r="N146" s="35" t="s">
        <v>931</v>
      </c>
      <c r="O146" s="36"/>
      <c r="P146" s="36"/>
      <c r="Q146" s="35"/>
      <c r="S146" s="2">
        <f t="shared" si="51"/>
        <v>1</v>
      </c>
      <c r="T146" s="2">
        <f t="shared" si="52"/>
        <v>0</v>
      </c>
      <c r="U146" s="2">
        <f t="shared" si="53"/>
        <v>0</v>
      </c>
      <c r="V146" s="2">
        <f t="shared" si="54"/>
        <v>0</v>
      </c>
      <c r="W146" s="2">
        <f t="shared" si="55"/>
        <v>0</v>
      </c>
      <c r="X146" s="2">
        <f t="shared" si="56"/>
        <v>0</v>
      </c>
      <c r="Y146" s="2">
        <f t="shared" si="57"/>
        <v>0</v>
      </c>
      <c r="Z146" s="2">
        <f t="shared" si="58"/>
        <v>0</v>
      </c>
      <c r="AA146" s="2">
        <f t="shared" si="59"/>
        <v>0</v>
      </c>
      <c r="AB146" s="2">
        <f t="shared" si="60"/>
        <v>0</v>
      </c>
      <c r="AD146" s="2">
        <f t="shared" si="61"/>
        <v>0</v>
      </c>
      <c r="AE146" s="2">
        <f t="shared" si="62"/>
        <v>0</v>
      </c>
      <c r="AF146" s="2">
        <f t="shared" si="47"/>
        <v>0</v>
      </c>
      <c r="AG146" s="2">
        <f t="shared" si="48"/>
        <v>0</v>
      </c>
      <c r="AH146" s="2">
        <f t="shared" si="49"/>
        <v>0</v>
      </c>
      <c r="AI146" s="2">
        <f t="shared" si="50"/>
        <v>1</v>
      </c>
    </row>
    <row r="147" spans="1:35" ht="14.25" customHeight="1" x14ac:dyDescent="0.25">
      <c r="A147" s="31">
        <v>0</v>
      </c>
      <c r="B147" s="31">
        <v>2</v>
      </c>
      <c r="C147" s="31">
        <v>2</v>
      </c>
      <c r="D147" s="32" t="s">
        <v>728</v>
      </c>
      <c r="E147" s="32" t="s">
        <v>30</v>
      </c>
      <c r="F147" s="32" t="s">
        <v>789</v>
      </c>
      <c r="G147" s="32" t="s">
        <v>40</v>
      </c>
      <c r="H147" s="32" t="s">
        <v>165</v>
      </c>
      <c r="I147" s="31" t="s">
        <v>33</v>
      </c>
      <c r="J147" s="31">
        <v>99</v>
      </c>
      <c r="K147" s="31" t="s">
        <v>320</v>
      </c>
      <c r="L147" s="31" t="s">
        <v>345</v>
      </c>
      <c r="M147" s="32" t="s">
        <v>729</v>
      </c>
      <c r="N147" s="32" t="s">
        <v>901</v>
      </c>
      <c r="O147" s="33">
        <v>1</v>
      </c>
      <c r="P147" s="33"/>
      <c r="Q147" s="32"/>
      <c r="S147" s="2">
        <f t="shared" si="51"/>
        <v>0</v>
      </c>
      <c r="T147" s="2">
        <f t="shared" si="52"/>
        <v>0</v>
      </c>
      <c r="U147" s="2">
        <f t="shared" si="53"/>
        <v>0</v>
      </c>
      <c r="V147" s="2">
        <f t="shared" si="54"/>
        <v>0</v>
      </c>
      <c r="W147" s="2">
        <f t="shared" si="55"/>
        <v>0</v>
      </c>
      <c r="X147" s="2">
        <f t="shared" si="56"/>
        <v>0</v>
      </c>
      <c r="Y147" s="2">
        <f t="shared" si="57"/>
        <v>0</v>
      </c>
      <c r="Z147" s="2">
        <f t="shared" si="58"/>
        <v>0</v>
      </c>
      <c r="AA147" s="2">
        <f t="shared" si="59"/>
        <v>0</v>
      </c>
      <c r="AB147" s="2">
        <f t="shared" si="60"/>
        <v>0</v>
      </c>
      <c r="AD147" s="2">
        <f t="shared" si="61"/>
        <v>0</v>
      </c>
      <c r="AE147" s="2">
        <f t="shared" si="62"/>
        <v>1</v>
      </c>
      <c r="AF147" s="2">
        <f t="shared" si="47"/>
        <v>0</v>
      </c>
      <c r="AG147" s="2">
        <f t="shared" si="48"/>
        <v>1</v>
      </c>
      <c r="AH147" s="2">
        <f t="shared" si="49"/>
        <v>0</v>
      </c>
      <c r="AI147" s="2">
        <f t="shared" si="50"/>
        <v>1</v>
      </c>
    </row>
    <row r="148" spans="1:35" ht="14.25" customHeight="1" x14ac:dyDescent="0.25">
      <c r="A148" s="31">
        <v>0</v>
      </c>
      <c r="B148" s="31">
        <v>2</v>
      </c>
      <c r="C148" s="31">
        <v>2</v>
      </c>
      <c r="D148" s="32" t="s">
        <v>523</v>
      </c>
      <c r="E148" s="32" t="s">
        <v>524</v>
      </c>
      <c r="F148" s="32" t="s">
        <v>515</v>
      </c>
      <c r="G148" s="32" t="s">
        <v>516</v>
      </c>
      <c r="H148" s="32" t="s">
        <v>165</v>
      </c>
      <c r="I148" s="31" t="s">
        <v>33</v>
      </c>
      <c r="J148" s="31">
        <v>99</v>
      </c>
      <c r="K148" s="31" t="s">
        <v>320</v>
      </c>
      <c r="L148" s="31" t="s">
        <v>40</v>
      </c>
      <c r="M148" s="32" t="s">
        <v>40</v>
      </c>
      <c r="N148" s="32" t="s">
        <v>895</v>
      </c>
      <c r="O148" s="33">
        <v>1</v>
      </c>
      <c r="P148" s="33">
        <v>1</v>
      </c>
      <c r="Q148" s="32"/>
      <c r="S148" s="2">
        <f t="shared" si="51"/>
        <v>0</v>
      </c>
      <c r="T148" s="2">
        <f t="shared" si="52"/>
        <v>0</v>
      </c>
      <c r="U148" s="2">
        <f t="shared" si="53"/>
        <v>0</v>
      </c>
      <c r="V148" s="2">
        <f t="shared" si="54"/>
        <v>0</v>
      </c>
      <c r="W148" s="2">
        <f t="shared" si="55"/>
        <v>0</v>
      </c>
      <c r="X148" s="2">
        <f t="shared" si="56"/>
        <v>0</v>
      </c>
      <c r="Y148" s="2">
        <f t="shared" si="57"/>
        <v>0</v>
      </c>
      <c r="Z148" s="2">
        <f t="shared" si="58"/>
        <v>0</v>
      </c>
      <c r="AA148" s="2">
        <f t="shared" si="59"/>
        <v>0</v>
      </c>
      <c r="AB148" s="2">
        <f t="shared" si="60"/>
        <v>0</v>
      </c>
      <c r="AD148" s="2">
        <f t="shared" si="61"/>
        <v>1</v>
      </c>
      <c r="AE148" s="2">
        <f t="shared" si="62"/>
        <v>0</v>
      </c>
      <c r="AF148" s="2">
        <f t="shared" si="47"/>
        <v>1</v>
      </c>
      <c r="AG148" s="2">
        <f t="shared" si="48"/>
        <v>0</v>
      </c>
      <c r="AH148" s="2">
        <f t="shared" si="49"/>
        <v>1</v>
      </c>
      <c r="AI148" s="2">
        <f t="shared" si="50"/>
        <v>0</v>
      </c>
    </row>
    <row r="149" spans="1:35" ht="14.25" customHeight="1" x14ac:dyDescent="0.25">
      <c r="A149" s="31">
        <v>1</v>
      </c>
      <c r="B149" s="31">
        <v>2</v>
      </c>
      <c r="C149" s="31">
        <v>2</v>
      </c>
      <c r="D149" s="32" t="s">
        <v>523</v>
      </c>
      <c r="E149" s="32" t="s">
        <v>524</v>
      </c>
      <c r="F149" s="32" t="s">
        <v>782</v>
      </c>
      <c r="G149" s="32" t="s">
        <v>130</v>
      </c>
      <c r="H149" s="32" t="s">
        <v>165</v>
      </c>
      <c r="I149" s="31" t="s">
        <v>33</v>
      </c>
      <c r="J149" s="31"/>
      <c r="K149" s="31" t="s">
        <v>320</v>
      </c>
      <c r="L149" s="31" t="s">
        <v>40</v>
      </c>
      <c r="M149" s="32" t="s">
        <v>40</v>
      </c>
      <c r="N149" s="32" t="s">
        <v>895</v>
      </c>
      <c r="O149" s="33">
        <v>1</v>
      </c>
      <c r="P149" s="33">
        <v>1</v>
      </c>
      <c r="Q149" s="32"/>
      <c r="S149" s="2">
        <f t="shared" si="51"/>
        <v>0</v>
      </c>
      <c r="T149" s="2">
        <f t="shared" si="52"/>
        <v>0</v>
      </c>
      <c r="U149" s="2">
        <f t="shared" si="53"/>
        <v>0</v>
      </c>
      <c r="V149" s="2">
        <f t="shared" si="54"/>
        <v>0</v>
      </c>
      <c r="W149" s="2">
        <f t="shared" si="55"/>
        <v>0</v>
      </c>
      <c r="X149" s="2">
        <f t="shared" si="56"/>
        <v>0</v>
      </c>
      <c r="Y149" s="2">
        <f t="shared" si="57"/>
        <v>0</v>
      </c>
      <c r="Z149" s="2">
        <f t="shared" si="58"/>
        <v>0</v>
      </c>
      <c r="AA149" s="2">
        <f t="shared" si="59"/>
        <v>0</v>
      </c>
      <c r="AB149" s="2">
        <f t="shared" si="60"/>
        <v>0</v>
      </c>
      <c r="AD149" s="2">
        <f t="shared" si="61"/>
        <v>1</v>
      </c>
      <c r="AE149" s="2">
        <f t="shared" si="62"/>
        <v>0</v>
      </c>
      <c r="AF149" s="2">
        <f t="shared" si="47"/>
        <v>0</v>
      </c>
      <c r="AG149" s="2">
        <f t="shared" si="48"/>
        <v>0</v>
      </c>
      <c r="AH149" s="2">
        <f t="shared" si="49"/>
        <v>0</v>
      </c>
      <c r="AI149" s="2">
        <f t="shared" si="50"/>
        <v>0</v>
      </c>
    </row>
    <row r="150" spans="1:35" ht="14.25" customHeight="1" x14ac:dyDescent="0.25">
      <c r="A150" s="31">
        <v>0</v>
      </c>
      <c r="B150" s="31">
        <v>2</v>
      </c>
      <c r="C150" s="31">
        <v>2</v>
      </c>
      <c r="D150" s="32" t="s">
        <v>54</v>
      </c>
      <c r="E150" s="32" t="s">
        <v>84</v>
      </c>
      <c r="F150" s="32" t="s">
        <v>108</v>
      </c>
      <c r="G150" s="32" t="s">
        <v>40</v>
      </c>
      <c r="H150" s="32" t="s">
        <v>165</v>
      </c>
      <c r="I150" s="31" t="s">
        <v>173</v>
      </c>
      <c r="J150" s="31">
        <v>4</v>
      </c>
      <c r="K150" s="31" t="s">
        <v>320</v>
      </c>
      <c r="L150" s="31" t="s">
        <v>336</v>
      </c>
      <c r="M150" s="32" t="s">
        <v>337</v>
      </c>
      <c r="N150" s="32" t="s">
        <v>913</v>
      </c>
      <c r="O150" s="33">
        <v>1</v>
      </c>
      <c r="P150" s="33"/>
      <c r="Q150" s="32"/>
      <c r="S150" s="2">
        <f t="shared" si="51"/>
        <v>0</v>
      </c>
      <c r="T150" s="2">
        <f t="shared" si="52"/>
        <v>0</v>
      </c>
      <c r="U150" s="2">
        <f t="shared" si="53"/>
        <v>0</v>
      </c>
      <c r="V150" s="2">
        <f t="shared" si="54"/>
        <v>1</v>
      </c>
      <c r="W150" s="2">
        <f t="shared" si="55"/>
        <v>0</v>
      </c>
      <c r="X150" s="2">
        <f t="shared" si="56"/>
        <v>0</v>
      </c>
      <c r="Y150" s="2">
        <f t="shared" si="57"/>
        <v>0</v>
      </c>
      <c r="Z150" s="2">
        <f t="shared" si="58"/>
        <v>0</v>
      </c>
      <c r="AA150" s="2">
        <f t="shared" si="59"/>
        <v>0</v>
      </c>
      <c r="AB150" s="2">
        <f t="shared" si="60"/>
        <v>0</v>
      </c>
      <c r="AD150" s="2">
        <f t="shared" si="61"/>
        <v>0</v>
      </c>
      <c r="AE150" s="2">
        <f t="shared" si="62"/>
        <v>1</v>
      </c>
      <c r="AF150" s="2">
        <f t="shared" si="47"/>
        <v>0</v>
      </c>
      <c r="AG150" s="2">
        <f t="shared" si="48"/>
        <v>1</v>
      </c>
      <c r="AH150" s="2">
        <f t="shared" si="49"/>
        <v>0</v>
      </c>
      <c r="AI150" s="2">
        <f t="shared" si="50"/>
        <v>1</v>
      </c>
    </row>
    <row r="151" spans="1:35" ht="14.25" customHeight="1" x14ac:dyDescent="0.25">
      <c r="A151" s="31">
        <v>1</v>
      </c>
      <c r="B151" s="31">
        <v>2</v>
      </c>
      <c r="C151" s="31">
        <v>2</v>
      </c>
      <c r="D151" s="32" t="s">
        <v>54</v>
      </c>
      <c r="E151" s="32" t="s">
        <v>84</v>
      </c>
      <c r="F151" s="32" t="s">
        <v>727</v>
      </c>
      <c r="G151" s="32" t="s">
        <v>585</v>
      </c>
      <c r="H151" s="32" t="s">
        <v>165</v>
      </c>
      <c r="I151" s="31" t="s">
        <v>33</v>
      </c>
      <c r="J151" s="31">
        <v>99</v>
      </c>
      <c r="K151" s="31" t="s">
        <v>320</v>
      </c>
      <c r="L151" s="31" t="s">
        <v>336</v>
      </c>
      <c r="M151" s="32" t="s">
        <v>337</v>
      </c>
      <c r="N151" s="32" t="s">
        <v>913</v>
      </c>
      <c r="O151" s="33">
        <v>1</v>
      </c>
      <c r="P151" s="33"/>
      <c r="Q151" s="32"/>
      <c r="S151" s="2">
        <f t="shared" si="51"/>
        <v>0</v>
      </c>
      <c r="T151" s="2">
        <f t="shared" si="52"/>
        <v>0</v>
      </c>
      <c r="U151" s="2">
        <f t="shared" si="53"/>
        <v>0</v>
      </c>
      <c r="V151" s="2">
        <f t="shared" si="54"/>
        <v>0</v>
      </c>
      <c r="W151" s="2">
        <f t="shared" si="55"/>
        <v>0</v>
      </c>
      <c r="X151" s="2">
        <f t="shared" si="56"/>
        <v>0</v>
      </c>
      <c r="Y151" s="2">
        <f t="shared" si="57"/>
        <v>0</v>
      </c>
      <c r="Z151" s="2">
        <f t="shared" si="58"/>
        <v>0</v>
      </c>
      <c r="AA151" s="2">
        <f t="shared" si="59"/>
        <v>0</v>
      </c>
      <c r="AB151" s="2">
        <f t="shared" si="60"/>
        <v>0</v>
      </c>
      <c r="AD151" s="2">
        <f t="shared" si="61"/>
        <v>0</v>
      </c>
      <c r="AE151" s="2">
        <f t="shared" si="62"/>
        <v>1</v>
      </c>
      <c r="AF151" s="2">
        <f t="shared" si="47"/>
        <v>0</v>
      </c>
      <c r="AG151" s="2">
        <f t="shared" si="48"/>
        <v>0</v>
      </c>
      <c r="AH151" s="2">
        <f t="shared" si="49"/>
        <v>0</v>
      </c>
      <c r="AI151" s="2">
        <f t="shared" si="50"/>
        <v>0</v>
      </c>
    </row>
    <row r="152" spans="1:35" ht="14.25" customHeight="1" x14ac:dyDescent="0.25">
      <c r="A152" s="31">
        <v>0</v>
      </c>
      <c r="B152" s="31">
        <v>2</v>
      </c>
      <c r="C152" s="31">
        <v>2</v>
      </c>
      <c r="D152" s="32" t="s">
        <v>682</v>
      </c>
      <c r="E152" s="32" t="s">
        <v>677</v>
      </c>
      <c r="F152" s="32" t="s">
        <v>478</v>
      </c>
      <c r="G152" s="32" t="s">
        <v>122</v>
      </c>
      <c r="H152" s="32" t="s">
        <v>165</v>
      </c>
      <c r="I152" s="31" t="s">
        <v>419</v>
      </c>
      <c r="J152" s="31">
        <v>6</v>
      </c>
      <c r="K152" s="31" t="s">
        <v>319</v>
      </c>
      <c r="L152" s="31" t="s">
        <v>339</v>
      </c>
      <c r="M152" s="32" t="s">
        <v>746</v>
      </c>
      <c r="N152" s="32" t="s">
        <v>903</v>
      </c>
      <c r="O152" s="33">
        <v>1</v>
      </c>
      <c r="P152" s="33"/>
      <c r="Q152" s="32"/>
      <c r="S152" s="2">
        <f t="shared" si="51"/>
        <v>0</v>
      </c>
      <c r="T152" s="2">
        <f t="shared" si="52"/>
        <v>0</v>
      </c>
      <c r="U152" s="2">
        <f t="shared" si="53"/>
        <v>0</v>
      </c>
      <c r="V152" s="2">
        <f t="shared" si="54"/>
        <v>0</v>
      </c>
      <c r="W152" s="2">
        <f t="shared" si="55"/>
        <v>0</v>
      </c>
      <c r="X152" s="2">
        <f t="shared" si="56"/>
        <v>1</v>
      </c>
      <c r="Y152" s="2">
        <f t="shared" si="57"/>
        <v>0</v>
      </c>
      <c r="Z152" s="2">
        <f t="shared" si="58"/>
        <v>0</v>
      </c>
      <c r="AA152" s="2">
        <f t="shared" si="59"/>
        <v>0</v>
      </c>
      <c r="AB152" s="2">
        <f t="shared" si="60"/>
        <v>0</v>
      </c>
      <c r="AD152" s="2">
        <f t="shared" si="61"/>
        <v>0</v>
      </c>
      <c r="AE152" s="2">
        <f t="shared" si="62"/>
        <v>1</v>
      </c>
      <c r="AF152" s="2">
        <f t="shared" si="47"/>
        <v>0</v>
      </c>
      <c r="AG152" s="2">
        <f t="shared" si="48"/>
        <v>1</v>
      </c>
      <c r="AH152" s="2">
        <f t="shared" si="49"/>
        <v>0</v>
      </c>
      <c r="AI152" s="2">
        <f t="shared" si="50"/>
        <v>1</v>
      </c>
    </row>
    <row r="153" spans="1:35" ht="14.25" customHeight="1" x14ac:dyDescent="0.25">
      <c r="A153" s="34">
        <v>0</v>
      </c>
      <c r="B153" s="34">
        <v>2</v>
      </c>
      <c r="C153" s="34">
        <v>2</v>
      </c>
      <c r="D153" s="35" t="s">
        <v>437</v>
      </c>
      <c r="E153" s="35" t="s">
        <v>30</v>
      </c>
      <c r="F153" s="35" t="s">
        <v>955</v>
      </c>
      <c r="G153" s="35" t="s">
        <v>580</v>
      </c>
      <c r="H153" s="35" t="s">
        <v>165</v>
      </c>
      <c r="I153" s="34" t="s">
        <v>594</v>
      </c>
      <c r="J153" s="34">
        <v>99</v>
      </c>
      <c r="K153" s="34" t="s">
        <v>378</v>
      </c>
      <c r="L153" s="34">
        <v>35</v>
      </c>
      <c r="M153" s="35" t="s">
        <v>600</v>
      </c>
      <c r="N153" s="35" t="s">
        <v>902</v>
      </c>
      <c r="O153" s="36"/>
      <c r="P153" s="36"/>
      <c r="Q153" s="35"/>
      <c r="S153" s="2">
        <f t="shared" si="51"/>
        <v>0</v>
      </c>
      <c r="T153" s="2">
        <f t="shared" si="52"/>
        <v>0</v>
      </c>
      <c r="U153" s="2">
        <f t="shared" si="53"/>
        <v>0</v>
      </c>
      <c r="V153" s="2">
        <f t="shared" si="54"/>
        <v>0</v>
      </c>
      <c r="W153" s="2">
        <f t="shared" si="55"/>
        <v>0</v>
      </c>
      <c r="X153" s="2">
        <f t="shared" si="56"/>
        <v>0</v>
      </c>
      <c r="Y153" s="2">
        <f t="shared" si="57"/>
        <v>0</v>
      </c>
      <c r="Z153" s="2">
        <f t="shared" si="58"/>
        <v>0</v>
      </c>
      <c r="AA153" s="2">
        <f t="shared" si="59"/>
        <v>0</v>
      </c>
      <c r="AB153" s="2">
        <f t="shared" si="60"/>
        <v>0</v>
      </c>
      <c r="AD153" s="2">
        <f t="shared" si="61"/>
        <v>0</v>
      </c>
      <c r="AE153" s="2">
        <f t="shared" si="62"/>
        <v>0</v>
      </c>
      <c r="AF153" s="2">
        <f t="shared" si="47"/>
        <v>0</v>
      </c>
      <c r="AG153" s="2">
        <f t="shared" si="48"/>
        <v>0</v>
      </c>
      <c r="AH153" s="2">
        <f t="shared" si="49"/>
        <v>0</v>
      </c>
      <c r="AI153" s="2">
        <f t="shared" si="50"/>
        <v>1</v>
      </c>
    </row>
    <row r="154" spans="1:35" ht="14.25" customHeight="1" x14ac:dyDescent="0.25">
      <c r="A154" s="28">
        <v>0</v>
      </c>
      <c r="B154" s="28">
        <v>2</v>
      </c>
      <c r="C154" s="28">
        <v>2</v>
      </c>
      <c r="D154" s="29" t="s">
        <v>562</v>
      </c>
      <c r="E154" s="29" t="s">
        <v>563</v>
      </c>
      <c r="F154" s="29" t="s">
        <v>564</v>
      </c>
      <c r="G154" s="29" t="s">
        <v>565</v>
      </c>
      <c r="H154" s="29" t="s">
        <v>165</v>
      </c>
      <c r="I154" s="28" t="s">
        <v>566</v>
      </c>
      <c r="J154" s="28">
        <v>99</v>
      </c>
      <c r="K154" s="28" t="s">
        <v>320</v>
      </c>
      <c r="L154" s="28" t="s">
        <v>40</v>
      </c>
      <c r="M154" s="29" t="s">
        <v>40</v>
      </c>
      <c r="N154" s="29"/>
      <c r="O154" s="30"/>
      <c r="P154" s="30">
        <v>1</v>
      </c>
      <c r="Q154" s="29"/>
      <c r="S154" s="2">
        <f t="shared" si="51"/>
        <v>0</v>
      </c>
      <c r="T154" s="2">
        <f t="shared" si="52"/>
        <v>0</v>
      </c>
      <c r="U154" s="2">
        <f t="shared" si="53"/>
        <v>0</v>
      </c>
      <c r="V154" s="2">
        <f t="shared" si="54"/>
        <v>0</v>
      </c>
      <c r="W154" s="2">
        <f t="shared" si="55"/>
        <v>0</v>
      </c>
      <c r="X154" s="2">
        <f t="shared" si="56"/>
        <v>0</v>
      </c>
      <c r="Y154" s="2">
        <f t="shared" si="57"/>
        <v>0</v>
      </c>
      <c r="Z154" s="2">
        <f t="shared" si="58"/>
        <v>0</v>
      </c>
      <c r="AA154" s="2">
        <f t="shared" si="59"/>
        <v>0</v>
      </c>
      <c r="AB154" s="2">
        <f t="shared" si="60"/>
        <v>0</v>
      </c>
      <c r="AD154" s="2">
        <f t="shared" si="61"/>
        <v>0</v>
      </c>
      <c r="AE154" s="2">
        <f t="shared" si="62"/>
        <v>0</v>
      </c>
      <c r="AF154" s="2">
        <f t="shared" si="47"/>
        <v>0</v>
      </c>
      <c r="AG154" s="2">
        <f t="shared" si="48"/>
        <v>0</v>
      </c>
      <c r="AH154" s="2">
        <f t="shared" si="49"/>
        <v>1</v>
      </c>
      <c r="AI154" s="2">
        <f t="shared" si="50"/>
        <v>0</v>
      </c>
    </row>
    <row r="155" spans="1:35" ht="14.25" customHeight="1" x14ac:dyDescent="0.25">
      <c r="A155" s="28">
        <v>0</v>
      </c>
      <c r="B155" s="28">
        <v>2</v>
      </c>
      <c r="C155" s="28">
        <v>2</v>
      </c>
      <c r="D155" s="29" t="s">
        <v>945</v>
      </c>
      <c r="E155" s="29" t="s">
        <v>946</v>
      </c>
      <c r="F155" s="29" t="s">
        <v>96</v>
      </c>
      <c r="G155" s="29"/>
      <c r="H155" s="29" t="s">
        <v>165</v>
      </c>
      <c r="I155" s="28" t="s">
        <v>947</v>
      </c>
      <c r="J155" s="28"/>
      <c r="K155" s="28" t="s">
        <v>378</v>
      </c>
      <c r="L155" s="28"/>
      <c r="M155" s="29"/>
      <c r="N155" s="29"/>
      <c r="O155" s="30"/>
      <c r="P155" s="30">
        <v>1</v>
      </c>
      <c r="Q155" s="29"/>
      <c r="S155" s="2">
        <f t="shared" si="51"/>
        <v>0</v>
      </c>
      <c r="T155" s="2">
        <f t="shared" si="52"/>
        <v>0</v>
      </c>
      <c r="U155" s="2">
        <f t="shared" si="53"/>
        <v>0</v>
      </c>
      <c r="V155" s="2">
        <f t="shared" si="54"/>
        <v>0</v>
      </c>
      <c r="W155" s="2">
        <f t="shared" si="55"/>
        <v>0</v>
      </c>
      <c r="X155" s="2">
        <f t="shared" si="56"/>
        <v>0</v>
      </c>
      <c r="Y155" s="2">
        <f t="shared" si="57"/>
        <v>0</v>
      </c>
      <c r="Z155" s="2">
        <f t="shared" si="58"/>
        <v>0</v>
      </c>
      <c r="AA155" s="2">
        <f t="shared" si="59"/>
        <v>0</v>
      </c>
      <c r="AB155" s="2">
        <f t="shared" si="60"/>
        <v>0</v>
      </c>
      <c r="AD155" s="2">
        <f t="shared" si="61"/>
        <v>0</v>
      </c>
      <c r="AE155" s="2">
        <f t="shared" si="62"/>
        <v>0</v>
      </c>
      <c r="AF155" s="2">
        <f t="shared" si="47"/>
        <v>0</v>
      </c>
      <c r="AG155" s="2">
        <f t="shared" si="48"/>
        <v>0</v>
      </c>
      <c r="AH155" s="2">
        <f t="shared" si="49"/>
        <v>1</v>
      </c>
      <c r="AI155" s="2">
        <f t="shared" si="50"/>
        <v>0</v>
      </c>
    </row>
    <row r="156" spans="1:35" ht="14.25" customHeight="1" x14ac:dyDescent="0.25">
      <c r="A156" s="34">
        <v>0</v>
      </c>
      <c r="B156" s="34">
        <v>2</v>
      </c>
      <c r="C156" s="34">
        <v>2</v>
      </c>
      <c r="D156" s="35" t="s">
        <v>713</v>
      </c>
      <c r="E156" s="35" t="s">
        <v>30</v>
      </c>
      <c r="F156" s="35" t="s">
        <v>715</v>
      </c>
      <c r="G156" s="35" t="s">
        <v>716</v>
      </c>
      <c r="H156" s="35" t="s">
        <v>165</v>
      </c>
      <c r="I156" s="34" t="s">
        <v>717</v>
      </c>
      <c r="J156" s="34">
        <v>99</v>
      </c>
      <c r="K156" s="34" t="s">
        <v>320</v>
      </c>
      <c r="L156" s="34" t="s">
        <v>335</v>
      </c>
      <c r="M156" s="35" t="s">
        <v>718</v>
      </c>
      <c r="N156" s="35" t="s">
        <v>898</v>
      </c>
      <c r="O156" s="36"/>
      <c r="P156" s="36"/>
      <c r="Q156" s="35"/>
      <c r="S156" s="2">
        <f t="shared" si="51"/>
        <v>0</v>
      </c>
      <c r="T156" s="2">
        <f t="shared" si="52"/>
        <v>0</v>
      </c>
      <c r="U156" s="2">
        <f t="shared" si="53"/>
        <v>0</v>
      </c>
      <c r="V156" s="2">
        <f t="shared" si="54"/>
        <v>0</v>
      </c>
      <c r="W156" s="2">
        <f t="shared" si="55"/>
        <v>0</v>
      </c>
      <c r="X156" s="2">
        <f t="shared" si="56"/>
        <v>0</v>
      </c>
      <c r="Y156" s="2">
        <f t="shared" si="57"/>
        <v>0</v>
      </c>
      <c r="Z156" s="2">
        <f t="shared" si="58"/>
        <v>0</v>
      </c>
      <c r="AA156" s="2">
        <f t="shared" si="59"/>
        <v>0</v>
      </c>
      <c r="AB156" s="2">
        <f t="shared" si="60"/>
        <v>0</v>
      </c>
      <c r="AD156" s="2">
        <f t="shared" si="61"/>
        <v>0</v>
      </c>
      <c r="AE156" s="2">
        <f t="shared" si="62"/>
        <v>0</v>
      </c>
      <c r="AF156" s="2">
        <f t="shared" si="47"/>
        <v>0</v>
      </c>
      <c r="AG156" s="2">
        <f t="shared" si="48"/>
        <v>0</v>
      </c>
      <c r="AH156" s="2">
        <f t="shared" si="49"/>
        <v>0</v>
      </c>
      <c r="AI156" s="2">
        <f t="shared" si="50"/>
        <v>1</v>
      </c>
    </row>
    <row r="157" spans="1:35" ht="14.25" customHeight="1" x14ac:dyDescent="0.25">
      <c r="A157" s="31">
        <v>0</v>
      </c>
      <c r="B157" s="31">
        <v>2</v>
      </c>
      <c r="C157" s="31">
        <v>2</v>
      </c>
      <c r="D157" s="32" t="s">
        <v>442</v>
      </c>
      <c r="E157" s="32" t="s">
        <v>443</v>
      </c>
      <c r="F157" s="32" t="s">
        <v>445</v>
      </c>
      <c r="G157" s="32" t="s">
        <v>93</v>
      </c>
      <c r="H157" s="32" t="s">
        <v>165</v>
      </c>
      <c r="I157" s="31" t="s">
        <v>444</v>
      </c>
      <c r="J157" s="31">
        <v>8</v>
      </c>
      <c r="K157" s="31" t="s">
        <v>318</v>
      </c>
      <c r="L157" s="31">
        <v>40</v>
      </c>
      <c r="M157" s="32" t="s">
        <v>887</v>
      </c>
      <c r="N157" s="32" t="s">
        <v>909</v>
      </c>
      <c r="O157" s="33">
        <v>1</v>
      </c>
      <c r="P157" s="33"/>
      <c r="Q157" s="32"/>
      <c r="S157" s="2">
        <f t="shared" si="51"/>
        <v>0</v>
      </c>
      <c r="T157" s="2">
        <f t="shared" si="52"/>
        <v>0</v>
      </c>
      <c r="U157" s="2">
        <f t="shared" si="53"/>
        <v>0</v>
      </c>
      <c r="V157" s="2">
        <f t="shared" si="54"/>
        <v>0</v>
      </c>
      <c r="W157" s="2">
        <f t="shared" si="55"/>
        <v>0</v>
      </c>
      <c r="X157" s="2">
        <f t="shared" si="56"/>
        <v>0</v>
      </c>
      <c r="Y157" s="2">
        <f t="shared" si="57"/>
        <v>0</v>
      </c>
      <c r="Z157" s="2">
        <f t="shared" si="58"/>
        <v>1</v>
      </c>
      <c r="AA157" s="2">
        <f t="shared" si="59"/>
        <v>0</v>
      </c>
      <c r="AB157" s="2">
        <f t="shared" si="60"/>
        <v>0</v>
      </c>
      <c r="AD157" s="2">
        <f t="shared" si="61"/>
        <v>0</v>
      </c>
      <c r="AE157" s="2">
        <f t="shared" si="62"/>
        <v>1</v>
      </c>
      <c r="AF157" s="2">
        <f t="shared" si="47"/>
        <v>0</v>
      </c>
      <c r="AG157" s="2">
        <f t="shared" si="48"/>
        <v>1</v>
      </c>
      <c r="AH157" s="2">
        <f t="shared" si="49"/>
        <v>0</v>
      </c>
      <c r="AI157" s="2">
        <f t="shared" si="50"/>
        <v>1</v>
      </c>
    </row>
    <row r="158" spans="1:35" ht="14.25" customHeight="1" x14ac:dyDescent="0.25">
      <c r="A158" s="34">
        <v>0</v>
      </c>
      <c r="B158" s="34">
        <v>2</v>
      </c>
      <c r="C158" s="34">
        <v>2</v>
      </c>
      <c r="D158" s="35" t="s">
        <v>815</v>
      </c>
      <c r="E158" s="35" t="s">
        <v>456</v>
      </c>
      <c r="F158" s="35" t="s">
        <v>794</v>
      </c>
      <c r="G158" s="35" t="s">
        <v>673</v>
      </c>
      <c r="H158" s="35" t="s">
        <v>165</v>
      </c>
      <c r="I158" s="34" t="s">
        <v>793</v>
      </c>
      <c r="J158" s="34">
        <v>99</v>
      </c>
      <c r="K158" s="34" t="s">
        <v>319</v>
      </c>
      <c r="L158" s="34">
        <v>20</v>
      </c>
      <c r="M158" s="35" t="s">
        <v>900</v>
      </c>
      <c r="N158" s="35" t="s">
        <v>902</v>
      </c>
      <c r="O158" s="36"/>
      <c r="P158" s="36"/>
      <c r="Q158" s="35"/>
      <c r="S158" s="2">
        <f t="shared" si="51"/>
        <v>0</v>
      </c>
      <c r="T158" s="2">
        <f t="shared" si="52"/>
        <v>0</v>
      </c>
      <c r="U158" s="2">
        <f t="shared" si="53"/>
        <v>0</v>
      </c>
      <c r="V158" s="2">
        <f t="shared" si="54"/>
        <v>0</v>
      </c>
      <c r="W158" s="2">
        <f t="shared" si="55"/>
        <v>0</v>
      </c>
      <c r="X158" s="2">
        <f t="shared" si="56"/>
        <v>0</v>
      </c>
      <c r="Y158" s="2">
        <f t="shared" si="57"/>
        <v>0</v>
      </c>
      <c r="Z158" s="2">
        <f t="shared" si="58"/>
        <v>0</v>
      </c>
      <c r="AA158" s="2">
        <f t="shared" si="59"/>
        <v>0</v>
      </c>
      <c r="AB158" s="2">
        <f t="shared" si="60"/>
        <v>0</v>
      </c>
      <c r="AD158" s="2">
        <f t="shared" si="61"/>
        <v>0</v>
      </c>
      <c r="AE158" s="2">
        <f t="shared" si="62"/>
        <v>0</v>
      </c>
      <c r="AF158" s="2">
        <f t="shared" si="47"/>
        <v>0</v>
      </c>
      <c r="AG158" s="2">
        <f t="shared" si="48"/>
        <v>0</v>
      </c>
      <c r="AH158" s="2">
        <f t="shared" si="49"/>
        <v>0</v>
      </c>
      <c r="AI158" s="2">
        <f t="shared" si="50"/>
        <v>1</v>
      </c>
    </row>
    <row r="159" spans="1:35" ht="14.25" customHeight="1" x14ac:dyDescent="0.25">
      <c r="A159" s="34">
        <v>0</v>
      </c>
      <c r="B159" s="34">
        <v>2</v>
      </c>
      <c r="C159" s="34">
        <v>2</v>
      </c>
      <c r="D159" s="35" t="s">
        <v>722</v>
      </c>
      <c r="E159" s="35" t="s">
        <v>819</v>
      </c>
      <c r="F159" s="35" t="s">
        <v>833</v>
      </c>
      <c r="G159" s="35" t="s">
        <v>137</v>
      </c>
      <c r="H159" s="35" t="s">
        <v>165</v>
      </c>
      <c r="I159" s="34" t="s">
        <v>723</v>
      </c>
      <c r="J159" s="34">
        <v>1</v>
      </c>
      <c r="K159" s="34" t="s">
        <v>318</v>
      </c>
      <c r="L159" s="34">
        <v>40</v>
      </c>
      <c r="M159" s="35" t="s">
        <v>888</v>
      </c>
      <c r="N159" s="35" t="s">
        <v>897</v>
      </c>
      <c r="O159" s="36"/>
      <c r="P159" s="36"/>
      <c r="Q159" s="35"/>
      <c r="S159" s="2">
        <f t="shared" si="51"/>
        <v>1</v>
      </c>
      <c r="T159" s="2">
        <f t="shared" si="52"/>
        <v>0</v>
      </c>
      <c r="U159" s="2">
        <f t="shared" si="53"/>
        <v>0</v>
      </c>
      <c r="V159" s="2">
        <f t="shared" si="54"/>
        <v>0</v>
      </c>
      <c r="W159" s="2">
        <f t="shared" si="55"/>
        <v>0</v>
      </c>
      <c r="X159" s="2">
        <f t="shared" si="56"/>
        <v>0</v>
      </c>
      <c r="Y159" s="2">
        <f t="shared" si="57"/>
        <v>0</v>
      </c>
      <c r="Z159" s="2">
        <f t="shared" si="58"/>
        <v>0</v>
      </c>
      <c r="AA159" s="2">
        <f t="shared" si="59"/>
        <v>0</v>
      </c>
      <c r="AB159" s="2">
        <f t="shared" si="60"/>
        <v>0</v>
      </c>
      <c r="AD159" s="2">
        <f t="shared" si="61"/>
        <v>0</v>
      </c>
      <c r="AE159" s="2">
        <f t="shared" si="62"/>
        <v>0</v>
      </c>
      <c r="AF159" s="2">
        <f t="shared" si="47"/>
        <v>0</v>
      </c>
      <c r="AG159" s="2">
        <f t="shared" si="48"/>
        <v>0</v>
      </c>
      <c r="AH159" s="2">
        <f t="shared" si="49"/>
        <v>0</v>
      </c>
      <c r="AI159" s="2">
        <f t="shared" si="50"/>
        <v>1</v>
      </c>
    </row>
    <row r="160" spans="1:35" ht="14.25" customHeight="1" x14ac:dyDescent="0.25">
      <c r="A160" s="28">
        <v>0</v>
      </c>
      <c r="B160" s="28">
        <v>2</v>
      </c>
      <c r="C160" s="28">
        <v>2</v>
      </c>
      <c r="D160" s="29" t="s">
        <v>466</v>
      </c>
      <c r="E160" s="29" t="s">
        <v>30</v>
      </c>
      <c r="F160" s="29" t="s">
        <v>424</v>
      </c>
      <c r="G160" s="29" t="s">
        <v>160</v>
      </c>
      <c r="H160" s="29" t="s">
        <v>165</v>
      </c>
      <c r="I160" s="28" t="s">
        <v>425</v>
      </c>
      <c r="J160" s="28">
        <v>1</v>
      </c>
      <c r="K160" s="28" t="s">
        <v>321</v>
      </c>
      <c r="L160" s="28" t="s">
        <v>40</v>
      </c>
      <c r="M160" s="29" t="s">
        <v>40</v>
      </c>
      <c r="N160" s="29"/>
      <c r="O160" s="30"/>
      <c r="P160" s="30">
        <v>1</v>
      </c>
      <c r="Q160" s="29"/>
      <c r="S160" s="2">
        <f t="shared" si="51"/>
        <v>1</v>
      </c>
      <c r="T160" s="2">
        <f t="shared" si="52"/>
        <v>0</v>
      </c>
      <c r="U160" s="2">
        <f t="shared" si="53"/>
        <v>0</v>
      </c>
      <c r="V160" s="2">
        <f t="shared" si="54"/>
        <v>0</v>
      </c>
      <c r="W160" s="2">
        <f t="shared" si="55"/>
        <v>0</v>
      </c>
      <c r="X160" s="2">
        <f t="shared" si="56"/>
        <v>0</v>
      </c>
      <c r="Y160" s="2">
        <f t="shared" si="57"/>
        <v>0</v>
      </c>
      <c r="Z160" s="2">
        <f t="shared" si="58"/>
        <v>0</v>
      </c>
      <c r="AA160" s="2">
        <f t="shared" si="59"/>
        <v>0</v>
      </c>
      <c r="AB160" s="2">
        <f t="shared" si="60"/>
        <v>0</v>
      </c>
      <c r="AD160" s="2">
        <f t="shared" si="61"/>
        <v>0</v>
      </c>
      <c r="AE160" s="2">
        <f t="shared" si="62"/>
        <v>0</v>
      </c>
      <c r="AF160" s="2">
        <f t="shared" si="47"/>
        <v>0</v>
      </c>
      <c r="AG160" s="2">
        <f t="shared" si="48"/>
        <v>0</v>
      </c>
      <c r="AH160" s="2">
        <f t="shared" si="49"/>
        <v>1</v>
      </c>
      <c r="AI160" s="2">
        <f t="shared" si="50"/>
        <v>0</v>
      </c>
    </row>
    <row r="161" spans="1:35" ht="14.25" customHeight="1" x14ac:dyDescent="0.25">
      <c r="A161" s="31">
        <v>0</v>
      </c>
      <c r="B161" s="31">
        <v>2</v>
      </c>
      <c r="C161" s="31">
        <v>3</v>
      </c>
      <c r="D161" s="32" t="s">
        <v>354</v>
      </c>
      <c r="E161" s="32" t="s">
        <v>83</v>
      </c>
      <c r="F161" s="32" t="s">
        <v>355</v>
      </c>
      <c r="G161" s="32" t="s">
        <v>370</v>
      </c>
      <c r="H161" s="32" t="s">
        <v>165</v>
      </c>
      <c r="I161" s="31" t="s">
        <v>356</v>
      </c>
      <c r="J161" s="31">
        <v>99</v>
      </c>
      <c r="K161" s="31" t="s">
        <v>321</v>
      </c>
      <c r="L161" s="31" t="s">
        <v>40</v>
      </c>
      <c r="M161" s="32" t="s">
        <v>40</v>
      </c>
      <c r="N161" s="32" t="s">
        <v>895</v>
      </c>
      <c r="O161" s="33">
        <v>1</v>
      </c>
      <c r="P161" s="33">
        <v>1</v>
      </c>
      <c r="Q161" s="32"/>
      <c r="S161" s="2">
        <f t="shared" si="51"/>
        <v>0</v>
      </c>
      <c r="T161" s="2">
        <f t="shared" si="52"/>
        <v>0</v>
      </c>
      <c r="U161" s="2">
        <f t="shared" si="53"/>
        <v>0</v>
      </c>
      <c r="V161" s="2">
        <f t="shared" si="54"/>
        <v>0</v>
      </c>
      <c r="W161" s="2">
        <f t="shared" si="55"/>
        <v>0</v>
      </c>
      <c r="X161" s="2">
        <f t="shared" si="56"/>
        <v>0</v>
      </c>
      <c r="Y161" s="2">
        <f t="shared" si="57"/>
        <v>0</v>
      </c>
      <c r="Z161" s="2">
        <f t="shared" si="58"/>
        <v>0</v>
      </c>
      <c r="AA161" s="2">
        <f t="shared" si="59"/>
        <v>0</v>
      </c>
      <c r="AB161" s="2">
        <f t="shared" si="60"/>
        <v>0</v>
      </c>
      <c r="AD161" s="2">
        <f t="shared" si="61"/>
        <v>1</v>
      </c>
      <c r="AE161" s="2">
        <f t="shared" si="62"/>
        <v>0</v>
      </c>
      <c r="AF161" s="2">
        <f t="shared" si="47"/>
        <v>1</v>
      </c>
      <c r="AG161" s="2">
        <f t="shared" si="48"/>
        <v>0</v>
      </c>
      <c r="AH161" s="2">
        <f t="shared" si="49"/>
        <v>1</v>
      </c>
      <c r="AI161" s="2">
        <f t="shared" si="50"/>
        <v>0</v>
      </c>
    </row>
    <row r="162" spans="1:35" ht="14.25" customHeight="1" x14ac:dyDescent="0.25">
      <c r="A162" s="31">
        <v>0</v>
      </c>
      <c r="B162" s="31">
        <v>2</v>
      </c>
      <c r="C162" s="31">
        <v>3</v>
      </c>
      <c r="D162" s="32" t="s">
        <v>801</v>
      </c>
      <c r="E162" s="32" t="s">
        <v>573</v>
      </c>
      <c r="F162" s="32" t="s">
        <v>957</v>
      </c>
      <c r="G162" s="32" t="s">
        <v>38</v>
      </c>
      <c r="H162" s="32" t="s">
        <v>165</v>
      </c>
      <c r="I162" s="31">
        <v>2799979385</v>
      </c>
      <c r="J162" s="31">
        <v>1</v>
      </c>
      <c r="K162" s="31" t="s">
        <v>318</v>
      </c>
      <c r="L162" s="31" t="s">
        <v>329</v>
      </c>
      <c r="M162" s="32" t="s">
        <v>270</v>
      </c>
      <c r="N162" s="32" t="s">
        <v>895</v>
      </c>
      <c r="O162" s="33">
        <v>1</v>
      </c>
      <c r="P162" s="33">
        <v>1</v>
      </c>
      <c r="Q162" s="32"/>
      <c r="S162" s="2">
        <f t="shared" si="51"/>
        <v>1</v>
      </c>
      <c r="T162" s="2">
        <f t="shared" si="52"/>
        <v>0</v>
      </c>
      <c r="U162" s="2">
        <f t="shared" si="53"/>
        <v>0</v>
      </c>
      <c r="V162" s="2">
        <f t="shared" si="54"/>
        <v>0</v>
      </c>
      <c r="W162" s="2">
        <f t="shared" si="55"/>
        <v>0</v>
      </c>
      <c r="X162" s="2">
        <f t="shared" si="56"/>
        <v>0</v>
      </c>
      <c r="Y162" s="2">
        <f t="shared" si="57"/>
        <v>0</v>
      </c>
      <c r="Z162" s="2">
        <f t="shared" si="58"/>
        <v>0</v>
      </c>
      <c r="AA162" s="2">
        <f t="shared" si="59"/>
        <v>0</v>
      </c>
      <c r="AB162" s="2">
        <f t="shared" si="60"/>
        <v>0</v>
      </c>
      <c r="AD162" s="2">
        <f t="shared" si="61"/>
        <v>1</v>
      </c>
      <c r="AE162" s="2">
        <f t="shared" si="62"/>
        <v>0</v>
      </c>
      <c r="AF162" s="2">
        <f t="shared" si="47"/>
        <v>1</v>
      </c>
      <c r="AG162" s="2">
        <f t="shared" si="48"/>
        <v>0</v>
      </c>
      <c r="AH162" s="2">
        <f t="shared" si="49"/>
        <v>1</v>
      </c>
      <c r="AI162" s="2">
        <f t="shared" si="50"/>
        <v>0</v>
      </c>
    </row>
    <row r="163" spans="1:35" ht="14.25" customHeight="1" x14ac:dyDescent="0.25">
      <c r="A163" s="31">
        <v>1</v>
      </c>
      <c r="B163" s="31">
        <v>2</v>
      </c>
      <c r="C163" s="31">
        <v>3</v>
      </c>
      <c r="D163" s="32" t="s">
        <v>801</v>
      </c>
      <c r="E163" s="32" t="s">
        <v>573</v>
      </c>
      <c r="F163" s="32" t="s">
        <v>824</v>
      </c>
      <c r="G163" s="32" t="s">
        <v>160</v>
      </c>
      <c r="H163" s="32" t="s">
        <v>165</v>
      </c>
      <c r="I163" s="31" t="s">
        <v>502</v>
      </c>
      <c r="J163" s="31">
        <v>1</v>
      </c>
      <c r="K163" s="31" t="s">
        <v>318</v>
      </c>
      <c r="L163" s="31" t="s">
        <v>329</v>
      </c>
      <c r="M163" s="32" t="s">
        <v>270</v>
      </c>
      <c r="N163" s="32" t="s">
        <v>895</v>
      </c>
      <c r="O163" s="33">
        <v>1</v>
      </c>
      <c r="P163" s="33">
        <v>1</v>
      </c>
      <c r="Q163" s="32"/>
      <c r="S163" s="2">
        <f t="shared" si="51"/>
        <v>1</v>
      </c>
      <c r="T163" s="2">
        <f t="shared" si="52"/>
        <v>0</v>
      </c>
      <c r="U163" s="2">
        <f t="shared" si="53"/>
        <v>0</v>
      </c>
      <c r="V163" s="2">
        <f t="shared" si="54"/>
        <v>0</v>
      </c>
      <c r="W163" s="2">
        <f t="shared" si="55"/>
        <v>0</v>
      </c>
      <c r="X163" s="2">
        <f t="shared" si="56"/>
        <v>0</v>
      </c>
      <c r="Y163" s="2">
        <f t="shared" si="57"/>
        <v>0</v>
      </c>
      <c r="Z163" s="2">
        <f t="shared" si="58"/>
        <v>0</v>
      </c>
      <c r="AA163" s="2">
        <f t="shared" si="59"/>
        <v>0</v>
      </c>
      <c r="AB163" s="2">
        <f t="shared" si="60"/>
        <v>0</v>
      </c>
      <c r="AD163" s="2">
        <f t="shared" si="61"/>
        <v>1</v>
      </c>
      <c r="AE163" s="2">
        <f t="shared" si="62"/>
        <v>0</v>
      </c>
      <c r="AF163" s="2">
        <f t="shared" si="47"/>
        <v>0</v>
      </c>
      <c r="AG163" s="2">
        <f t="shared" si="48"/>
        <v>0</v>
      </c>
      <c r="AH163" s="2">
        <f t="shared" si="49"/>
        <v>0</v>
      </c>
      <c r="AI163" s="2">
        <f t="shared" si="50"/>
        <v>0</v>
      </c>
    </row>
    <row r="164" spans="1:35" ht="14.25" customHeight="1" x14ac:dyDescent="0.25">
      <c r="A164" s="20">
        <v>0</v>
      </c>
      <c r="B164" s="20">
        <v>2</v>
      </c>
      <c r="C164" s="20">
        <v>3</v>
      </c>
      <c r="D164" s="21" t="s">
        <v>449</v>
      </c>
      <c r="E164" s="21" t="s">
        <v>450</v>
      </c>
      <c r="F164" s="21" t="s">
        <v>451</v>
      </c>
      <c r="G164" s="21" t="s">
        <v>107</v>
      </c>
      <c r="H164" s="21" t="s">
        <v>165</v>
      </c>
      <c r="I164" s="20" t="s">
        <v>452</v>
      </c>
      <c r="J164" s="20">
        <v>99</v>
      </c>
      <c r="K164" s="20" t="s">
        <v>378</v>
      </c>
      <c r="L164" s="20">
        <v>10</v>
      </c>
      <c r="M164" s="21" t="s">
        <v>601</v>
      </c>
      <c r="N164" s="21"/>
      <c r="O164" s="7"/>
      <c r="P164" s="7"/>
      <c r="Q164" s="21"/>
      <c r="S164" s="2">
        <f t="shared" si="51"/>
        <v>0</v>
      </c>
      <c r="T164" s="2">
        <f t="shared" si="52"/>
        <v>0</v>
      </c>
      <c r="U164" s="2">
        <f t="shared" si="53"/>
        <v>0</v>
      </c>
      <c r="V164" s="2">
        <f t="shared" si="54"/>
        <v>0</v>
      </c>
      <c r="W164" s="2">
        <f t="shared" si="55"/>
        <v>0</v>
      </c>
      <c r="X164" s="2">
        <f t="shared" si="56"/>
        <v>0</v>
      </c>
      <c r="Y164" s="2">
        <f t="shared" si="57"/>
        <v>0</v>
      </c>
      <c r="Z164" s="2">
        <f t="shared" si="58"/>
        <v>0</v>
      </c>
      <c r="AA164" s="2">
        <f t="shared" si="59"/>
        <v>0</v>
      </c>
      <c r="AB164" s="2">
        <f t="shared" si="60"/>
        <v>0</v>
      </c>
      <c r="AD164" s="2">
        <f t="shared" si="61"/>
        <v>0</v>
      </c>
      <c r="AE164" s="2">
        <f t="shared" si="62"/>
        <v>0</v>
      </c>
      <c r="AF164" s="2">
        <f t="shared" si="47"/>
        <v>0</v>
      </c>
      <c r="AG164" s="2">
        <f t="shared" si="48"/>
        <v>0</v>
      </c>
      <c r="AH164" s="2">
        <f t="shared" si="49"/>
        <v>0</v>
      </c>
      <c r="AI164" s="2">
        <f t="shared" si="50"/>
        <v>1</v>
      </c>
    </row>
    <row r="165" spans="1:35" ht="14.25" customHeight="1" x14ac:dyDescent="0.25">
      <c r="A165" s="31">
        <v>0</v>
      </c>
      <c r="B165" s="31">
        <v>2</v>
      </c>
      <c r="C165" s="31">
        <v>3</v>
      </c>
      <c r="D165" s="32" t="s">
        <v>48</v>
      </c>
      <c r="E165" s="32" t="s">
        <v>83</v>
      </c>
      <c r="F165" s="32" t="s">
        <v>100</v>
      </c>
      <c r="G165" s="32" t="s">
        <v>96</v>
      </c>
      <c r="H165" s="32" t="s">
        <v>165</v>
      </c>
      <c r="I165" s="31" t="s">
        <v>168</v>
      </c>
      <c r="J165" s="31">
        <v>3</v>
      </c>
      <c r="K165" s="31" t="s">
        <v>321</v>
      </c>
      <c r="L165" s="31" t="s">
        <v>329</v>
      </c>
      <c r="M165" s="32" t="s">
        <v>270</v>
      </c>
      <c r="N165" s="32" t="s">
        <v>895</v>
      </c>
      <c r="O165" s="33">
        <v>1</v>
      </c>
      <c r="P165" s="33">
        <v>1</v>
      </c>
      <c r="Q165" s="32"/>
      <c r="S165" s="2">
        <f t="shared" si="51"/>
        <v>0</v>
      </c>
      <c r="T165" s="2">
        <f t="shared" si="52"/>
        <v>0</v>
      </c>
      <c r="U165" s="2">
        <f t="shared" si="53"/>
        <v>1</v>
      </c>
      <c r="V165" s="2">
        <f t="shared" si="54"/>
        <v>0</v>
      </c>
      <c r="W165" s="2">
        <f t="shared" si="55"/>
        <v>0</v>
      </c>
      <c r="X165" s="2">
        <f t="shared" si="56"/>
        <v>0</v>
      </c>
      <c r="Y165" s="2">
        <f t="shared" si="57"/>
        <v>0</v>
      </c>
      <c r="Z165" s="2">
        <f t="shared" si="58"/>
        <v>0</v>
      </c>
      <c r="AA165" s="2">
        <f t="shared" si="59"/>
        <v>0</v>
      </c>
      <c r="AB165" s="2">
        <f t="shared" si="60"/>
        <v>0</v>
      </c>
      <c r="AD165" s="2">
        <f t="shared" si="61"/>
        <v>1</v>
      </c>
      <c r="AE165" s="2">
        <f t="shared" si="62"/>
        <v>0</v>
      </c>
      <c r="AF165" s="2">
        <f t="shared" si="47"/>
        <v>1</v>
      </c>
      <c r="AG165" s="2">
        <f t="shared" si="48"/>
        <v>0</v>
      </c>
      <c r="AH165" s="2">
        <f t="shared" si="49"/>
        <v>1</v>
      </c>
      <c r="AI165" s="2">
        <f t="shared" si="50"/>
        <v>0</v>
      </c>
    </row>
    <row r="166" spans="1:35" ht="14.25" customHeight="1" x14ac:dyDescent="0.25">
      <c r="A166" s="31">
        <v>0</v>
      </c>
      <c r="B166" s="31">
        <v>2</v>
      </c>
      <c r="C166" s="31">
        <v>3</v>
      </c>
      <c r="D166" s="32" t="s">
        <v>933</v>
      </c>
      <c r="E166" s="32"/>
      <c r="F166" s="32" t="s">
        <v>934</v>
      </c>
      <c r="G166" s="32"/>
      <c r="H166" s="32" t="s">
        <v>165</v>
      </c>
      <c r="I166" s="31" t="s">
        <v>935</v>
      </c>
      <c r="J166" s="31"/>
      <c r="K166" s="31" t="s">
        <v>378</v>
      </c>
      <c r="L166" s="31"/>
      <c r="M166" s="32"/>
      <c r="N166" s="32" t="s">
        <v>895</v>
      </c>
      <c r="O166" s="33">
        <v>1</v>
      </c>
      <c r="P166" s="33">
        <v>1</v>
      </c>
      <c r="Q166" s="32"/>
      <c r="S166" s="2">
        <f t="shared" si="51"/>
        <v>0</v>
      </c>
      <c r="T166" s="2">
        <f t="shared" si="52"/>
        <v>0</v>
      </c>
      <c r="U166" s="2">
        <f t="shared" si="53"/>
        <v>0</v>
      </c>
      <c r="V166" s="2">
        <f t="shared" si="54"/>
        <v>0</v>
      </c>
      <c r="W166" s="2">
        <f t="shared" si="55"/>
        <v>0</v>
      </c>
      <c r="X166" s="2">
        <f t="shared" si="56"/>
        <v>0</v>
      </c>
      <c r="Y166" s="2">
        <f t="shared" si="57"/>
        <v>0</v>
      </c>
      <c r="Z166" s="2">
        <f t="shared" si="58"/>
        <v>0</v>
      </c>
      <c r="AA166" s="2">
        <f t="shared" si="59"/>
        <v>0</v>
      </c>
      <c r="AB166" s="2">
        <f t="shared" si="60"/>
        <v>0</v>
      </c>
      <c r="AD166" s="2">
        <f t="shared" si="61"/>
        <v>1</v>
      </c>
      <c r="AE166" s="2">
        <f t="shared" si="62"/>
        <v>0</v>
      </c>
      <c r="AF166" s="2">
        <f t="shared" si="47"/>
        <v>1</v>
      </c>
      <c r="AG166" s="2">
        <f t="shared" si="48"/>
        <v>0</v>
      </c>
      <c r="AH166" s="2">
        <f t="shared" si="49"/>
        <v>1</v>
      </c>
      <c r="AI166" s="2">
        <f t="shared" si="50"/>
        <v>0</v>
      </c>
    </row>
    <row r="167" spans="1:35" ht="14.25" customHeight="1" x14ac:dyDescent="0.25">
      <c r="A167" s="20">
        <v>0</v>
      </c>
      <c r="B167" s="20">
        <v>2</v>
      </c>
      <c r="C167" s="20">
        <v>3</v>
      </c>
      <c r="D167" s="21" t="s">
        <v>654</v>
      </c>
      <c r="E167" s="21" t="s">
        <v>37</v>
      </c>
      <c r="F167" s="21" t="s">
        <v>655</v>
      </c>
      <c r="G167" s="21" t="s">
        <v>117</v>
      </c>
      <c r="H167" s="21" t="s">
        <v>165</v>
      </c>
      <c r="I167" s="20" t="s">
        <v>656</v>
      </c>
      <c r="J167" s="20">
        <v>1</v>
      </c>
      <c r="K167" s="20" t="s">
        <v>319</v>
      </c>
      <c r="L167" s="20" t="s">
        <v>329</v>
      </c>
      <c r="M167" s="21" t="s">
        <v>270</v>
      </c>
      <c r="N167" s="21"/>
      <c r="O167" s="7"/>
      <c r="P167" s="7"/>
      <c r="Q167" s="21"/>
      <c r="S167" s="2">
        <f t="shared" si="51"/>
        <v>1</v>
      </c>
      <c r="T167" s="2">
        <f t="shared" si="52"/>
        <v>0</v>
      </c>
      <c r="U167" s="2">
        <f t="shared" si="53"/>
        <v>0</v>
      </c>
      <c r="V167" s="2">
        <f t="shared" si="54"/>
        <v>0</v>
      </c>
      <c r="W167" s="2">
        <f t="shared" si="55"/>
        <v>0</v>
      </c>
      <c r="X167" s="2">
        <f t="shared" si="56"/>
        <v>0</v>
      </c>
      <c r="Y167" s="2">
        <f t="shared" si="57"/>
        <v>0</v>
      </c>
      <c r="Z167" s="2">
        <f t="shared" si="58"/>
        <v>0</v>
      </c>
      <c r="AA167" s="2">
        <f t="shared" si="59"/>
        <v>0</v>
      </c>
      <c r="AB167" s="2">
        <f t="shared" si="60"/>
        <v>0</v>
      </c>
      <c r="AD167" s="2">
        <f t="shared" si="61"/>
        <v>0</v>
      </c>
      <c r="AE167" s="2">
        <f t="shared" si="62"/>
        <v>0</v>
      </c>
      <c r="AF167" s="2">
        <f t="shared" si="47"/>
        <v>0</v>
      </c>
      <c r="AG167" s="2">
        <f t="shared" si="48"/>
        <v>0</v>
      </c>
      <c r="AH167" s="2">
        <f t="shared" si="49"/>
        <v>0</v>
      </c>
      <c r="AI167" s="2">
        <f t="shared" si="50"/>
        <v>1</v>
      </c>
    </row>
    <row r="168" spans="1:35" ht="14.25" customHeight="1" x14ac:dyDescent="0.25">
      <c r="A168" s="34">
        <v>0</v>
      </c>
      <c r="B168" s="34">
        <v>2</v>
      </c>
      <c r="C168" s="34">
        <v>4</v>
      </c>
      <c r="D168" s="35" t="s">
        <v>546</v>
      </c>
      <c r="E168" s="35" t="s">
        <v>29</v>
      </c>
      <c r="F168" s="35" t="s">
        <v>407</v>
      </c>
      <c r="G168" s="35" t="s">
        <v>405</v>
      </c>
      <c r="H168" s="35" t="s">
        <v>165</v>
      </c>
      <c r="I168" s="34" t="s">
        <v>547</v>
      </c>
      <c r="J168" s="34">
        <v>99</v>
      </c>
      <c r="K168" s="34" t="s">
        <v>378</v>
      </c>
      <c r="L168" s="34">
        <v>35</v>
      </c>
      <c r="M168" s="35" t="s">
        <v>928</v>
      </c>
      <c r="N168" s="35" t="s">
        <v>930</v>
      </c>
      <c r="O168" s="36"/>
      <c r="P168" s="36"/>
      <c r="Q168" s="35"/>
      <c r="S168" s="2">
        <f t="shared" si="51"/>
        <v>0</v>
      </c>
      <c r="T168" s="2">
        <f t="shared" si="52"/>
        <v>0</v>
      </c>
      <c r="U168" s="2">
        <f t="shared" si="53"/>
        <v>0</v>
      </c>
      <c r="V168" s="2">
        <f t="shared" si="54"/>
        <v>0</v>
      </c>
      <c r="W168" s="2">
        <f t="shared" si="55"/>
        <v>0</v>
      </c>
      <c r="X168" s="2">
        <f t="shared" si="56"/>
        <v>0</v>
      </c>
      <c r="Y168" s="2">
        <f t="shared" si="57"/>
        <v>0</v>
      </c>
      <c r="Z168" s="2">
        <f t="shared" si="58"/>
        <v>0</v>
      </c>
      <c r="AA168" s="2">
        <f t="shared" si="59"/>
        <v>0</v>
      </c>
      <c r="AB168" s="2">
        <f t="shared" si="60"/>
        <v>0</v>
      </c>
      <c r="AD168" s="2">
        <f t="shared" si="61"/>
        <v>0</v>
      </c>
      <c r="AE168" s="2">
        <f t="shared" si="62"/>
        <v>0</v>
      </c>
      <c r="AF168" s="2">
        <f t="shared" si="47"/>
        <v>0</v>
      </c>
      <c r="AG168" s="2">
        <f t="shared" si="48"/>
        <v>0</v>
      </c>
      <c r="AH168" s="2">
        <f t="shared" si="49"/>
        <v>0</v>
      </c>
      <c r="AI168" s="2">
        <f t="shared" si="50"/>
        <v>1</v>
      </c>
    </row>
    <row r="169" spans="1:35" ht="14.25" customHeight="1" x14ac:dyDescent="0.25">
      <c r="A169" s="34">
        <v>0</v>
      </c>
      <c r="B169" s="34">
        <v>2</v>
      </c>
      <c r="C169" s="34">
        <v>4</v>
      </c>
      <c r="D169" s="35" t="s">
        <v>62</v>
      </c>
      <c r="E169" s="35" t="s">
        <v>36</v>
      </c>
      <c r="F169" s="35" t="s">
        <v>134</v>
      </c>
      <c r="G169" s="35" t="s">
        <v>40</v>
      </c>
      <c r="H169" s="35" t="s">
        <v>165</v>
      </c>
      <c r="I169" s="34" t="s">
        <v>183</v>
      </c>
      <c r="J169" s="34">
        <v>4</v>
      </c>
      <c r="K169" s="34" t="s">
        <v>320</v>
      </c>
      <c r="L169" s="34" t="s">
        <v>855</v>
      </c>
      <c r="M169" s="35" t="s">
        <v>747</v>
      </c>
      <c r="N169" s="35" t="s">
        <v>931</v>
      </c>
      <c r="O169" s="36"/>
      <c r="P169" s="36"/>
      <c r="Q169" s="35"/>
      <c r="S169" s="2">
        <f t="shared" si="51"/>
        <v>0</v>
      </c>
      <c r="T169" s="2">
        <f t="shared" si="52"/>
        <v>0</v>
      </c>
      <c r="U169" s="2">
        <f t="shared" si="53"/>
        <v>0</v>
      </c>
      <c r="V169" s="2">
        <f t="shared" si="54"/>
        <v>1</v>
      </c>
      <c r="W169" s="2">
        <f t="shared" si="55"/>
        <v>0</v>
      </c>
      <c r="X169" s="2">
        <f t="shared" si="56"/>
        <v>0</v>
      </c>
      <c r="Y169" s="2">
        <f t="shared" si="57"/>
        <v>0</v>
      </c>
      <c r="Z169" s="2">
        <f t="shared" si="58"/>
        <v>0</v>
      </c>
      <c r="AA169" s="2">
        <f t="shared" si="59"/>
        <v>0</v>
      </c>
      <c r="AB169" s="2">
        <f t="shared" si="60"/>
        <v>0</v>
      </c>
      <c r="AD169" s="2">
        <f t="shared" si="61"/>
        <v>0</v>
      </c>
      <c r="AE169" s="2">
        <f t="shared" si="62"/>
        <v>0</v>
      </c>
      <c r="AF169" s="2">
        <f t="shared" si="47"/>
        <v>0</v>
      </c>
      <c r="AG169" s="2">
        <f t="shared" si="48"/>
        <v>0</v>
      </c>
      <c r="AH169" s="2">
        <f t="shared" si="49"/>
        <v>0</v>
      </c>
      <c r="AI169" s="2">
        <f t="shared" si="50"/>
        <v>1</v>
      </c>
    </row>
    <row r="170" spans="1:35" ht="14.25" customHeight="1" x14ac:dyDescent="0.25">
      <c r="A170" s="34">
        <v>0</v>
      </c>
      <c r="B170" s="34">
        <v>2</v>
      </c>
      <c r="C170" s="34">
        <v>4</v>
      </c>
      <c r="D170" s="35" t="s">
        <v>65</v>
      </c>
      <c r="E170" s="35" t="s">
        <v>88</v>
      </c>
      <c r="F170" s="35" t="s">
        <v>141</v>
      </c>
      <c r="G170" s="35" t="s">
        <v>140</v>
      </c>
      <c r="H170" s="35" t="s">
        <v>165</v>
      </c>
      <c r="I170" s="34" t="s">
        <v>186</v>
      </c>
      <c r="J170" s="34">
        <v>99</v>
      </c>
      <c r="K170" s="34" t="s">
        <v>320</v>
      </c>
      <c r="L170" s="34" t="s">
        <v>338</v>
      </c>
      <c r="M170" s="35" t="s">
        <v>205</v>
      </c>
      <c r="N170" s="35" t="s">
        <v>897</v>
      </c>
      <c r="O170" s="36"/>
      <c r="P170" s="36"/>
      <c r="Q170" s="35"/>
      <c r="S170" s="2">
        <f t="shared" si="51"/>
        <v>0</v>
      </c>
      <c r="T170" s="2">
        <f t="shared" si="52"/>
        <v>0</v>
      </c>
      <c r="U170" s="2">
        <f t="shared" si="53"/>
        <v>0</v>
      </c>
      <c r="V170" s="2">
        <f t="shared" si="54"/>
        <v>0</v>
      </c>
      <c r="W170" s="2">
        <f t="shared" si="55"/>
        <v>0</v>
      </c>
      <c r="X170" s="2">
        <f t="shared" si="56"/>
        <v>0</v>
      </c>
      <c r="Y170" s="2">
        <f t="shared" si="57"/>
        <v>0</v>
      </c>
      <c r="Z170" s="2">
        <f t="shared" si="58"/>
        <v>0</v>
      </c>
      <c r="AA170" s="2">
        <f t="shared" si="59"/>
        <v>0</v>
      </c>
      <c r="AB170" s="2">
        <f t="shared" si="60"/>
        <v>0</v>
      </c>
      <c r="AD170" s="2">
        <f t="shared" si="61"/>
        <v>0</v>
      </c>
      <c r="AE170" s="2">
        <f t="shared" si="62"/>
        <v>0</v>
      </c>
      <c r="AF170" s="2">
        <f t="shared" si="47"/>
        <v>0</v>
      </c>
      <c r="AG170" s="2">
        <f t="shared" si="48"/>
        <v>0</v>
      </c>
      <c r="AH170" s="2">
        <f t="shared" si="49"/>
        <v>0</v>
      </c>
      <c r="AI170" s="2">
        <f t="shared" si="50"/>
        <v>1</v>
      </c>
    </row>
    <row r="171" spans="1:35" ht="14.25" customHeight="1" x14ac:dyDescent="0.25">
      <c r="A171" s="34">
        <v>0</v>
      </c>
      <c r="B171" s="34">
        <v>2</v>
      </c>
      <c r="C171" s="34">
        <v>4</v>
      </c>
      <c r="D171" s="35" t="s">
        <v>81</v>
      </c>
      <c r="E171" s="35" t="s">
        <v>36</v>
      </c>
      <c r="F171" s="35" t="s">
        <v>367</v>
      </c>
      <c r="G171" s="35" t="s">
        <v>642</v>
      </c>
      <c r="H171" s="35" t="s">
        <v>165</v>
      </c>
      <c r="I171" s="34" t="s">
        <v>204</v>
      </c>
      <c r="J171" s="34">
        <v>4</v>
      </c>
      <c r="K171" s="34" t="s">
        <v>318</v>
      </c>
      <c r="L171" s="34" t="s">
        <v>856</v>
      </c>
      <c r="M171" s="35" t="s">
        <v>748</v>
      </c>
      <c r="N171" s="35" t="s">
        <v>931</v>
      </c>
      <c r="O171" s="36"/>
      <c r="P171" s="36"/>
      <c r="Q171" s="35"/>
      <c r="S171" s="2">
        <f t="shared" si="51"/>
        <v>0</v>
      </c>
      <c r="T171" s="2">
        <f t="shared" si="52"/>
        <v>0</v>
      </c>
      <c r="U171" s="2">
        <f t="shared" si="53"/>
        <v>0</v>
      </c>
      <c r="V171" s="2">
        <f t="shared" si="54"/>
        <v>1</v>
      </c>
      <c r="W171" s="2">
        <f t="shared" si="55"/>
        <v>0</v>
      </c>
      <c r="X171" s="2">
        <f t="shared" si="56"/>
        <v>0</v>
      </c>
      <c r="Y171" s="2">
        <f t="shared" si="57"/>
        <v>0</v>
      </c>
      <c r="Z171" s="2">
        <f t="shared" si="58"/>
        <v>0</v>
      </c>
      <c r="AA171" s="2">
        <f t="shared" si="59"/>
        <v>0</v>
      </c>
      <c r="AB171" s="2">
        <f t="shared" si="60"/>
        <v>0</v>
      </c>
      <c r="AD171" s="2">
        <f t="shared" si="61"/>
        <v>0</v>
      </c>
      <c r="AE171" s="2">
        <f t="shared" si="62"/>
        <v>0</v>
      </c>
      <c r="AF171" s="2">
        <f t="shared" si="47"/>
        <v>0</v>
      </c>
      <c r="AG171" s="2">
        <f t="shared" si="48"/>
        <v>0</v>
      </c>
      <c r="AH171" s="2">
        <f t="shared" si="49"/>
        <v>0</v>
      </c>
      <c r="AI171" s="2">
        <f t="shared" si="50"/>
        <v>1</v>
      </c>
    </row>
    <row r="172" spans="1:35" ht="14.25" customHeight="1" x14ac:dyDescent="0.25">
      <c r="A172" s="34">
        <v>1</v>
      </c>
      <c r="B172" s="34">
        <v>2</v>
      </c>
      <c r="C172" s="34">
        <v>4</v>
      </c>
      <c r="D172" s="35" t="s">
        <v>81</v>
      </c>
      <c r="E172" s="35" t="s">
        <v>36</v>
      </c>
      <c r="F172" s="35" t="s">
        <v>164</v>
      </c>
      <c r="G172" s="35" t="s">
        <v>130</v>
      </c>
      <c r="H172" s="35" t="s">
        <v>165</v>
      </c>
      <c r="I172" s="34" t="s">
        <v>204</v>
      </c>
      <c r="J172" s="34">
        <v>10</v>
      </c>
      <c r="K172" s="34" t="s">
        <v>318</v>
      </c>
      <c r="L172" s="34" t="s">
        <v>856</v>
      </c>
      <c r="M172" s="35" t="s">
        <v>748</v>
      </c>
      <c r="N172" s="35" t="s">
        <v>931</v>
      </c>
      <c r="O172" s="36"/>
      <c r="P172" s="36"/>
      <c r="Q172" s="35"/>
      <c r="S172" s="2">
        <f t="shared" si="51"/>
        <v>0</v>
      </c>
      <c r="T172" s="2">
        <f t="shared" si="52"/>
        <v>0</v>
      </c>
      <c r="U172" s="2">
        <f t="shared" si="53"/>
        <v>0</v>
      </c>
      <c r="V172" s="2">
        <f t="shared" si="54"/>
        <v>0</v>
      </c>
      <c r="W172" s="2">
        <f t="shared" si="55"/>
        <v>0</v>
      </c>
      <c r="X172" s="2">
        <f t="shared" si="56"/>
        <v>0</v>
      </c>
      <c r="Y172" s="2">
        <f t="shared" si="57"/>
        <v>0</v>
      </c>
      <c r="Z172" s="2">
        <f t="shared" si="58"/>
        <v>0</v>
      </c>
      <c r="AA172" s="2">
        <f t="shared" si="59"/>
        <v>0</v>
      </c>
      <c r="AB172" s="2">
        <f t="shared" si="60"/>
        <v>1</v>
      </c>
      <c r="AD172" s="2">
        <f t="shared" si="61"/>
        <v>0</v>
      </c>
      <c r="AE172" s="2">
        <f t="shared" si="62"/>
        <v>0</v>
      </c>
      <c r="AF172" s="2">
        <f t="shared" si="47"/>
        <v>0</v>
      </c>
      <c r="AG172" s="2">
        <f t="shared" si="48"/>
        <v>0</v>
      </c>
      <c r="AH172" s="2">
        <f t="shared" si="49"/>
        <v>0</v>
      </c>
      <c r="AI172" s="2">
        <f t="shared" si="50"/>
        <v>0</v>
      </c>
    </row>
    <row r="173" spans="1:35" ht="14.25" customHeight="1" x14ac:dyDescent="0.25">
      <c r="A173" s="34">
        <v>1</v>
      </c>
      <c r="B173" s="34">
        <v>2</v>
      </c>
      <c r="C173" s="34">
        <v>4</v>
      </c>
      <c r="D173" s="35" t="s">
        <v>81</v>
      </c>
      <c r="E173" s="35" t="s">
        <v>36</v>
      </c>
      <c r="F173" s="35" t="s">
        <v>802</v>
      </c>
      <c r="G173" s="35" t="s">
        <v>107</v>
      </c>
      <c r="H173" s="35" t="s">
        <v>165</v>
      </c>
      <c r="I173" s="34" t="s">
        <v>803</v>
      </c>
      <c r="J173" s="34">
        <v>99</v>
      </c>
      <c r="K173" s="34" t="s">
        <v>318</v>
      </c>
      <c r="L173" s="34" t="s">
        <v>856</v>
      </c>
      <c r="M173" s="35" t="s">
        <v>748</v>
      </c>
      <c r="N173" s="35" t="s">
        <v>931</v>
      </c>
      <c r="O173" s="36"/>
      <c r="P173" s="36"/>
      <c r="Q173" s="35"/>
      <c r="S173" s="2">
        <f t="shared" si="51"/>
        <v>0</v>
      </c>
      <c r="T173" s="2">
        <f t="shared" si="52"/>
        <v>0</v>
      </c>
      <c r="U173" s="2">
        <f t="shared" si="53"/>
        <v>0</v>
      </c>
      <c r="V173" s="2">
        <f t="shared" si="54"/>
        <v>0</v>
      </c>
      <c r="W173" s="2">
        <f t="shared" si="55"/>
        <v>0</v>
      </c>
      <c r="X173" s="2">
        <f t="shared" si="56"/>
        <v>0</v>
      </c>
      <c r="Y173" s="2">
        <f t="shared" si="57"/>
        <v>0</v>
      </c>
      <c r="Z173" s="2">
        <f t="shared" si="58"/>
        <v>0</v>
      </c>
      <c r="AA173" s="2">
        <f t="shared" si="59"/>
        <v>0</v>
      </c>
      <c r="AB173" s="2">
        <f t="shared" si="60"/>
        <v>0</v>
      </c>
      <c r="AD173" s="2">
        <f t="shared" si="61"/>
        <v>0</v>
      </c>
      <c r="AE173" s="2">
        <f t="shared" si="62"/>
        <v>0</v>
      </c>
      <c r="AF173" s="2">
        <f t="shared" si="47"/>
        <v>0</v>
      </c>
      <c r="AG173" s="2">
        <f t="shared" si="48"/>
        <v>0</v>
      </c>
      <c r="AH173" s="2">
        <f t="shared" si="49"/>
        <v>0</v>
      </c>
      <c r="AI173" s="2">
        <f t="shared" si="50"/>
        <v>0</v>
      </c>
    </row>
    <row r="174" spans="1:35" ht="14.25" customHeight="1" x14ac:dyDescent="0.25">
      <c r="A174" s="20">
        <v>0</v>
      </c>
      <c r="B174" s="20">
        <v>2</v>
      </c>
      <c r="C174" s="20">
        <v>4</v>
      </c>
      <c r="D174" s="21" t="s">
        <v>288</v>
      </c>
      <c r="E174" s="21" t="s">
        <v>85</v>
      </c>
      <c r="F174" s="21" t="s">
        <v>368</v>
      </c>
      <c r="G174" s="21" t="s">
        <v>308</v>
      </c>
      <c r="H174" s="21" t="s">
        <v>165</v>
      </c>
      <c r="I174" s="20" t="s">
        <v>289</v>
      </c>
      <c r="J174" s="20">
        <v>6</v>
      </c>
      <c r="K174" s="20" t="s">
        <v>319</v>
      </c>
      <c r="L174" s="20">
        <v>30</v>
      </c>
      <c r="M174" s="40" t="s">
        <v>905</v>
      </c>
      <c r="N174" s="21"/>
      <c r="O174" s="7"/>
      <c r="P174" s="7"/>
      <c r="Q174" s="21"/>
      <c r="S174" s="2">
        <f t="shared" si="51"/>
        <v>0</v>
      </c>
      <c r="T174" s="2">
        <f t="shared" si="52"/>
        <v>0</v>
      </c>
      <c r="U174" s="2">
        <f t="shared" si="53"/>
        <v>0</v>
      </c>
      <c r="V174" s="2">
        <f t="shared" si="54"/>
        <v>0</v>
      </c>
      <c r="W174" s="2">
        <f t="shared" si="55"/>
        <v>0</v>
      </c>
      <c r="X174" s="2">
        <f t="shared" si="56"/>
        <v>1</v>
      </c>
      <c r="Y174" s="2">
        <f t="shared" si="57"/>
        <v>0</v>
      </c>
      <c r="Z174" s="2">
        <f t="shared" si="58"/>
        <v>0</v>
      </c>
      <c r="AA174" s="2">
        <f t="shared" si="59"/>
        <v>0</v>
      </c>
      <c r="AB174" s="2">
        <f t="shared" si="60"/>
        <v>0</v>
      </c>
      <c r="AD174" s="2">
        <f t="shared" si="61"/>
        <v>0</v>
      </c>
      <c r="AE174" s="2">
        <f t="shared" si="62"/>
        <v>0</v>
      </c>
      <c r="AF174" s="2">
        <f t="shared" si="47"/>
        <v>0</v>
      </c>
      <c r="AG174" s="2">
        <f t="shared" si="48"/>
        <v>0</v>
      </c>
      <c r="AH174" s="2">
        <f t="shared" si="49"/>
        <v>0</v>
      </c>
      <c r="AI174" s="2">
        <f t="shared" si="50"/>
        <v>1</v>
      </c>
    </row>
    <row r="175" spans="1:35" ht="14.25" customHeight="1" x14ac:dyDescent="0.25">
      <c r="A175" s="34">
        <v>0</v>
      </c>
      <c r="B175" s="34">
        <v>2</v>
      </c>
      <c r="C175" s="34">
        <v>4</v>
      </c>
      <c r="D175" s="35" t="s">
        <v>567</v>
      </c>
      <c r="E175" s="35" t="s">
        <v>36</v>
      </c>
      <c r="F175" s="35" t="s">
        <v>529</v>
      </c>
      <c r="G175" s="35" t="s">
        <v>103</v>
      </c>
      <c r="H175" s="35" t="s">
        <v>165</v>
      </c>
      <c r="I175" s="34" t="s">
        <v>530</v>
      </c>
      <c r="J175" s="34">
        <v>6</v>
      </c>
      <c r="K175" s="34" t="s">
        <v>318</v>
      </c>
      <c r="L175" s="34">
        <v>35</v>
      </c>
      <c r="M175" s="35" t="s">
        <v>699</v>
      </c>
      <c r="N175" s="35" t="s">
        <v>930</v>
      </c>
      <c r="O175" s="36"/>
      <c r="P175" s="36"/>
      <c r="Q175" s="35"/>
      <c r="S175" s="2">
        <f t="shared" si="51"/>
        <v>0</v>
      </c>
      <c r="T175" s="2">
        <f t="shared" si="52"/>
        <v>0</v>
      </c>
      <c r="U175" s="2">
        <f t="shared" si="53"/>
        <v>0</v>
      </c>
      <c r="V175" s="2">
        <f t="shared" si="54"/>
        <v>0</v>
      </c>
      <c r="W175" s="2">
        <f t="shared" si="55"/>
        <v>0</v>
      </c>
      <c r="X175" s="2">
        <f t="shared" si="56"/>
        <v>1</v>
      </c>
      <c r="Y175" s="2">
        <f t="shared" si="57"/>
        <v>0</v>
      </c>
      <c r="Z175" s="2">
        <f t="shared" si="58"/>
        <v>0</v>
      </c>
      <c r="AA175" s="2">
        <f t="shared" si="59"/>
        <v>0</v>
      </c>
      <c r="AB175" s="2">
        <f t="shared" si="60"/>
        <v>0</v>
      </c>
      <c r="AD175" s="2">
        <f t="shared" si="61"/>
        <v>0</v>
      </c>
      <c r="AE175" s="2">
        <f t="shared" si="62"/>
        <v>0</v>
      </c>
      <c r="AF175" s="2">
        <f t="shared" si="47"/>
        <v>0</v>
      </c>
      <c r="AG175" s="2">
        <f t="shared" si="48"/>
        <v>0</v>
      </c>
      <c r="AH175" s="2">
        <f t="shared" si="49"/>
        <v>0</v>
      </c>
      <c r="AI175" s="2">
        <f t="shared" si="50"/>
        <v>1</v>
      </c>
    </row>
    <row r="176" spans="1:35" ht="14.25" customHeight="1" x14ac:dyDescent="0.25">
      <c r="A176" s="20">
        <v>0</v>
      </c>
      <c r="B176" s="20">
        <v>2</v>
      </c>
      <c r="C176" s="20">
        <v>4</v>
      </c>
      <c r="D176" s="21" t="s">
        <v>813</v>
      </c>
      <c r="E176" s="21" t="s">
        <v>29</v>
      </c>
      <c r="F176" s="21" t="s">
        <v>826</v>
      </c>
      <c r="G176" s="21" t="s">
        <v>827</v>
      </c>
      <c r="H176" s="21" t="s">
        <v>165</v>
      </c>
      <c r="I176" s="20" t="s">
        <v>846</v>
      </c>
      <c r="J176" s="20">
        <v>99</v>
      </c>
      <c r="K176" s="20" t="s">
        <v>318</v>
      </c>
      <c r="L176" s="20" t="s">
        <v>343</v>
      </c>
      <c r="M176" s="21" t="s">
        <v>646</v>
      </c>
      <c r="N176" s="21"/>
      <c r="O176" s="7"/>
      <c r="P176" s="7"/>
      <c r="Q176" s="21"/>
      <c r="S176" s="2">
        <f t="shared" si="51"/>
        <v>0</v>
      </c>
      <c r="T176" s="2">
        <f t="shared" si="52"/>
        <v>0</v>
      </c>
      <c r="U176" s="2">
        <f t="shared" si="53"/>
        <v>0</v>
      </c>
      <c r="V176" s="2">
        <f t="shared" si="54"/>
        <v>0</v>
      </c>
      <c r="W176" s="2">
        <f t="shared" si="55"/>
        <v>0</v>
      </c>
      <c r="X176" s="2">
        <f t="shared" si="56"/>
        <v>0</v>
      </c>
      <c r="Y176" s="2">
        <f t="shared" si="57"/>
        <v>0</v>
      </c>
      <c r="Z176" s="2">
        <f t="shared" si="58"/>
        <v>0</v>
      </c>
      <c r="AA176" s="2">
        <f t="shared" si="59"/>
        <v>0</v>
      </c>
      <c r="AB176" s="2">
        <f t="shared" si="60"/>
        <v>0</v>
      </c>
      <c r="AD176" s="2">
        <f t="shared" si="61"/>
        <v>0</v>
      </c>
      <c r="AE176" s="2">
        <f t="shared" si="62"/>
        <v>0</v>
      </c>
      <c r="AF176" s="2">
        <f t="shared" si="47"/>
        <v>0</v>
      </c>
      <c r="AG176" s="2">
        <f t="shared" si="48"/>
        <v>0</v>
      </c>
      <c r="AH176" s="2">
        <f t="shared" si="49"/>
        <v>0</v>
      </c>
      <c r="AI176" s="2">
        <f t="shared" si="50"/>
        <v>1</v>
      </c>
    </row>
    <row r="177" spans="1:35" ht="14.25" customHeight="1" x14ac:dyDescent="0.25">
      <c r="A177" s="20">
        <v>0</v>
      </c>
      <c r="B177" s="20">
        <v>2</v>
      </c>
      <c r="C177" s="20">
        <v>4</v>
      </c>
      <c r="D177" s="21" t="s">
        <v>569</v>
      </c>
      <c r="E177" s="21" t="s">
        <v>36</v>
      </c>
      <c r="F177" s="21" t="s">
        <v>582</v>
      </c>
      <c r="G177" s="21" t="s">
        <v>519</v>
      </c>
      <c r="H177" s="21" t="s">
        <v>165</v>
      </c>
      <c r="I177" s="20" t="s">
        <v>540</v>
      </c>
      <c r="J177" s="20">
        <v>7</v>
      </c>
      <c r="K177" s="20" t="s">
        <v>378</v>
      </c>
      <c r="L177" s="20">
        <v>30</v>
      </c>
      <c r="M177" s="21" t="s">
        <v>602</v>
      </c>
      <c r="N177" s="21"/>
      <c r="O177" s="7"/>
      <c r="P177" s="7"/>
      <c r="Q177" s="21"/>
      <c r="S177" s="2">
        <f t="shared" si="51"/>
        <v>0</v>
      </c>
      <c r="T177" s="2">
        <f t="shared" si="52"/>
        <v>0</v>
      </c>
      <c r="U177" s="2">
        <f t="shared" si="53"/>
        <v>0</v>
      </c>
      <c r="V177" s="2">
        <f t="shared" si="54"/>
        <v>0</v>
      </c>
      <c r="W177" s="2">
        <f t="shared" si="55"/>
        <v>0</v>
      </c>
      <c r="X177" s="2">
        <f t="shared" si="56"/>
        <v>0</v>
      </c>
      <c r="Y177" s="2">
        <f t="shared" si="57"/>
        <v>1</v>
      </c>
      <c r="Z177" s="2">
        <f t="shared" si="58"/>
        <v>0</v>
      </c>
      <c r="AA177" s="2">
        <f t="shared" si="59"/>
        <v>0</v>
      </c>
      <c r="AB177" s="2">
        <f t="shared" si="60"/>
        <v>0</v>
      </c>
      <c r="AD177" s="2">
        <f t="shared" si="61"/>
        <v>0</v>
      </c>
      <c r="AE177" s="2">
        <f t="shared" si="62"/>
        <v>0</v>
      </c>
      <c r="AF177" s="2">
        <f t="shared" si="47"/>
        <v>0</v>
      </c>
      <c r="AG177" s="2">
        <f t="shared" si="48"/>
        <v>0</v>
      </c>
      <c r="AH177" s="2">
        <f t="shared" si="49"/>
        <v>0</v>
      </c>
      <c r="AI177" s="2">
        <f t="shared" si="50"/>
        <v>1</v>
      </c>
    </row>
    <row r="178" spans="1:35" ht="14.25" customHeight="1" x14ac:dyDescent="0.25">
      <c r="A178" s="34">
        <v>0</v>
      </c>
      <c r="B178" s="34">
        <v>2</v>
      </c>
      <c r="C178" s="34">
        <v>4</v>
      </c>
      <c r="D178" s="35" t="s">
        <v>684</v>
      </c>
      <c r="E178" s="35" t="s">
        <v>678</v>
      </c>
      <c r="F178" s="35" t="s">
        <v>615</v>
      </c>
      <c r="G178" s="35" t="s">
        <v>125</v>
      </c>
      <c r="H178" s="35" t="s">
        <v>165</v>
      </c>
      <c r="I178" s="34" t="s">
        <v>616</v>
      </c>
      <c r="J178" s="34">
        <v>99</v>
      </c>
      <c r="K178" s="34" t="s">
        <v>318</v>
      </c>
      <c r="L178" s="34" t="s">
        <v>343</v>
      </c>
      <c r="M178" s="35" t="s">
        <v>788</v>
      </c>
      <c r="N178" s="35" t="s">
        <v>931</v>
      </c>
      <c r="O178" s="36"/>
      <c r="P178" s="36"/>
      <c r="Q178" s="35"/>
      <c r="S178" s="2">
        <f t="shared" si="51"/>
        <v>0</v>
      </c>
      <c r="T178" s="2">
        <f t="shared" si="52"/>
        <v>0</v>
      </c>
      <c r="U178" s="2">
        <f t="shared" si="53"/>
        <v>0</v>
      </c>
      <c r="V178" s="2">
        <f t="shared" si="54"/>
        <v>0</v>
      </c>
      <c r="W178" s="2">
        <f t="shared" si="55"/>
        <v>0</v>
      </c>
      <c r="X178" s="2">
        <f t="shared" si="56"/>
        <v>0</v>
      </c>
      <c r="Y178" s="2">
        <f t="shared" si="57"/>
        <v>0</v>
      </c>
      <c r="Z178" s="2">
        <f t="shared" si="58"/>
        <v>0</v>
      </c>
      <c r="AA178" s="2">
        <f t="shared" si="59"/>
        <v>0</v>
      </c>
      <c r="AB178" s="2">
        <f t="shared" si="60"/>
        <v>0</v>
      </c>
      <c r="AD178" s="2">
        <f t="shared" si="61"/>
        <v>0</v>
      </c>
      <c r="AE178" s="2">
        <f t="shared" si="62"/>
        <v>0</v>
      </c>
      <c r="AF178" s="2">
        <f t="shared" si="47"/>
        <v>0</v>
      </c>
      <c r="AG178" s="2">
        <f t="shared" si="48"/>
        <v>0</v>
      </c>
      <c r="AH178" s="2">
        <f t="shared" si="49"/>
        <v>0</v>
      </c>
      <c r="AI178" s="2">
        <f t="shared" si="50"/>
        <v>1</v>
      </c>
    </row>
    <row r="179" spans="1:35" ht="14.25" customHeight="1" x14ac:dyDescent="0.25">
      <c r="A179" s="31">
        <v>0</v>
      </c>
      <c r="B179" s="31">
        <v>2</v>
      </c>
      <c r="C179" s="31">
        <v>4</v>
      </c>
      <c r="D179" s="32" t="s">
        <v>768</v>
      </c>
      <c r="E179" s="32" t="s">
        <v>769</v>
      </c>
      <c r="F179" s="32" t="s">
        <v>770</v>
      </c>
      <c r="G179" s="32"/>
      <c r="H179" s="32" t="s">
        <v>165</v>
      </c>
      <c r="I179" s="31" t="s">
        <v>771</v>
      </c>
      <c r="J179" s="31">
        <v>99</v>
      </c>
      <c r="K179" s="31" t="s">
        <v>378</v>
      </c>
      <c r="L179" s="31">
        <v>35</v>
      </c>
      <c r="M179" s="32" t="s">
        <v>952</v>
      </c>
      <c r="N179" s="32" t="s">
        <v>901</v>
      </c>
      <c r="O179" s="33">
        <v>1</v>
      </c>
      <c r="P179" s="33"/>
      <c r="Q179" s="32"/>
      <c r="S179" s="2">
        <f t="shared" si="51"/>
        <v>0</v>
      </c>
      <c r="T179" s="2">
        <f t="shared" si="52"/>
        <v>0</v>
      </c>
      <c r="U179" s="2">
        <f t="shared" si="53"/>
        <v>0</v>
      </c>
      <c r="V179" s="2">
        <f t="shared" si="54"/>
        <v>0</v>
      </c>
      <c r="W179" s="2">
        <f t="shared" si="55"/>
        <v>0</v>
      </c>
      <c r="X179" s="2">
        <f t="shared" si="56"/>
        <v>0</v>
      </c>
      <c r="Y179" s="2">
        <f t="shared" si="57"/>
        <v>0</v>
      </c>
      <c r="Z179" s="2">
        <f t="shared" si="58"/>
        <v>0</v>
      </c>
      <c r="AA179" s="2">
        <f t="shared" si="59"/>
        <v>0</v>
      </c>
      <c r="AB179" s="2">
        <f t="shared" si="60"/>
        <v>0</v>
      </c>
      <c r="AD179" s="2">
        <f t="shared" si="61"/>
        <v>0</v>
      </c>
      <c r="AE179" s="2">
        <f t="shared" si="62"/>
        <v>1</v>
      </c>
      <c r="AF179" s="2">
        <f t="shared" si="47"/>
        <v>0</v>
      </c>
      <c r="AG179" s="2">
        <f t="shared" si="48"/>
        <v>1</v>
      </c>
      <c r="AH179" s="2">
        <f t="shared" si="49"/>
        <v>0</v>
      </c>
      <c r="AI179" s="2">
        <f t="shared" si="50"/>
        <v>1</v>
      </c>
    </row>
    <row r="180" spans="1:35" ht="14.25" customHeight="1" x14ac:dyDescent="0.25">
      <c r="A180" s="34">
        <v>0</v>
      </c>
      <c r="B180" s="34">
        <v>2</v>
      </c>
      <c r="C180" s="34">
        <v>4</v>
      </c>
      <c r="D180" s="35" t="s">
        <v>67</v>
      </c>
      <c r="E180" s="35" t="s">
        <v>89</v>
      </c>
      <c r="F180" s="35" t="s">
        <v>144</v>
      </c>
      <c r="G180" s="35" t="s">
        <v>129</v>
      </c>
      <c r="H180" s="35" t="s">
        <v>165</v>
      </c>
      <c r="I180" s="34" t="s">
        <v>190</v>
      </c>
      <c r="J180" s="34">
        <v>99</v>
      </c>
      <c r="K180" s="34" t="s">
        <v>321</v>
      </c>
      <c r="L180" s="34" t="s">
        <v>333</v>
      </c>
      <c r="M180" s="35" t="s">
        <v>703</v>
      </c>
      <c r="N180" s="35" t="s">
        <v>896</v>
      </c>
      <c r="O180" s="36"/>
      <c r="P180" s="36"/>
      <c r="Q180" s="35"/>
      <c r="S180" s="2">
        <f t="shared" si="51"/>
        <v>0</v>
      </c>
      <c r="T180" s="2">
        <f t="shared" si="52"/>
        <v>0</v>
      </c>
      <c r="U180" s="2">
        <f t="shared" si="53"/>
        <v>0</v>
      </c>
      <c r="V180" s="2">
        <f t="shared" si="54"/>
        <v>0</v>
      </c>
      <c r="W180" s="2">
        <f t="shared" si="55"/>
        <v>0</v>
      </c>
      <c r="X180" s="2">
        <f t="shared" si="56"/>
        <v>0</v>
      </c>
      <c r="Y180" s="2">
        <f t="shared" si="57"/>
        <v>0</v>
      </c>
      <c r="Z180" s="2">
        <f t="shared" si="58"/>
        <v>0</v>
      </c>
      <c r="AA180" s="2">
        <f t="shared" si="59"/>
        <v>0</v>
      </c>
      <c r="AB180" s="2">
        <f t="shared" si="60"/>
        <v>0</v>
      </c>
      <c r="AD180" s="2">
        <f t="shared" si="61"/>
        <v>0</v>
      </c>
      <c r="AE180" s="2">
        <f t="shared" si="62"/>
        <v>0</v>
      </c>
      <c r="AF180" s="2">
        <f t="shared" si="47"/>
        <v>0</v>
      </c>
      <c r="AG180" s="2">
        <f t="shared" si="48"/>
        <v>0</v>
      </c>
      <c r="AH180" s="2">
        <f t="shared" si="49"/>
        <v>0</v>
      </c>
      <c r="AI180" s="2">
        <f t="shared" si="50"/>
        <v>1</v>
      </c>
    </row>
    <row r="181" spans="1:35" ht="14.25" customHeight="1" x14ac:dyDescent="0.25">
      <c r="A181" s="34">
        <v>0</v>
      </c>
      <c r="B181" s="34">
        <v>2</v>
      </c>
      <c r="C181" s="34">
        <v>4</v>
      </c>
      <c r="D181" s="35" t="s">
        <v>426</v>
      </c>
      <c r="E181" s="35" t="s">
        <v>234</v>
      </c>
      <c r="F181" s="35" t="s">
        <v>427</v>
      </c>
      <c r="G181" s="35" t="s">
        <v>96</v>
      </c>
      <c r="H181" s="35" t="s">
        <v>165</v>
      </c>
      <c r="I181" s="34" t="s">
        <v>428</v>
      </c>
      <c r="J181" s="34">
        <v>3</v>
      </c>
      <c r="K181" s="34" t="s">
        <v>318</v>
      </c>
      <c r="L181" s="34" t="s">
        <v>339</v>
      </c>
      <c r="M181" s="35" t="s">
        <v>749</v>
      </c>
      <c r="N181" s="35" t="s">
        <v>911</v>
      </c>
      <c r="O181" s="36"/>
      <c r="P181" s="36"/>
      <c r="Q181" s="35"/>
      <c r="S181" s="2">
        <f t="shared" si="51"/>
        <v>0</v>
      </c>
      <c r="T181" s="2">
        <f t="shared" si="52"/>
        <v>0</v>
      </c>
      <c r="U181" s="2">
        <f t="shared" si="53"/>
        <v>1</v>
      </c>
      <c r="V181" s="2">
        <f t="shared" si="54"/>
        <v>0</v>
      </c>
      <c r="W181" s="2">
        <f t="shared" si="55"/>
        <v>0</v>
      </c>
      <c r="X181" s="2">
        <f t="shared" si="56"/>
        <v>0</v>
      </c>
      <c r="Y181" s="2">
        <f t="shared" si="57"/>
        <v>0</v>
      </c>
      <c r="Z181" s="2">
        <f t="shared" si="58"/>
        <v>0</v>
      </c>
      <c r="AA181" s="2">
        <f t="shared" si="59"/>
        <v>0</v>
      </c>
      <c r="AB181" s="2">
        <f t="shared" si="60"/>
        <v>0</v>
      </c>
      <c r="AD181" s="2">
        <f t="shared" si="61"/>
        <v>0</v>
      </c>
      <c r="AE181" s="2">
        <f t="shared" si="62"/>
        <v>0</v>
      </c>
      <c r="AF181" s="2">
        <f t="shared" si="47"/>
        <v>0</v>
      </c>
      <c r="AG181" s="2">
        <f t="shared" si="48"/>
        <v>0</v>
      </c>
      <c r="AH181" s="2">
        <f t="shared" si="49"/>
        <v>0</v>
      </c>
      <c r="AI181" s="2">
        <f t="shared" si="50"/>
        <v>1</v>
      </c>
    </row>
    <row r="182" spans="1:35" ht="14.25" customHeight="1" x14ac:dyDescent="0.25">
      <c r="A182" s="34">
        <v>0</v>
      </c>
      <c r="B182" s="34">
        <v>2</v>
      </c>
      <c r="C182" s="34">
        <v>4</v>
      </c>
      <c r="D182" s="35" t="s">
        <v>214</v>
      </c>
      <c r="E182" s="35" t="s">
        <v>36</v>
      </c>
      <c r="F182" s="35" t="s">
        <v>213</v>
      </c>
      <c r="G182" s="35" t="s">
        <v>97</v>
      </c>
      <c r="H182" s="35" t="s">
        <v>165</v>
      </c>
      <c r="I182" s="34" t="s">
        <v>212</v>
      </c>
      <c r="J182" s="34">
        <v>99</v>
      </c>
      <c r="K182" s="34" t="s">
        <v>378</v>
      </c>
      <c r="L182" s="34">
        <v>25</v>
      </c>
      <c r="M182" s="35" t="s">
        <v>929</v>
      </c>
      <c r="N182" s="35" t="s">
        <v>930</v>
      </c>
      <c r="O182" s="36"/>
      <c r="P182" s="36"/>
      <c r="Q182" s="35"/>
      <c r="S182" s="2">
        <f t="shared" si="51"/>
        <v>0</v>
      </c>
      <c r="T182" s="2">
        <f t="shared" si="52"/>
        <v>0</v>
      </c>
      <c r="U182" s="2">
        <f t="shared" si="53"/>
        <v>0</v>
      </c>
      <c r="V182" s="2">
        <f t="shared" si="54"/>
        <v>0</v>
      </c>
      <c r="W182" s="2">
        <f t="shared" si="55"/>
        <v>0</v>
      </c>
      <c r="X182" s="2">
        <f t="shared" si="56"/>
        <v>0</v>
      </c>
      <c r="Y182" s="2">
        <f t="shared" si="57"/>
        <v>0</v>
      </c>
      <c r="Z182" s="2">
        <f t="shared" si="58"/>
        <v>0</v>
      </c>
      <c r="AA182" s="2">
        <f t="shared" si="59"/>
        <v>0</v>
      </c>
      <c r="AB182" s="2">
        <f t="shared" si="60"/>
        <v>0</v>
      </c>
      <c r="AD182" s="2">
        <f t="shared" si="61"/>
        <v>0</v>
      </c>
      <c r="AE182" s="2">
        <f t="shared" si="62"/>
        <v>0</v>
      </c>
      <c r="AF182" s="2">
        <f t="shared" si="47"/>
        <v>0</v>
      </c>
      <c r="AG182" s="2">
        <f t="shared" si="48"/>
        <v>0</v>
      </c>
      <c r="AH182" s="2">
        <f t="shared" si="49"/>
        <v>0</v>
      </c>
      <c r="AI182" s="2">
        <f t="shared" si="50"/>
        <v>1</v>
      </c>
    </row>
    <row r="183" spans="1:35" ht="14.25" customHeight="1" x14ac:dyDescent="0.25">
      <c r="A183" s="34">
        <v>0</v>
      </c>
      <c r="B183" s="34">
        <v>2</v>
      </c>
      <c r="C183" s="34">
        <v>4</v>
      </c>
      <c r="D183" s="35" t="s">
        <v>215</v>
      </c>
      <c r="E183" s="35" t="s">
        <v>216</v>
      </c>
      <c r="F183" s="35" t="s">
        <v>217</v>
      </c>
      <c r="G183" s="35" t="s">
        <v>107</v>
      </c>
      <c r="H183" s="35" t="s">
        <v>165</v>
      </c>
      <c r="I183" s="34" t="s">
        <v>218</v>
      </c>
      <c r="J183" s="34">
        <v>99</v>
      </c>
      <c r="K183" s="34" t="s">
        <v>378</v>
      </c>
      <c r="L183" s="34">
        <v>25</v>
      </c>
      <c r="M183" s="35" t="s">
        <v>498</v>
      </c>
      <c r="N183" s="35" t="s">
        <v>931</v>
      </c>
      <c r="O183" s="36"/>
      <c r="P183" s="36"/>
      <c r="Q183" s="35"/>
      <c r="S183" s="2">
        <f t="shared" si="51"/>
        <v>0</v>
      </c>
      <c r="T183" s="2">
        <f t="shared" si="52"/>
        <v>0</v>
      </c>
      <c r="U183" s="2">
        <f t="shared" si="53"/>
        <v>0</v>
      </c>
      <c r="V183" s="2">
        <f t="shared" si="54"/>
        <v>0</v>
      </c>
      <c r="W183" s="2">
        <f t="shared" si="55"/>
        <v>0</v>
      </c>
      <c r="X183" s="2">
        <f t="shared" si="56"/>
        <v>0</v>
      </c>
      <c r="Y183" s="2">
        <f t="shared" si="57"/>
        <v>0</v>
      </c>
      <c r="Z183" s="2">
        <f t="shared" si="58"/>
        <v>0</v>
      </c>
      <c r="AA183" s="2">
        <f t="shared" si="59"/>
        <v>0</v>
      </c>
      <c r="AB183" s="2">
        <f t="shared" si="60"/>
        <v>0</v>
      </c>
      <c r="AD183" s="2">
        <f t="shared" si="61"/>
        <v>0</v>
      </c>
      <c r="AE183" s="2">
        <f t="shared" si="62"/>
        <v>0</v>
      </c>
      <c r="AF183" s="2">
        <f t="shared" si="47"/>
        <v>0</v>
      </c>
      <c r="AG183" s="2">
        <f t="shared" si="48"/>
        <v>0</v>
      </c>
      <c r="AH183" s="2">
        <f t="shared" si="49"/>
        <v>0</v>
      </c>
      <c r="AI183" s="2">
        <f t="shared" si="50"/>
        <v>1</v>
      </c>
    </row>
    <row r="184" spans="1:35" ht="14.25" customHeight="1" x14ac:dyDescent="0.25">
      <c r="A184" s="34">
        <v>0</v>
      </c>
      <c r="B184" s="34">
        <v>2</v>
      </c>
      <c r="C184" s="34">
        <v>5</v>
      </c>
      <c r="D184" s="35" t="s">
        <v>421</v>
      </c>
      <c r="E184" s="35" t="s">
        <v>423</v>
      </c>
      <c r="F184" s="35" t="s">
        <v>577</v>
      </c>
      <c r="G184" s="35" t="s">
        <v>154</v>
      </c>
      <c r="H184" s="35" t="s">
        <v>165</v>
      </c>
      <c r="I184" s="34" t="s">
        <v>422</v>
      </c>
      <c r="J184" s="34">
        <v>99</v>
      </c>
      <c r="K184" s="34" t="s">
        <v>378</v>
      </c>
      <c r="L184" s="34">
        <v>30</v>
      </c>
      <c r="M184" s="35" t="s">
        <v>603</v>
      </c>
      <c r="N184" s="35" t="s">
        <v>931</v>
      </c>
      <c r="O184" s="36"/>
      <c r="P184" s="36"/>
      <c r="Q184" s="35"/>
      <c r="S184" s="2">
        <f t="shared" si="51"/>
        <v>0</v>
      </c>
      <c r="T184" s="2">
        <f t="shared" si="52"/>
        <v>0</v>
      </c>
      <c r="U184" s="2">
        <f t="shared" si="53"/>
        <v>0</v>
      </c>
      <c r="V184" s="2">
        <f t="shared" si="54"/>
        <v>0</v>
      </c>
      <c r="W184" s="2">
        <f t="shared" si="55"/>
        <v>0</v>
      </c>
      <c r="X184" s="2">
        <f t="shared" si="56"/>
        <v>0</v>
      </c>
      <c r="Y184" s="2">
        <f t="shared" si="57"/>
        <v>0</v>
      </c>
      <c r="Z184" s="2">
        <f t="shared" si="58"/>
        <v>0</v>
      </c>
      <c r="AA184" s="2">
        <f t="shared" si="59"/>
        <v>0</v>
      </c>
      <c r="AB184" s="2">
        <f t="shared" si="60"/>
        <v>0</v>
      </c>
      <c r="AD184" s="2">
        <f t="shared" si="61"/>
        <v>0</v>
      </c>
      <c r="AE184" s="2">
        <f t="shared" si="62"/>
        <v>0</v>
      </c>
      <c r="AF184" s="2">
        <f t="shared" si="47"/>
        <v>0</v>
      </c>
      <c r="AG184" s="2">
        <f t="shared" si="48"/>
        <v>0</v>
      </c>
      <c r="AH184" s="2">
        <f t="shared" si="49"/>
        <v>0</v>
      </c>
      <c r="AI184" s="2">
        <f t="shared" si="50"/>
        <v>1</v>
      </c>
    </row>
    <row r="185" spans="1:35" ht="14.25" customHeight="1" x14ac:dyDescent="0.25">
      <c r="A185" s="31">
        <v>0</v>
      </c>
      <c r="B185" s="31">
        <v>2</v>
      </c>
      <c r="C185" s="31">
        <v>5</v>
      </c>
      <c r="D185" s="32" t="s">
        <v>404</v>
      </c>
      <c r="E185" s="32" t="s">
        <v>29</v>
      </c>
      <c r="F185" s="32" t="s">
        <v>287</v>
      </c>
      <c r="G185" s="32" t="s">
        <v>96</v>
      </c>
      <c r="H185" s="32" t="s">
        <v>165</v>
      </c>
      <c r="I185" s="31" t="s">
        <v>491</v>
      </c>
      <c r="J185" s="31">
        <v>3</v>
      </c>
      <c r="K185" s="31" t="s">
        <v>319</v>
      </c>
      <c r="L185" s="31" t="s">
        <v>334</v>
      </c>
      <c r="M185" s="32" t="s">
        <v>753</v>
      </c>
      <c r="N185" s="32" t="s">
        <v>901</v>
      </c>
      <c r="O185" s="33">
        <v>1</v>
      </c>
      <c r="P185" s="33"/>
      <c r="Q185" s="32"/>
      <c r="S185" s="2">
        <f t="shared" si="51"/>
        <v>0</v>
      </c>
      <c r="T185" s="2">
        <f t="shared" si="52"/>
        <v>0</v>
      </c>
      <c r="U185" s="2">
        <f t="shared" si="53"/>
        <v>1</v>
      </c>
      <c r="V185" s="2">
        <f t="shared" si="54"/>
        <v>0</v>
      </c>
      <c r="W185" s="2">
        <f t="shared" si="55"/>
        <v>0</v>
      </c>
      <c r="X185" s="2">
        <f t="shared" si="56"/>
        <v>0</v>
      </c>
      <c r="Y185" s="2">
        <f t="shared" si="57"/>
        <v>0</v>
      </c>
      <c r="Z185" s="2">
        <f t="shared" si="58"/>
        <v>0</v>
      </c>
      <c r="AA185" s="2">
        <f t="shared" si="59"/>
        <v>0</v>
      </c>
      <c r="AB185" s="2">
        <f t="shared" si="60"/>
        <v>0</v>
      </c>
      <c r="AD185" s="2">
        <f t="shared" si="61"/>
        <v>0</v>
      </c>
      <c r="AE185" s="2">
        <f t="shared" si="62"/>
        <v>1</v>
      </c>
      <c r="AF185" s="2">
        <f t="shared" si="47"/>
        <v>0</v>
      </c>
      <c r="AG185" s="2">
        <f t="shared" si="48"/>
        <v>1</v>
      </c>
      <c r="AH185" s="2">
        <f t="shared" si="49"/>
        <v>0</v>
      </c>
      <c r="AI185" s="2">
        <f t="shared" si="50"/>
        <v>1</v>
      </c>
    </row>
    <row r="186" spans="1:35" ht="14.25" customHeight="1" x14ac:dyDescent="0.25">
      <c r="A186" s="31">
        <v>0</v>
      </c>
      <c r="B186" s="31">
        <v>2</v>
      </c>
      <c r="C186" s="31">
        <v>5</v>
      </c>
      <c r="D186" s="32" t="s">
        <v>570</v>
      </c>
      <c r="E186" s="32" t="s">
        <v>36</v>
      </c>
      <c r="F186" s="32" t="s">
        <v>961</v>
      </c>
      <c r="G186" s="32" t="s">
        <v>673</v>
      </c>
      <c r="H186" s="32" t="s">
        <v>165</v>
      </c>
      <c r="I186" s="31" t="s">
        <v>33</v>
      </c>
      <c r="J186" s="31">
        <v>99</v>
      </c>
      <c r="K186" s="31" t="s">
        <v>320</v>
      </c>
      <c r="L186" s="31" t="s">
        <v>335</v>
      </c>
      <c r="M186" s="32" t="s">
        <v>604</v>
      </c>
      <c r="N186" s="32" t="s">
        <v>915</v>
      </c>
      <c r="O186" s="33">
        <v>1</v>
      </c>
      <c r="P186" s="33"/>
      <c r="Q186" s="32" t="s">
        <v>962</v>
      </c>
      <c r="S186" s="2">
        <f t="shared" si="51"/>
        <v>0</v>
      </c>
      <c r="T186" s="2">
        <f t="shared" si="52"/>
        <v>0</v>
      </c>
      <c r="U186" s="2">
        <f t="shared" si="53"/>
        <v>0</v>
      </c>
      <c r="V186" s="2">
        <f t="shared" si="54"/>
        <v>0</v>
      </c>
      <c r="W186" s="2">
        <f t="shared" si="55"/>
        <v>0</v>
      </c>
      <c r="X186" s="2">
        <f t="shared" si="56"/>
        <v>0</v>
      </c>
      <c r="Y186" s="2">
        <f t="shared" si="57"/>
        <v>0</v>
      </c>
      <c r="Z186" s="2">
        <f t="shared" si="58"/>
        <v>0</v>
      </c>
      <c r="AA186" s="2">
        <f t="shared" si="59"/>
        <v>0</v>
      </c>
      <c r="AB186" s="2">
        <f t="shared" si="60"/>
        <v>0</v>
      </c>
      <c r="AD186" s="2">
        <f t="shared" si="61"/>
        <v>0</v>
      </c>
      <c r="AE186" s="2">
        <f t="shared" si="62"/>
        <v>1</v>
      </c>
      <c r="AF186" s="2">
        <f t="shared" si="47"/>
        <v>0</v>
      </c>
      <c r="AG186" s="2">
        <f t="shared" si="48"/>
        <v>1</v>
      </c>
      <c r="AH186" s="2">
        <f t="shared" si="49"/>
        <v>0</v>
      </c>
      <c r="AI186" s="2">
        <f t="shared" si="50"/>
        <v>1</v>
      </c>
    </row>
    <row r="187" spans="1:35" ht="14.25" customHeight="1" x14ac:dyDescent="0.25">
      <c r="A187" s="20">
        <v>0</v>
      </c>
      <c r="B187" s="20">
        <v>2</v>
      </c>
      <c r="C187" s="20">
        <v>5</v>
      </c>
      <c r="D187" s="21" t="s">
        <v>233</v>
      </c>
      <c r="E187" s="21" t="s">
        <v>86</v>
      </c>
      <c r="F187" s="21" t="s">
        <v>254</v>
      </c>
      <c r="G187" s="21" t="s">
        <v>130</v>
      </c>
      <c r="H187" s="21" t="s">
        <v>165</v>
      </c>
      <c r="I187" s="20" t="s">
        <v>595</v>
      </c>
      <c r="J187" s="20">
        <v>10</v>
      </c>
      <c r="K187" s="20" t="s">
        <v>378</v>
      </c>
      <c r="L187" s="20" t="s">
        <v>333</v>
      </c>
      <c r="M187" s="21" t="s">
        <v>271</v>
      </c>
      <c r="N187" s="21"/>
      <c r="O187" s="7"/>
      <c r="P187" s="7"/>
      <c r="Q187" s="21"/>
      <c r="S187" s="2">
        <f t="shared" si="51"/>
        <v>0</v>
      </c>
      <c r="T187" s="2">
        <f t="shared" si="52"/>
        <v>0</v>
      </c>
      <c r="U187" s="2">
        <f t="shared" si="53"/>
        <v>0</v>
      </c>
      <c r="V187" s="2">
        <f t="shared" si="54"/>
        <v>0</v>
      </c>
      <c r="W187" s="2">
        <f t="shared" si="55"/>
        <v>0</v>
      </c>
      <c r="X187" s="2">
        <f t="shared" si="56"/>
        <v>0</v>
      </c>
      <c r="Y187" s="2">
        <f t="shared" si="57"/>
        <v>0</v>
      </c>
      <c r="Z187" s="2">
        <f t="shared" si="58"/>
        <v>0</v>
      </c>
      <c r="AA187" s="2">
        <f t="shared" si="59"/>
        <v>0</v>
      </c>
      <c r="AB187" s="2">
        <f t="shared" si="60"/>
        <v>1</v>
      </c>
      <c r="AD187" s="2">
        <f t="shared" si="61"/>
        <v>0</v>
      </c>
      <c r="AE187" s="2">
        <f t="shared" si="62"/>
        <v>0</v>
      </c>
      <c r="AF187" s="2">
        <f t="shared" si="47"/>
        <v>0</v>
      </c>
      <c r="AG187" s="2">
        <f t="shared" si="48"/>
        <v>0</v>
      </c>
      <c r="AH187" s="2">
        <f t="shared" si="49"/>
        <v>0</v>
      </c>
      <c r="AI187" s="2">
        <f t="shared" si="50"/>
        <v>1</v>
      </c>
    </row>
    <row r="188" spans="1:35" ht="14.25" customHeight="1" x14ac:dyDescent="0.25">
      <c r="A188" s="34">
        <v>0</v>
      </c>
      <c r="B188" s="34">
        <v>2</v>
      </c>
      <c r="C188" s="34">
        <v>5</v>
      </c>
      <c r="D188" s="35" t="s">
        <v>629</v>
      </c>
      <c r="E188" s="35" t="s">
        <v>29</v>
      </c>
      <c r="F188" s="35" t="s">
        <v>631</v>
      </c>
      <c r="G188" s="35" t="s">
        <v>830</v>
      </c>
      <c r="H188" s="35" t="s">
        <v>165</v>
      </c>
      <c r="I188" s="34" t="s">
        <v>632</v>
      </c>
      <c r="J188" s="34">
        <v>99</v>
      </c>
      <c r="K188" s="34" t="s">
        <v>320</v>
      </c>
      <c r="L188" s="34" t="s">
        <v>341</v>
      </c>
      <c r="M188" s="35" t="s">
        <v>786</v>
      </c>
      <c r="N188" s="35" t="s">
        <v>902</v>
      </c>
      <c r="O188" s="36"/>
      <c r="P188" s="36"/>
      <c r="Q188" s="35"/>
      <c r="S188" s="2">
        <f t="shared" si="51"/>
        <v>0</v>
      </c>
      <c r="T188" s="2">
        <f t="shared" si="52"/>
        <v>0</v>
      </c>
      <c r="U188" s="2">
        <f t="shared" si="53"/>
        <v>0</v>
      </c>
      <c r="V188" s="2">
        <f t="shared" si="54"/>
        <v>0</v>
      </c>
      <c r="W188" s="2">
        <f t="shared" si="55"/>
        <v>0</v>
      </c>
      <c r="X188" s="2">
        <f t="shared" si="56"/>
        <v>0</v>
      </c>
      <c r="Y188" s="2">
        <f t="shared" si="57"/>
        <v>0</v>
      </c>
      <c r="Z188" s="2">
        <f t="shared" si="58"/>
        <v>0</v>
      </c>
      <c r="AA188" s="2">
        <f t="shared" si="59"/>
        <v>0</v>
      </c>
      <c r="AB188" s="2">
        <f t="shared" si="60"/>
        <v>0</v>
      </c>
      <c r="AD188" s="2">
        <f t="shared" si="61"/>
        <v>0</v>
      </c>
      <c r="AE188" s="2">
        <f t="shared" si="62"/>
        <v>0</v>
      </c>
      <c r="AF188" s="2">
        <f t="shared" si="47"/>
        <v>0</v>
      </c>
      <c r="AG188" s="2">
        <f t="shared" si="48"/>
        <v>0</v>
      </c>
      <c r="AH188" s="2">
        <f t="shared" si="49"/>
        <v>0</v>
      </c>
      <c r="AI188" s="2">
        <f t="shared" si="50"/>
        <v>1</v>
      </c>
    </row>
    <row r="189" spans="1:35" ht="14.25" customHeight="1" x14ac:dyDescent="0.25">
      <c r="A189" s="34">
        <v>0</v>
      </c>
      <c r="B189" s="34">
        <v>2</v>
      </c>
      <c r="C189" s="34">
        <v>5</v>
      </c>
      <c r="D189" s="35" t="s">
        <v>814</v>
      </c>
      <c r="E189" s="35" t="s">
        <v>29</v>
      </c>
      <c r="F189" s="35" t="s">
        <v>644</v>
      </c>
      <c r="G189" s="35" t="s">
        <v>516</v>
      </c>
      <c r="H189" s="35" t="s">
        <v>165</v>
      </c>
      <c r="I189" s="34" t="s">
        <v>645</v>
      </c>
      <c r="J189" s="34">
        <v>99</v>
      </c>
      <c r="K189" s="34" t="s">
        <v>320</v>
      </c>
      <c r="L189" s="34" t="s">
        <v>346</v>
      </c>
      <c r="M189" s="35" t="s">
        <v>643</v>
      </c>
      <c r="N189" s="35" t="s">
        <v>898</v>
      </c>
      <c r="O189" s="36"/>
      <c r="P189" s="36"/>
      <c r="Q189" s="35"/>
      <c r="S189" s="2">
        <f t="shared" si="51"/>
        <v>0</v>
      </c>
      <c r="T189" s="2">
        <f t="shared" si="52"/>
        <v>0</v>
      </c>
      <c r="U189" s="2">
        <f t="shared" si="53"/>
        <v>0</v>
      </c>
      <c r="V189" s="2">
        <f t="shared" si="54"/>
        <v>0</v>
      </c>
      <c r="W189" s="2">
        <f t="shared" si="55"/>
        <v>0</v>
      </c>
      <c r="X189" s="2">
        <f t="shared" si="56"/>
        <v>0</v>
      </c>
      <c r="Y189" s="2">
        <f t="shared" si="57"/>
        <v>0</v>
      </c>
      <c r="Z189" s="2">
        <f t="shared" si="58"/>
        <v>0</v>
      </c>
      <c r="AA189" s="2">
        <f t="shared" si="59"/>
        <v>0</v>
      </c>
      <c r="AB189" s="2">
        <f t="shared" si="60"/>
        <v>0</v>
      </c>
      <c r="AD189" s="2">
        <f t="shared" si="61"/>
        <v>0</v>
      </c>
      <c r="AE189" s="2">
        <f t="shared" si="62"/>
        <v>0</v>
      </c>
      <c r="AF189" s="2">
        <f t="shared" si="47"/>
        <v>0</v>
      </c>
      <c r="AG189" s="2">
        <f t="shared" si="48"/>
        <v>0</v>
      </c>
      <c r="AH189" s="2">
        <f t="shared" si="49"/>
        <v>0</v>
      </c>
      <c r="AI189" s="2">
        <f t="shared" si="50"/>
        <v>1</v>
      </c>
    </row>
    <row r="190" spans="1:35" ht="14.25" customHeight="1" x14ac:dyDescent="0.25">
      <c r="A190" s="34">
        <v>0</v>
      </c>
      <c r="B190" s="34">
        <v>2</v>
      </c>
      <c r="C190" s="34">
        <v>6</v>
      </c>
      <c r="D190" s="35" t="s">
        <v>681</v>
      </c>
      <c r="E190" s="35" t="s">
        <v>34</v>
      </c>
      <c r="F190" s="35" t="s">
        <v>823</v>
      </c>
      <c r="G190" s="35" t="s">
        <v>96</v>
      </c>
      <c r="H190" s="35" t="s">
        <v>165</v>
      </c>
      <c r="I190" s="34" t="s">
        <v>617</v>
      </c>
      <c r="J190" s="34">
        <v>1</v>
      </c>
      <c r="K190" s="34" t="s">
        <v>318</v>
      </c>
      <c r="L190" s="34" t="s">
        <v>343</v>
      </c>
      <c r="M190" s="35" t="s">
        <v>618</v>
      </c>
      <c r="N190" s="35" t="s">
        <v>931</v>
      </c>
      <c r="O190" s="36"/>
      <c r="P190" s="36"/>
      <c r="Q190" s="35"/>
      <c r="S190" s="2">
        <f t="shared" si="51"/>
        <v>1</v>
      </c>
      <c r="T190" s="2">
        <f t="shared" si="52"/>
        <v>0</v>
      </c>
      <c r="U190" s="2">
        <f t="shared" si="53"/>
        <v>0</v>
      </c>
      <c r="V190" s="2">
        <f t="shared" si="54"/>
        <v>0</v>
      </c>
      <c r="W190" s="2">
        <f t="shared" si="55"/>
        <v>0</v>
      </c>
      <c r="X190" s="2">
        <f t="shared" si="56"/>
        <v>0</v>
      </c>
      <c r="Y190" s="2">
        <f t="shared" si="57"/>
        <v>0</v>
      </c>
      <c r="Z190" s="2">
        <f t="shared" si="58"/>
        <v>0</v>
      </c>
      <c r="AA190" s="2">
        <f t="shared" si="59"/>
        <v>0</v>
      </c>
      <c r="AB190" s="2">
        <f t="shared" si="60"/>
        <v>0</v>
      </c>
      <c r="AD190" s="2">
        <f t="shared" si="61"/>
        <v>0</v>
      </c>
      <c r="AE190" s="2">
        <f t="shared" si="62"/>
        <v>0</v>
      </c>
      <c r="AF190" s="2">
        <f t="shared" si="47"/>
        <v>0</v>
      </c>
      <c r="AG190" s="2">
        <f t="shared" si="48"/>
        <v>0</v>
      </c>
      <c r="AH190" s="2">
        <f t="shared" si="49"/>
        <v>0</v>
      </c>
      <c r="AI190" s="2">
        <f t="shared" si="50"/>
        <v>1</v>
      </c>
    </row>
    <row r="191" spans="1:35" ht="14.25" customHeight="1" x14ac:dyDescent="0.25">
      <c r="A191" s="34">
        <v>0</v>
      </c>
      <c r="B191" s="34">
        <v>2</v>
      </c>
      <c r="C191" s="34">
        <v>6</v>
      </c>
      <c r="D191" s="35" t="s">
        <v>52</v>
      </c>
      <c r="E191" s="35" t="s">
        <v>34</v>
      </c>
      <c r="F191" s="35" t="s">
        <v>105</v>
      </c>
      <c r="G191" s="35" t="s">
        <v>39</v>
      </c>
      <c r="H191" s="35" t="s">
        <v>165</v>
      </c>
      <c r="I191" s="34" t="s">
        <v>849</v>
      </c>
      <c r="J191" s="34">
        <v>8</v>
      </c>
      <c r="K191" s="34" t="s">
        <v>318</v>
      </c>
      <c r="L191" s="34" t="s">
        <v>339</v>
      </c>
      <c r="M191" s="35" t="s">
        <v>272</v>
      </c>
      <c r="N191" s="35" t="s">
        <v>911</v>
      </c>
      <c r="O191" s="36"/>
      <c r="P191" s="36"/>
      <c r="Q191" s="35"/>
      <c r="S191" s="2">
        <f t="shared" si="51"/>
        <v>0</v>
      </c>
      <c r="T191" s="2">
        <f t="shared" si="52"/>
        <v>0</v>
      </c>
      <c r="U191" s="2">
        <f t="shared" si="53"/>
        <v>0</v>
      </c>
      <c r="V191" s="2">
        <f t="shared" si="54"/>
        <v>0</v>
      </c>
      <c r="W191" s="2">
        <f t="shared" si="55"/>
        <v>0</v>
      </c>
      <c r="X191" s="2">
        <f t="shared" si="56"/>
        <v>0</v>
      </c>
      <c r="Y191" s="2">
        <f t="shared" si="57"/>
        <v>0</v>
      </c>
      <c r="Z191" s="2">
        <f t="shared" si="58"/>
        <v>1</v>
      </c>
      <c r="AA191" s="2">
        <f t="shared" si="59"/>
        <v>0</v>
      </c>
      <c r="AB191" s="2">
        <f t="shared" si="60"/>
        <v>0</v>
      </c>
      <c r="AD191" s="2">
        <f t="shared" si="61"/>
        <v>0</v>
      </c>
      <c r="AE191" s="2">
        <f t="shared" si="62"/>
        <v>0</v>
      </c>
      <c r="AF191" s="2">
        <f t="shared" si="47"/>
        <v>0</v>
      </c>
      <c r="AG191" s="2">
        <f t="shared" si="48"/>
        <v>0</v>
      </c>
      <c r="AH191" s="2">
        <f t="shared" si="49"/>
        <v>0</v>
      </c>
      <c r="AI191" s="2">
        <f t="shared" si="50"/>
        <v>1</v>
      </c>
    </row>
    <row r="192" spans="1:35" ht="14.25" customHeight="1" x14ac:dyDescent="0.25">
      <c r="A192" s="34">
        <v>0</v>
      </c>
      <c r="B192" s="34">
        <v>2</v>
      </c>
      <c r="C192" s="34">
        <v>6</v>
      </c>
      <c r="D192" s="35" t="s">
        <v>463</v>
      </c>
      <c r="E192" s="35" t="s">
        <v>34</v>
      </c>
      <c r="F192" s="35" t="s">
        <v>956</v>
      </c>
      <c r="G192" s="35" t="s">
        <v>103</v>
      </c>
      <c r="H192" s="35" t="s">
        <v>165</v>
      </c>
      <c r="I192" s="34" t="s">
        <v>394</v>
      </c>
      <c r="J192" s="34">
        <v>6</v>
      </c>
      <c r="K192" s="34" t="s">
        <v>321</v>
      </c>
      <c r="L192" s="34" t="s">
        <v>339</v>
      </c>
      <c r="M192" s="35" t="s">
        <v>701</v>
      </c>
      <c r="N192" s="35" t="s">
        <v>930</v>
      </c>
      <c r="O192" s="36"/>
      <c r="P192" s="36"/>
      <c r="Q192" s="35"/>
      <c r="S192" s="2">
        <f t="shared" si="51"/>
        <v>0</v>
      </c>
      <c r="T192" s="2">
        <f t="shared" si="52"/>
        <v>0</v>
      </c>
      <c r="U192" s="2">
        <f t="shared" si="53"/>
        <v>0</v>
      </c>
      <c r="V192" s="2">
        <f t="shared" si="54"/>
        <v>0</v>
      </c>
      <c r="W192" s="2">
        <f t="shared" si="55"/>
        <v>0</v>
      </c>
      <c r="X192" s="2">
        <f t="shared" si="56"/>
        <v>1</v>
      </c>
      <c r="Y192" s="2">
        <f t="shared" si="57"/>
        <v>0</v>
      </c>
      <c r="Z192" s="2">
        <f t="shared" si="58"/>
        <v>0</v>
      </c>
      <c r="AA192" s="2">
        <f t="shared" si="59"/>
        <v>0</v>
      </c>
      <c r="AB192" s="2">
        <f t="shared" si="60"/>
        <v>0</v>
      </c>
      <c r="AD192" s="2">
        <f t="shared" si="61"/>
        <v>0</v>
      </c>
      <c r="AE192" s="2">
        <f t="shared" si="62"/>
        <v>0</v>
      </c>
      <c r="AF192" s="2">
        <f t="shared" si="47"/>
        <v>0</v>
      </c>
      <c r="AG192" s="2">
        <f t="shared" si="48"/>
        <v>0</v>
      </c>
      <c r="AH192" s="2">
        <f t="shared" si="49"/>
        <v>0</v>
      </c>
      <c r="AI192" s="2">
        <f t="shared" si="50"/>
        <v>1</v>
      </c>
    </row>
    <row r="193" spans="1:35" ht="14.25" customHeight="1" x14ac:dyDescent="0.25">
      <c r="A193" s="31">
        <v>0</v>
      </c>
      <c r="B193" s="31">
        <v>2</v>
      </c>
      <c r="C193" s="31">
        <v>6</v>
      </c>
      <c r="D193" s="32" t="s">
        <v>685</v>
      </c>
      <c r="E193" s="32" t="s">
        <v>34</v>
      </c>
      <c r="F193" s="32" t="s">
        <v>605</v>
      </c>
      <c r="G193" s="32" t="s">
        <v>163</v>
      </c>
      <c r="H193" s="32" t="s">
        <v>165</v>
      </c>
      <c r="I193" s="31" t="s">
        <v>696</v>
      </c>
      <c r="J193" s="31">
        <v>5</v>
      </c>
      <c r="K193" s="31" t="s">
        <v>320</v>
      </c>
      <c r="L193" s="31">
        <v>30</v>
      </c>
      <c r="M193" s="32" t="s">
        <v>750</v>
      </c>
      <c r="N193" s="32" t="s">
        <v>914</v>
      </c>
      <c r="O193" s="33">
        <v>1</v>
      </c>
      <c r="P193" s="33"/>
      <c r="Q193" s="32"/>
      <c r="S193" s="2">
        <f t="shared" si="51"/>
        <v>0</v>
      </c>
      <c r="T193" s="2">
        <f t="shared" si="52"/>
        <v>0</v>
      </c>
      <c r="U193" s="2">
        <f t="shared" si="53"/>
        <v>0</v>
      </c>
      <c r="V193" s="2">
        <f t="shared" si="54"/>
        <v>0</v>
      </c>
      <c r="W193" s="2">
        <f t="shared" si="55"/>
        <v>1</v>
      </c>
      <c r="X193" s="2">
        <f t="shared" si="56"/>
        <v>0</v>
      </c>
      <c r="Y193" s="2">
        <f t="shared" si="57"/>
        <v>0</v>
      </c>
      <c r="Z193" s="2">
        <f t="shared" si="58"/>
        <v>0</v>
      </c>
      <c r="AA193" s="2">
        <f t="shared" si="59"/>
        <v>0</v>
      </c>
      <c r="AB193" s="2">
        <f t="shared" si="60"/>
        <v>0</v>
      </c>
      <c r="AD193" s="2">
        <f t="shared" si="61"/>
        <v>0</v>
      </c>
      <c r="AE193" s="2">
        <f t="shared" si="62"/>
        <v>1</v>
      </c>
      <c r="AF193" s="2">
        <f t="shared" si="47"/>
        <v>0</v>
      </c>
      <c r="AG193" s="2">
        <f t="shared" si="48"/>
        <v>1</v>
      </c>
      <c r="AH193" s="2">
        <f t="shared" si="49"/>
        <v>0</v>
      </c>
      <c r="AI193" s="2">
        <f t="shared" si="50"/>
        <v>1</v>
      </c>
    </row>
    <row r="194" spans="1:35" ht="14.25" customHeight="1" x14ac:dyDescent="0.25">
      <c r="A194" s="34">
        <v>0</v>
      </c>
      <c r="B194" s="34">
        <v>2</v>
      </c>
      <c r="C194" s="34">
        <v>6</v>
      </c>
      <c r="D194" s="35" t="s">
        <v>58</v>
      </c>
      <c r="E194" s="35" t="s">
        <v>34</v>
      </c>
      <c r="F194" s="35" t="s">
        <v>482</v>
      </c>
      <c r="G194" s="35" t="s">
        <v>103</v>
      </c>
      <c r="H194" s="35" t="s">
        <v>165</v>
      </c>
      <c r="I194" s="34" t="s">
        <v>179</v>
      </c>
      <c r="J194" s="34">
        <v>6</v>
      </c>
      <c r="K194" s="34" t="s">
        <v>321</v>
      </c>
      <c r="L194" s="34" t="s">
        <v>339</v>
      </c>
      <c r="M194" s="35" t="s">
        <v>702</v>
      </c>
      <c r="N194" s="35" t="s">
        <v>930</v>
      </c>
      <c r="O194" s="36"/>
      <c r="P194" s="36"/>
      <c r="Q194" s="35"/>
      <c r="S194" s="2">
        <f t="shared" si="51"/>
        <v>0</v>
      </c>
      <c r="T194" s="2">
        <f t="shared" si="52"/>
        <v>0</v>
      </c>
      <c r="U194" s="2">
        <f t="shared" si="53"/>
        <v>0</v>
      </c>
      <c r="V194" s="2">
        <f t="shared" si="54"/>
        <v>0</v>
      </c>
      <c r="W194" s="2">
        <f t="shared" si="55"/>
        <v>0</v>
      </c>
      <c r="X194" s="2">
        <f t="shared" si="56"/>
        <v>1</v>
      </c>
      <c r="Y194" s="2">
        <f t="shared" si="57"/>
        <v>0</v>
      </c>
      <c r="Z194" s="2">
        <f t="shared" si="58"/>
        <v>0</v>
      </c>
      <c r="AA194" s="2">
        <f t="shared" si="59"/>
        <v>0</v>
      </c>
      <c r="AB194" s="2">
        <f t="shared" si="60"/>
        <v>0</v>
      </c>
      <c r="AD194" s="2">
        <f t="shared" si="61"/>
        <v>0</v>
      </c>
      <c r="AE194" s="2">
        <f t="shared" si="62"/>
        <v>0</v>
      </c>
      <c r="AF194" s="2">
        <f t="shared" si="47"/>
        <v>0</v>
      </c>
      <c r="AG194" s="2">
        <f t="shared" si="48"/>
        <v>0</v>
      </c>
      <c r="AH194" s="2">
        <f t="shared" si="49"/>
        <v>0</v>
      </c>
      <c r="AI194" s="2">
        <f t="shared" si="50"/>
        <v>1</v>
      </c>
    </row>
    <row r="195" spans="1:35" ht="14.25" customHeight="1" x14ac:dyDescent="0.25">
      <c r="A195" s="34">
        <v>0</v>
      </c>
      <c r="B195" s="34">
        <v>2</v>
      </c>
      <c r="C195" s="34">
        <v>6</v>
      </c>
      <c r="D195" s="35" t="s">
        <v>612</v>
      </c>
      <c r="E195" s="35" t="s">
        <v>34</v>
      </c>
      <c r="F195" s="35" t="s">
        <v>613</v>
      </c>
      <c r="G195" s="35" t="s">
        <v>516</v>
      </c>
      <c r="H195" s="35" t="s">
        <v>165</v>
      </c>
      <c r="I195" s="34" t="s">
        <v>614</v>
      </c>
      <c r="J195" s="34"/>
      <c r="K195" s="34" t="s">
        <v>378</v>
      </c>
      <c r="L195" s="34">
        <v>30</v>
      </c>
      <c r="M195" s="35" t="s">
        <v>272</v>
      </c>
      <c r="N195" s="35" t="s">
        <v>898</v>
      </c>
      <c r="O195" s="36"/>
      <c r="P195" s="36"/>
      <c r="Q195" s="35"/>
      <c r="S195" s="2">
        <f t="shared" si="51"/>
        <v>0</v>
      </c>
      <c r="T195" s="2">
        <f t="shared" si="52"/>
        <v>0</v>
      </c>
      <c r="U195" s="2">
        <f t="shared" si="53"/>
        <v>0</v>
      </c>
      <c r="V195" s="2">
        <f t="shared" si="54"/>
        <v>0</v>
      </c>
      <c r="W195" s="2">
        <f t="shared" si="55"/>
        <v>0</v>
      </c>
      <c r="X195" s="2">
        <f t="shared" si="56"/>
        <v>0</v>
      </c>
      <c r="Y195" s="2">
        <f t="shared" si="57"/>
        <v>0</v>
      </c>
      <c r="Z195" s="2">
        <f t="shared" si="58"/>
        <v>0</v>
      </c>
      <c r="AA195" s="2">
        <f t="shared" si="59"/>
        <v>0</v>
      </c>
      <c r="AB195" s="2">
        <f t="shared" si="60"/>
        <v>0</v>
      </c>
      <c r="AD195" s="2">
        <f t="shared" si="61"/>
        <v>0</v>
      </c>
      <c r="AE195" s="2">
        <f t="shared" si="62"/>
        <v>0</v>
      </c>
      <c r="AF195" s="2">
        <f t="shared" si="47"/>
        <v>0</v>
      </c>
      <c r="AG195" s="2">
        <f t="shared" si="48"/>
        <v>0</v>
      </c>
      <c r="AH195" s="2">
        <f t="shared" si="49"/>
        <v>0</v>
      </c>
      <c r="AI195" s="2">
        <f t="shared" si="50"/>
        <v>1</v>
      </c>
    </row>
    <row r="196" spans="1:35" ht="14.25" customHeight="1" x14ac:dyDescent="0.25">
      <c r="A196" s="34">
        <v>0</v>
      </c>
      <c r="B196" s="34">
        <v>2</v>
      </c>
      <c r="C196" s="34">
        <v>6</v>
      </c>
      <c r="D196" s="35" t="s">
        <v>534</v>
      </c>
      <c r="E196" s="35" t="s">
        <v>679</v>
      </c>
      <c r="F196" s="35" t="s">
        <v>953</v>
      </c>
      <c r="G196" s="35" t="s">
        <v>584</v>
      </c>
      <c r="H196" s="35" t="s">
        <v>165</v>
      </c>
      <c r="I196" s="34" t="s">
        <v>535</v>
      </c>
      <c r="J196" s="34">
        <v>2</v>
      </c>
      <c r="K196" s="34" t="s">
        <v>320</v>
      </c>
      <c r="L196" s="34" t="s">
        <v>339</v>
      </c>
      <c r="M196" s="35" t="s">
        <v>272</v>
      </c>
      <c r="N196" s="35" t="s">
        <v>899</v>
      </c>
      <c r="O196" s="36"/>
      <c r="P196" s="36"/>
      <c r="Q196" s="35"/>
      <c r="S196" s="2">
        <f t="shared" si="51"/>
        <v>0</v>
      </c>
      <c r="T196" s="2">
        <f t="shared" si="52"/>
        <v>1</v>
      </c>
      <c r="U196" s="2">
        <f t="shared" si="53"/>
        <v>0</v>
      </c>
      <c r="V196" s="2">
        <f t="shared" si="54"/>
        <v>0</v>
      </c>
      <c r="W196" s="2">
        <f t="shared" si="55"/>
        <v>0</v>
      </c>
      <c r="X196" s="2">
        <f t="shared" si="56"/>
        <v>0</v>
      </c>
      <c r="Y196" s="2">
        <f t="shared" si="57"/>
        <v>0</v>
      </c>
      <c r="Z196" s="2">
        <f t="shared" si="58"/>
        <v>0</v>
      </c>
      <c r="AA196" s="2">
        <f t="shared" si="59"/>
        <v>0</v>
      </c>
      <c r="AB196" s="2">
        <f t="shared" si="60"/>
        <v>0</v>
      </c>
      <c r="AD196" s="2">
        <f t="shared" si="61"/>
        <v>0</v>
      </c>
      <c r="AE196" s="2">
        <f t="shared" si="62"/>
        <v>0</v>
      </c>
      <c r="AF196" s="2">
        <f t="shared" si="47"/>
        <v>0</v>
      </c>
      <c r="AG196" s="2">
        <f t="shared" si="48"/>
        <v>0</v>
      </c>
      <c r="AH196" s="2">
        <f t="shared" si="49"/>
        <v>0</v>
      </c>
      <c r="AI196" s="2">
        <f t="shared" si="50"/>
        <v>1</v>
      </c>
    </row>
    <row r="197" spans="1:35" ht="14.25" customHeight="1" x14ac:dyDescent="0.25">
      <c r="A197" s="34">
        <v>1</v>
      </c>
      <c r="B197" s="34">
        <v>2</v>
      </c>
      <c r="C197" s="34">
        <v>6</v>
      </c>
      <c r="D197" s="35" t="s">
        <v>534</v>
      </c>
      <c r="E197" s="35" t="s">
        <v>679</v>
      </c>
      <c r="F197" s="35" t="s">
        <v>954</v>
      </c>
      <c r="G197" s="35" t="s">
        <v>103</v>
      </c>
      <c r="H197" s="35" t="s">
        <v>165</v>
      </c>
      <c r="I197" s="34" t="s">
        <v>848</v>
      </c>
      <c r="J197" s="34">
        <v>6</v>
      </c>
      <c r="K197" s="34" t="s">
        <v>320</v>
      </c>
      <c r="L197" s="34" t="s">
        <v>339</v>
      </c>
      <c r="M197" s="35" t="s">
        <v>272</v>
      </c>
      <c r="N197" s="35" t="s">
        <v>899</v>
      </c>
      <c r="O197" s="36"/>
      <c r="P197" s="36"/>
      <c r="Q197" s="35"/>
      <c r="S197" s="2">
        <f t="shared" si="51"/>
        <v>0</v>
      </c>
      <c r="T197" s="2">
        <f t="shared" si="52"/>
        <v>0</v>
      </c>
      <c r="U197" s="2">
        <f t="shared" si="53"/>
        <v>0</v>
      </c>
      <c r="V197" s="2">
        <f t="shared" si="54"/>
        <v>0</v>
      </c>
      <c r="W197" s="2">
        <f t="shared" si="55"/>
        <v>0</v>
      </c>
      <c r="X197" s="2">
        <f t="shared" si="56"/>
        <v>1</v>
      </c>
      <c r="Y197" s="2">
        <f t="shared" si="57"/>
        <v>0</v>
      </c>
      <c r="Z197" s="2">
        <f t="shared" si="58"/>
        <v>0</v>
      </c>
      <c r="AA197" s="2">
        <f t="shared" si="59"/>
        <v>0</v>
      </c>
      <c r="AB197" s="2">
        <f t="shared" si="60"/>
        <v>0</v>
      </c>
      <c r="AD197" s="2">
        <f t="shared" si="61"/>
        <v>0</v>
      </c>
      <c r="AE197" s="2">
        <f t="shared" si="62"/>
        <v>0</v>
      </c>
      <c r="AF197" s="2">
        <f t="shared" si="47"/>
        <v>0</v>
      </c>
      <c r="AG197" s="2">
        <f t="shared" si="48"/>
        <v>0</v>
      </c>
      <c r="AH197" s="2">
        <f t="shared" si="49"/>
        <v>0</v>
      </c>
      <c r="AI197" s="2">
        <f t="shared" si="50"/>
        <v>0</v>
      </c>
    </row>
    <row r="198" spans="1:35" ht="14.25" customHeight="1" x14ac:dyDescent="0.25">
      <c r="A198" s="31">
        <v>0</v>
      </c>
      <c r="B198" s="31">
        <v>2</v>
      </c>
      <c r="C198" s="31">
        <v>7</v>
      </c>
      <c r="D198" s="32" t="s">
        <v>410</v>
      </c>
      <c r="E198" s="32" t="s">
        <v>31</v>
      </c>
      <c r="F198" s="32" t="s">
        <v>411</v>
      </c>
      <c r="G198" s="32" t="s">
        <v>471</v>
      </c>
      <c r="H198" s="32" t="s">
        <v>165</v>
      </c>
      <c r="I198" s="31" t="s">
        <v>412</v>
      </c>
      <c r="J198" s="31">
        <v>9</v>
      </c>
      <c r="K198" s="31" t="s">
        <v>320</v>
      </c>
      <c r="L198" s="31" t="s">
        <v>318</v>
      </c>
      <c r="M198" s="32" t="s">
        <v>273</v>
      </c>
      <c r="N198" s="32" t="s">
        <v>895</v>
      </c>
      <c r="O198" s="33">
        <v>1</v>
      </c>
      <c r="P198" s="33">
        <v>1</v>
      </c>
      <c r="Q198" s="32"/>
      <c r="S198" s="2">
        <f t="shared" si="51"/>
        <v>0</v>
      </c>
      <c r="T198" s="2">
        <f t="shared" si="52"/>
        <v>0</v>
      </c>
      <c r="U198" s="2">
        <f t="shared" si="53"/>
        <v>0</v>
      </c>
      <c r="V198" s="2">
        <f t="shared" si="54"/>
        <v>0</v>
      </c>
      <c r="W198" s="2">
        <f t="shared" si="55"/>
        <v>0</v>
      </c>
      <c r="X198" s="2">
        <f t="shared" si="56"/>
        <v>0</v>
      </c>
      <c r="Y198" s="2">
        <f t="shared" si="57"/>
        <v>0</v>
      </c>
      <c r="Z198" s="2">
        <f t="shared" si="58"/>
        <v>0</v>
      </c>
      <c r="AA198" s="2">
        <f t="shared" si="59"/>
        <v>1</v>
      </c>
      <c r="AB198" s="2">
        <f t="shared" si="60"/>
        <v>0</v>
      </c>
      <c r="AD198" s="2">
        <f t="shared" si="61"/>
        <v>1</v>
      </c>
      <c r="AE198" s="2">
        <f t="shared" si="62"/>
        <v>0</v>
      </c>
      <c r="AF198" s="2">
        <f t="shared" si="47"/>
        <v>1</v>
      </c>
      <c r="AG198" s="2">
        <f t="shared" si="48"/>
        <v>0</v>
      </c>
      <c r="AH198" s="2">
        <f t="shared" si="49"/>
        <v>1</v>
      </c>
      <c r="AI198" s="2">
        <f t="shared" si="50"/>
        <v>0</v>
      </c>
    </row>
    <row r="199" spans="1:35" ht="14.25" customHeight="1" x14ac:dyDescent="0.25">
      <c r="A199" s="31">
        <v>0</v>
      </c>
      <c r="B199" s="31">
        <v>2</v>
      </c>
      <c r="C199" s="31">
        <v>7</v>
      </c>
      <c r="D199" s="32" t="s">
        <v>926</v>
      </c>
      <c r="E199" s="32" t="s">
        <v>920</v>
      </c>
      <c r="F199" s="32" t="s">
        <v>924</v>
      </c>
      <c r="G199" s="32" t="s">
        <v>132</v>
      </c>
      <c r="H199" s="32" t="s">
        <v>165</v>
      </c>
      <c r="I199" s="31" t="s">
        <v>927</v>
      </c>
      <c r="J199" s="31">
        <v>99</v>
      </c>
      <c r="K199" s="31" t="s">
        <v>378</v>
      </c>
      <c r="L199" s="31"/>
      <c r="M199" s="32"/>
      <c r="N199" s="32" t="s">
        <v>895</v>
      </c>
      <c r="O199" s="33">
        <v>1</v>
      </c>
      <c r="P199" s="33">
        <v>1</v>
      </c>
      <c r="Q199" s="32"/>
      <c r="S199" s="2">
        <f t="shared" si="51"/>
        <v>0</v>
      </c>
      <c r="T199" s="2">
        <f t="shared" si="52"/>
        <v>0</v>
      </c>
      <c r="U199" s="2">
        <f t="shared" si="53"/>
        <v>0</v>
      </c>
      <c r="V199" s="2">
        <f t="shared" si="54"/>
        <v>0</v>
      </c>
      <c r="W199" s="2">
        <f t="shared" si="55"/>
        <v>0</v>
      </c>
      <c r="X199" s="2">
        <f t="shared" si="56"/>
        <v>0</v>
      </c>
      <c r="Y199" s="2">
        <f t="shared" si="57"/>
        <v>0</v>
      </c>
      <c r="Z199" s="2">
        <f t="shared" si="58"/>
        <v>0</v>
      </c>
      <c r="AA199" s="2">
        <f t="shared" si="59"/>
        <v>0</v>
      </c>
      <c r="AB199" s="2">
        <f t="shared" si="60"/>
        <v>0</v>
      </c>
      <c r="AD199" s="2">
        <f t="shared" si="61"/>
        <v>1</v>
      </c>
      <c r="AE199" s="2">
        <f t="shared" si="62"/>
        <v>0</v>
      </c>
      <c r="AF199" s="2">
        <f t="shared" si="47"/>
        <v>1</v>
      </c>
      <c r="AG199" s="2">
        <f t="shared" si="48"/>
        <v>0</v>
      </c>
      <c r="AH199" s="2">
        <f t="shared" si="49"/>
        <v>1</v>
      </c>
      <c r="AI199" s="2">
        <f t="shared" si="50"/>
        <v>0</v>
      </c>
    </row>
    <row r="200" spans="1:35" ht="14.25" customHeight="1" x14ac:dyDescent="0.25">
      <c r="A200" s="31">
        <v>0</v>
      </c>
      <c r="B200" s="31">
        <v>2</v>
      </c>
      <c r="C200" s="31">
        <v>7</v>
      </c>
      <c r="D200" s="32" t="s">
        <v>520</v>
      </c>
      <c r="E200" s="32" t="s">
        <v>31</v>
      </c>
      <c r="F200" s="32" t="s">
        <v>521</v>
      </c>
      <c r="G200" s="32" t="s">
        <v>124</v>
      </c>
      <c r="H200" s="32" t="s">
        <v>165</v>
      </c>
      <c r="I200" s="31" t="s">
        <v>522</v>
      </c>
      <c r="J200" s="31">
        <v>7</v>
      </c>
      <c r="K200" s="31" t="s">
        <v>319</v>
      </c>
      <c r="L200" s="31" t="s">
        <v>318</v>
      </c>
      <c r="M200" s="32" t="s">
        <v>273</v>
      </c>
      <c r="N200" s="32" t="s">
        <v>901</v>
      </c>
      <c r="O200" s="33">
        <v>1</v>
      </c>
      <c r="P200" s="33"/>
      <c r="Q200" s="32"/>
      <c r="S200" s="2">
        <f t="shared" si="51"/>
        <v>0</v>
      </c>
      <c r="T200" s="2">
        <f t="shared" si="52"/>
        <v>0</v>
      </c>
      <c r="U200" s="2">
        <f t="shared" si="53"/>
        <v>0</v>
      </c>
      <c r="V200" s="2">
        <f t="shared" si="54"/>
        <v>0</v>
      </c>
      <c r="W200" s="2">
        <f t="shared" si="55"/>
        <v>0</v>
      </c>
      <c r="X200" s="2">
        <f t="shared" si="56"/>
        <v>0</v>
      </c>
      <c r="Y200" s="2">
        <f t="shared" si="57"/>
        <v>1</v>
      </c>
      <c r="Z200" s="2">
        <f t="shared" si="58"/>
        <v>0</v>
      </c>
      <c r="AA200" s="2">
        <f t="shared" si="59"/>
        <v>0</v>
      </c>
      <c r="AB200" s="2">
        <f t="shared" si="60"/>
        <v>0</v>
      </c>
      <c r="AD200" s="2">
        <f t="shared" si="61"/>
        <v>0</v>
      </c>
      <c r="AE200" s="2">
        <f t="shared" si="62"/>
        <v>1</v>
      </c>
      <c r="AF200" s="2">
        <f t="shared" ref="AF200:AF228" si="63">+O200*P200*(1-A200)</f>
        <v>0</v>
      </c>
      <c r="AG200" s="2">
        <f t="shared" ref="AG200:AG228" si="64">O200*(1-P200)*(1-A200)</f>
        <v>1</v>
      </c>
      <c r="AH200" s="2">
        <f t="shared" ref="AH200:AH228" si="65">+P200*(1-A200)</f>
        <v>0</v>
      </c>
      <c r="AI200" s="2">
        <f t="shared" ref="AI200:AI228" si="66">+(1-A200)*(1-P200)</f>
        <v>1</v>
      </c>
    </row>
    <row r="201" spans="1:35" ht="14.25" customHeight="1" x14ac:dyDescent="0.25">
      <c r="A201" s="34">
        <v>0</v>
      </c>
      <c r="B201" s="34">
        <v>2</v>
      </c>
      <c r="C201" s="34">
        <v>7</v>
      </c>
      <c r="D201" s="35" t="s">
        <v>432</v>
      </c>
      <c r="E201" s="35" t="s">
        <v>31</v>
      </c>
      <c r="F201" s="35" t="s">
        <v>433</v>
      </c>
      <c r="G201" s="35" t="s">
        <v>117</v>
      </c>
      <c r="H201" s="35" t="s">
        <v>165</v>
      </c>
      <c r="I201" s="34" t="s">
        <v>484</v>
      </c>
      <c r="J201" s="34">
        <v>1</v>
      </c>
      <c r="K201" s="34" t="s">
        <v>320</v>
      </c>
      <c r="L201" s="34" t="s">
        <v>318</v>
      </c>
      <c r="M201" s="35" t="s">
        <v>273</v>
      </c>
      <c r="N201" s="35" t="s">
        <v>931</v>
      </c>
      <c r="O201" s="36"/>
      <c r="P201" s="36"/>
      <c r="Q201" s="35"/>
      <c r="S201" s="2">
        <f t="shared" si="51"/>
        <v>1</v>
      </c>
      <c r="T201" s="2">
        <f t="shared" si="52"/>
        <v>0</v>
      </c>
      <c r="U201" s="2">
        <f t="shared" si="53"/>
        <v>0</v>
      </c>
      <c r="V201" s="2">
        <f t="shared" si="54"/>
        <v>0</v>
      </c>
      <c r="W201" s="2">
        <f t="shared" si="55"/>
        <v>0</v>
      </c>
      <c r="X201" s="2">
        <f t="shared" si="56"/>
        <v>0</v>
      </c>
      <c r="Y201" s="2">
        <f t="shared" si="57"/>
        <v>0</v>
      </c>
      <c r="Z201" s="2">
        <f t="shared" si="58"/>
        <v>0</v>
      </c>
      <c r="AA201" s="2">
        <f t="shared" si="59"/>
        <v>0</v>
      </c>
      <c r="AB201" s="2">
        <f t="shared" si="60"/>
        <v>0</v>
      </c>
      <c r="AD201" s="2">
        <f t="shared" si="61"/>
        <v>0</v>
      </c>
      <c r="AE201" s="2">
        <f t="shared" si="62"/>
        <v>0</v>
      </c>
      <c r="AF201" s="2">
        <f t="shared" si="63"/>
        <v>0</v>
      </c>
      <c r="AG201" s="2">
        <f t="shared" si="64"/>
        <v>0</v>
      </c>
      <c r="AH201" s="2">
        <f t="shared" si="65"/>
        <v>0</v>
      </c>
      <c r="AI201" s="2">
        <f t="shared" si="66"/>
        <v>1</v>
      </c>
    </row>
    <row r="202" spans="1:35" ht="14.25" customHeight="1" x14ac:dyDescent="0.25">
      <c r="A202" s="31">
        <v>0</v>
      </c>
      <c r="B202" s="31">
        <v>2</v>
      </c>
      <c r="C202" s="31">
        <v>7</v>
      </c>
      <c r="D202" s="32" t="s">
        <v>462</v>
      </c>
      <c r="E202" s="32" t="s">
        <v>31</v>
      </c>
      <c r="F202" s="32" t="s">
        <v>155</v>
      </c>
      <c r="G202" s="32" t="s">
        <v>122</v>
      </c>
      <c r="H202" s="32" t="s">
        <v>165</v>
      </c>
      <c r="I202" s="31" t="s">
        <v>198</v>
      </c>
      <c r="J202" s="31">
        <v>6</v>
      </c>
      <c r="K202" s="31" t="s">
        <v>321</v>
      </c>
      <c r="L202" s="31" t="s">
        <v>318</v>
      </c>
      <c r="M202" s="32" t="s">
        <v>273</v>
      </c>
      <c r="N202" s="32" t="s">
        <v>895</v>
      </c>
      <c r="O202" s="33">
        <v>1</v>
      </c>
      <c r="P202" s="33">
        <v>1</v>
      </c>
      <c r="Q202" s="32"/>
      <c r="S202" s="2">
        <f t="shared" si="51"/>
        <v>0</v>
      </c>
      <c r="T202" s="2">
        <f t="shared" si="52"/>
        <v>0</v>
      </c>
      <c r="U202" s="2">
        <f t="shared" si="53"/>
        <v>0</v>
      </c>
      <c r="V202" s="2">
        <f t="shared" si="54"/>
        <v>0</v>
      </c>
      <c r="W202" s="2">
        <f t="shared" si="55"/>
        <v>0</v>
      </c>
      <c r="X202" s="2">
        <f t="shared" si="56"/>
        <v>1</v>
      </c>
      <c r="Y202" s="2">
        <f t="shared" si="57"/>
        <v>0</v>
      </c>
      <c r="Z202" s="2">
        <f t="shared" si="58"/>
        <v>0</v>
      </c>
      <c r="AA202" s="2">
        <f t="shared" si="59"/>
        <v>0</v>
      </c>
      <c r="AB202" s="2">
        <f t="shared" si="60"/>
        <v>0</v>
      </c>
      <c r="AD202" s="2">
        <f t="shared" si="61"/>
        <v>1</v>
      </c>
      <c r="AE202" s="2">
        <f t="shared" si="62"/>
        <v>0</v>
      </c>
      <c r="AF202" s="2">
        <f t="shared" si="63"/>
        <v>1</v>
      </c>
      <c r="AG202" s="2">
        <f t="shared" si="64"/>
        <v>0</v>
      </c>
      <c r="AH202" s="2">
        <f t="shared" si="65"/>
        <v>1</v>
      </c>
      <c r="AI202" s="2">
        <f t="shared" si="66"/>
        <v>0</v>
      </c>
    </row>
    <row r="203" spans="1:35" ht="14.25" customHeight="1" x14ac:dyDescent="0.25">
      <c r="A203" s="31">
        <v>0</v>
      </c>
      <c r="B203" s="31">
        <v>2</v>
      </c>
      <c r="C203" s="31">
        <v>7</v>
      </c>
      <c r="D203" s="32" t="s">
        <v>63</v>
      </c>
      <c r="E203" s="32" t="s">
        <v>31</v>
      </c>
      <c r="F203" s="32" t="s">
        <v>138</v>
      </c>
      <c r="G203" s="32" t="s">
        <v>125</v>
      </c>
      <c r="H203" s="32" t="s">
        <v>165</v>
      </c>
      <c r="I203" s="31" t="s">
        <v>375</v>
      </c>
      <c r="J203" s="31">
        <v>99</v>
      </c>
      <c r="K203" s="31" t="s">
        <v>320</v>
      </c>
      <c r="L203" s="31" t="s">
        <v>318</v>
      </c>
      <c r="M203" s="32" t="s">
        <v>273</v>
      </c>
      <c r="N203" s="32" t="s">
        <v>895</v>
      </c>
      <c r="O203" s="33">
        <v>1</v>
      </c>
      <c r="P203" s="33">
        <v>1</v>
      </c>
      <c r="Q203" s="32"/>
      <c r="S203" s="2">
        <f t="shared" si="51"/>
        <v>0</v>
      </c>
      <c r="T203" s="2">
        <f t="shared" si="52"/>
        <v>0</v>
      </c>
      <c r="U203" s="2">
        <f t="shared" si="53"/>
        <v>0</v>
      </c>
      <c r="V203" s="2">
        <f t="shared" si="54"/>
        <v>0</v>
      </c>
      <c r="W203" s="2">
        <f t="shared" si="55"/>
        <v>0</v>
      </c>
      <c r="X203" s="2">
        <f t="shared" si="56"/>
        <v>0</v>
      </c>
      <c r="Y203" s="2">
        <f t="shared" si="57"/>
        <v>0</v>
      </c>
      <c r="Z203" s="2">
        <f t="shared" si="58"/>
        <v>0</v>
      </c>
      <c r="AA203" s="2">
        <f t="shared" si="59"/>
        <v>0</v>
      </c>
      <c r="AB203" s="2">
        <f t="shared" si="60"/>
        <v>0</v>
      </c>
      <c r="AD203" s="2">
        <f t="shared" si="61"/>
        <v>1</v>
      </c>
      <c r="AE203" s="2">
        <f t="shared" si="62"/>
        <v>0</v>
      </c>
      <c r="AF203" s="2">
        <f t="shared" si="63"/>
        <v>1</v>
      </c>
      <c r="AG203" s="2">
        <f t="shared" si="64"/>
        <v>0</v>
      </c>
      <c r="AH203" s="2">
        <f t="shared" si="65"/>
        <v>1</v>
      </c>
      <c r="AI203" s="2">
        <f t="shared" si="66"/>
        <v>0</v>
      </c>
    </row>
    <row r="204" spans="1:35" ht="14.25" customHeight="1" x14ac:dyDescent="0.25">
      <c r="A204" s="31">
        <v>0</v>
      </c>
      <c r="B204" s="31">
        <v>2</v>
      </c>
      <c r="C204" s="31">
        <v>7</v>
      </c>
      <c r="D204" s="32" t="s">
        <v>429</v>
      </c>
      <c r="E204" s="32" t="s">
        <v>31</v>
      </c>
      <c r="F204" s="32" t="s">
        <v>430</v>
      </c>
      <c r="G204" s="32" t="s">
        <v>126</v>
      </c>
      <c r="H204" s="32" t="s">
        <v>165</v>
      </c>
      <c r="I204" s="31" t="s">
        <v>593</v>
      </c>
      <c r="J204" s="31">
        <v>99</v>
      </c>
      <c r="K204" s="31" t="s">
        <v>318</v>
      </c>
      <c r="L204" s="31" t="s">
        <v>318</v>
      </c>
      <c r="M204" s="32" t="s">
        <v>273</v>
      </c>
      <c r="N204" s="32" t="s">
        <v>932</v>
      </c>
      <c r="O204" s="33">
        <v>1</v>
      </c>
      <c r="P204" s="33"/>
      <c r="Q204" s="32"/>
      <c r="S204" s="2">
        <f t="shared" si="51"/>
        <v>0</v>
      </c>
      <c r="T204" s="2">
        <f t="shared" si="52"/>
        <v>0</v>
      </c>
      <c r="U204" s="2">
        <f t="shared" si="53"/>
        <v>0</v>
      </c>
      <c r="V204" s="2">
        <f t="shared" si="54"/>
        <v>0</v>
      </c>
      <c r="W204" s="2">
        <f t="shared" si="55"/>
        <v>0</v>
      </c>
      <c r="X204" s="2">
        <f t="shared" si="56"/>
        <v>0</v>
      </c>
      <c r="Y204" s="2">
        <f t="shared" si="57"/>
        <v>0</v>
      </c>
      <c r="Z204" s="2">
        <f t="shared" si="58"/>
        <v>0</v>
      </c>
      <c r="AA204" s="2">
        <f t="shared" si="59"/>
        <v>0</v>
      </c>
      <c r="AB204" s="2">
        <f t="shared" si="60"/>
        <v>0</v>
      </c>
      <c r="AD204" s="2">
        <f t="shared" si="61"/>
        <v>0</v>
      </c>
      <c r="AE204" s="2">
        <f t="shared" si="62"/>
        <v>1</v>
      </c>
      <c r="AF204" s="2">
        <f t="shared" si="63"/>
        <v>0</v>
      </c>
      <c r="AG204" s="2">
        <f t="shared" si="64"/>
        <v>1</v>
      </c>
      <c r="AH204" s="2">
        <f t="shared" si="65"/>
        <v>0</v>
      </c>
      <c r="AI204" s="2">
        <f t="shared" si="66"/>
        <v>1</v>
      </c>
    </row>
    <row r="205" spans="1:35" ht="14.25" customHeight="1" x14ac:dyDescent="0.25">
      <c r="A205" s="31">
        <v>1</v>
      </c>
      <c r="B205" s="31">
        <v>2</v>
      </c>
      <c r="C205" s="31">
        <v>7</v>
      </c>
      <c r="D205" s="32" t="s">
        <v>429</v>
      </c>
      <c r="E205" s="32" t="s">
        <v>31</v>
      </c>
      <c r="F205" s="32" t="s">
        <v>664</v>
      </c>
      <c r="G205" s="32" t="s">
        <v>665</v>
      </c>
      <c r="H205" s="32" t="s">
        <v>165</v>
      </c>
      <c r="I205" s="31" t="s">
        <v>593</v>
      </c>
      <c r="J205" s="31">
        <v>99</v>
      </c>
      <c r="K205" s="31" t="s">
        <v>318</v>
      </c>
      <c r="L205" s="31" t="s">
        <v>318</v>
      </c>
      <c r="M205" s="32" t="s">
        <v>273</v>
      </c>
      <c r="N205" s="32" t="s">
        <v>932</v>
      </c>
      <c r="O205" s="33">
        <v>1</v>
      </c>
      <c r="P205" s="33"/>
      <c r="Q205" s="32"/>
      <c r="S205" s="2">
        <f t="shared" si="51"/>
        <v>0</v>
      </c>
      <c r="T205" s="2">
        <f t="shared" si="52"/>
        <v>0</v>
      </c>
      <c r="U205" s="2">
        <f t="shared" si="53"/>
        <v>0</v>
      </c>
      <c r="V205" s="2">
        <f t="shared" si="54"/>
        <v>0</v>
      </c>
      <c r="W205" s="2">
        <f t="shared" si="55"/>
        <v>0</v>
      </c>
      <c r="X205" s="2">
        <f t="shared" si="56"/>
        <v>0</v>
      </c>
      <c r="Y205" s="2">
        <f t="shared" si="57"/>
        <v>0</v>
      </c>
      <c r="Z205" s="2">
        <f t="shared" si="58"/>
        <v>0</v>
      </c>
      <c r="AA205" s="2">
        <f t="shared" si="59"/>
        <v>0</v>
      </c>
      <c r="AB205" s="2">
        <f t="shared" si="60"/>
        <v>0</v>
      </c>
      <c r="AD205" s="2">
        <f t="shared" si="61"/>
        <v>0</v>
      </c>
      <c r="AE205" s="2">
        <f t="shared" si="62"/>
        <v>1</v>
      </c>
      <c r="AF205" s="2">
        <f t="shared" si="63"/>
        <v>0</v>
      </c>
      <c r="AG205" s="2">
        <f t="shared" si="64"/>
        <v>0</v>
      </c>
      <c r="AH205" s="2">
        <f t="shared" si="65"/>
        <v>0</v>
      </c>
      <c r="AI205" s="2">
        <f t="shared" si="66"/>
        <v>0</v>
      </c>
    </row>
    <row r="206" spans="1:35" ht="14.25" customHeight="1" x14ac:dyDescent="0.25">
      <c r="A206" s="31">
        <v>0</v>
      </c>
      <c r="B206" s="31">
        <v>2</v>
      </c>
      <c r="C206" s="31">
        <v>7</v>
      </c>
      <c r="D206" s="32" t="s">
        <v>72</v>
      </c>
      <c r="E206" s="32" t="s">
        <v>31</v>
      </c>
      <c r="F206" s="32" t="s">
        <v>151</v>
      </c>
      <c r="G206" s="32" t="s">
        <v>99</v>
      </c>
      <c r="H206" s="32" t="s">
        <v>165</v>
      </c>
      <c r="I206" s="31" t="s">
        <v>195</v>
      </c>
      <c r="J206" s="31">
        <v>3</v>
      </c>
      <c r="K206" s="31" t="s">
        <v>320</v>
      </c>
      <c r="L206" s="31" t="s">
        <v>318</v>
      </c>
      <c r="M206" s="32" t="s">
        <v>273</v>
      </c>
      <c r="N206" s="32" t="s">
        <v>932</v>
      </c>
      <c r="O206" s="33">
        <v>1</v>
      </c>
      <c r="P206" s="33"/>
      <c r="Q206" s="32"/>
      <c r="S206" s="2">
        <f t="shared" si="51"/>
        <v>0</v>
      </c>
      <c r="T206" s="2">
        <f t="shared" si="52"/>
        <v>0</v>
      </c>
      <c r="U206" s="2">
        <f t="shared" si="53"/>
        <v>1</v>
      </c>
      <c r="V206" s="2">
        <f t="shared" si="54"/>
        <v>0</v>
      </c>
      <c r="W206" s="2">
        <f t="shared" si="55"/>
        <v>0</v>
      </c>
      <c r="X206" s="2">
        <f t="shared" si="56"/>
        <v>0</v>
      </c>
      <c r="Y206" s="2">
        <f t="shared" si="57"/>
        <v>0</v>
      </c>
      <c r="Z206" s="2">
        <f t="shared" si="58"/>
        <v>0</v>
      </c>
      <c r="AA206" s="2">
        <f t="shared" si="59"/>
        <v>0</v>
      </c>
      <c r="AB206" s="2">
        <f t="shared" si="60"/>
        <v>0</v>
      </c>
      <c r="AD206" s="2">
        <f t="shared" si="61"/>
        <v>0</v>
      </c>
      <c r="AE206" s="2">
        <f t="shared" si="62"/>
        <v>1</v>
      </c>
      <c r="AF206" s="2">
        <f t="shared" si="63"/>
        <v>0</v>
      </c>
      <c r="AG206" s="2">
        <f t="shared" si="64"/>
        <v>1</v>
      </c>
      <c r="AH206" s="2">
        <f t="shared" si="65"/>
        <v>0</v>
      </c>
      <c r="AI206" s="2">
        <f t="shared" si="66"/>
        <v>1</v>
      </c>
    </row>
    <row r="207" spans="1:35" ht="14.25" customHeight="1" x14ac:dyDescent="0.25">
      <c r="A207" s="34">
        <v>0</v>
      </c>
      <c r="B207" s="34">
        <v>2</v>
      </c>
      <c r="C207" s="34">
        <v>7</v>
      </c>
      <c r="D207" s="35" t="s">
        <v>305</v>
      </c>
      <c r="E207" s="35" t="s">
        <v>31</v>
      </c>
      <c r="F207" s="35" t="s">
        <v>822</v>
      </c>
      <c r="G207" s="35" t="s">
        <v>578</v>
      </c>
      <c r="H207" s="35" t="s">
        <v>165</v>
      </c>
      <c r="I207" s="34" t="s">
        <v>297</v>
      </c>
      <c r="J207" s="34">
        <v>99</v>
      </c>
      <c r="K207" s="34" t="s">
        <v>318</v>
      </c>
      <c r="L207" s="34" t="s">
        <v>318</v>
      </c>
      <c r="M207" s="35" t="s">
        <v>273</v>
      </c>
      <c r="N207" s="35" t="s">
        <v>930</v>
      </c>
      <c r="O207" s="36"/>
      <c r="P207" s="36"/>
      <c r="Q207" s="35"/>
      <c r="S207" s="2">
        <f t="shared" si="51"/>
        <v>0</v>
      </c>
      <c r="T207" s="2">
        <f t="shared" si="52"/>
        <v>0</v>
      </c>
      <c r="U207" s="2">
        <f t="shared" si="53"/>
        <v>0</v>
      </c>
      <c r="V207" s="2">
        <f t="shared" si="54"/>
        <v>0</v>
      </c>
      <c r="W207" s="2">
        <f t="shared" si="55"/>
        <v>0</v>
      </c>
      <c r="X207" s="2">
        <f t="shared" si="56"/>
        <v>0</v>
      </c>
      <c r="Y207" s="2">
        <f t="shared" si="57"/>
        <v>0</v>
      </c>
      <c r="Z207" s="2">
        <f t="shared" si="58"/>
        <v>0</v>
      </c>
      <c r="AA207" s="2">
        <f t="shared" si="59"/>
        <v>0</v>
      </c>
      <c r="AB207" s="2">
        <f t="shared" si="60"/>
        <v>0</v>
      </c>
      <c r="AD207" s="2">
        <f t="shared" si="61"/>
        <v>0</v>
      </c>
      <c r="AE207" s="2">
        <f t="shared" si="62"/>
        <v>0</v>
      </c>
      <c r="AF207" s="2">
        <f t="shared" si="63"/>
        <v>0</v>
      </c>
      <c r="AG207" s="2">
        <f t="shared" si="64"/>
        <v>0</v>
      </c>
      <c r="AH207" s="2">
        <f t="shared" si="65"/>
        <v>0</v>
      </c>
      <c r="AI207" s="2">
        <f t="shared" si="66"/>
        <v>1</v>
      </c>
    </row>
    <row r="208" spans="1:35" ht="14.25" customHeight="1" x14ac:dyDescent="0.25">
      <c r="A208" s="34">
        <v>0</v>
      </c>
      <c r="B208" s="34">
        <v>2</v>
      </c>
      <c r="C208" s="34">
        <v>7</v>
      </c>
      <c r="D208" s="35" t="s">
        <v>73</v>
      </c>
      <c r="E208" s="35" t="s">
        <v>31</v>
      </c>
      <c r="F208" s="35" t="s">
        <v>152</v>
      </c>
      <c r="G208" s="35" t="s">
        <v>120</v>
      </c>
      <c r="H208" s="35" t="s">
        <v>165</v>
      </c>
      <c r="I208" s="34" t="s">
        <v>196</v>
      </c>
      <c r="J208" s="34">
        <v>6</v>
      </c>
      <c r="K208" s="34" t="s">
        <v>320</v>
      </c>
      <c r="L208" s="34" t="s">
        <v>318</v>
      </c>
      <c r="M208" s="35" t="s">
        <v>273</v>
      </c>
      <c r="N208" s="35" t="s">
        <v>897</v>
      </c>
      <c r="O208" s="36"/>
      <c r="P208" s="36"/>
      <c r="Q208" s="35"/>
      <c r="S208" s="2">
        <f t="shared" si="51"/>
        <v>0</v>
      </c>
      <c r="T208" s="2">
        <f t="shared" si="52"/>
        <v>0</v>
      </c>
      <c r="U208" s="2">
        <f t="shared" si="53"/>
        <v>0</v>
      </c>
      <c r="V208" s="2">
        <f t="shared" si="54"/>
        <v>0</v>
      </c>
      <c r="W208" s="2">
        <f t="shared" si="55"/>
        <v>0</v>
      </c>
      <c r="X208" s="2">
        <f t="shared" si="56"/>
        <v>1</v>
      </c>
      <c r="Y208" s="2">
        <f t="shared" si="57"/>
        <v>0</v>
      </c>
      <c r="Z208" s="2">
        <f t="shared" si="58"/>
        <v>0</v>
      </c>
      <c r="AA208" s="2">
        <f t="shared" si="59"/>
        <v>0</v>
      </c>
      <c r="AB208" s="2">
        <f t="shared" si="60"/>
        <v>0</v>
      </c>
      <c r="AD208" s="2">
        <f t="shared" si="61"/>
        <v>0</v>
      </c>
      <c r="AE208" s="2">
        <f t="shared" si="62"/>
        <v>0</v>
      </c>
      <c r="AF208" s="2">
        <f t="shared" si="63"/>
        <v>0</v>
      </c>
      <c r="AG208" s="2">
        <f t="shared" si="64"/>
        <v>0</v>
      </c>
      <c r="AH208" s="2">
        <f t="shared" si="65"/>
        <v>0</v>
      </c>
      <c r="AI208" s="2">
        <f t="shared" si="66"/>
        <v>1</v>
      </c>
    </row>
    <row r="209" spans="1:35" ht="14.25" customHeight="1" x14ac:dyDescent="0.25">
      <c r="A209" s="34">
        <v>1</v>
      </c>
      <c r="B209" s="34">
        <v>2</v>
      </c>
      <c r="C209" s="34">
        <v>7</v>
      </c>
      <c r="D209" s="35" t="s">
        <v>73</v>
      </c>
      <c r="E209" s="35" t="s">
        <v>31</v>
      </c>
      <c r="F209" s="35" t="s">
        <v>310</v>
      </c>
      <c r="G209" s="35" t="s">
        <v>102</v>
      </c>
      <c r="H209" s="35" t="s">
        <v>165</v>
      </c>
      <c r="I209" s="34" t="s">
        <v>316</v>
      </c>
      <c r="J209" s="34">
        <v>4</v>
      </c>
      <c r="K209" s="34" t="s">
        <v>320</v>
      </c>
      <c r="L209" s="34" t="s">
        <v>318</v>
      </c>
      <c r="M209" s="35" t="s">
        <v>273</v>
      </c>
      <c r="N209" s="35" t="s">
        <v>897</v>
      </c>
      <c r="O209" s="36"/>
      <c r="P209" s="36"/>
      <c r="Q209" s="35"/>
      <c r="S209" s="2">
        <f t="shared" ref="S209:S228" si="67">IF(J209=$S$7,1,0)</f>
        <v>0</v>
      </c>
      <c r="T209" s="2">
        <f t="shared" ref="T209:T228" si="68">IF(J209=$T$7,1,0)</f>
        <v>0</v>
      </c>
      <c r="U209" s="2">
        <f t="shared" ref="U209:U228" si="69">IF(J209=$U$7,1,0)</f>
        <v>0</v>
      </c>
      <c r="V209" s="2">
        <f t="shared" ref="V209:V228" si="70">IF(J209=$V$7,1,0)</f>
        <v>1</v>
      </c>
      <c r="W209" s="2">
        <f t="shared" ref="W209:W228" si="71">IF(J209=$W$7,1,0)</f>
        <v>0</v>
      </c>
      <c r="X209" s="2">
        <f t="shared" ref="X209:X228" si="72">IF(J209=$X$7,1,0)</f>
        <v>0</v>
      </c>
      <c r="Y209" s="2">
        <f t="shared" ref="Y209:Y228" si="73">IF(J209=$Y$7,1,0)</f>
        <v>0</v>
      </c>
      <c r="Z209" s="2">
        <f t="shared" ref="Z209:Z228" si="74">IF(J209=$Z$7,1,0)</f>
        <v>0</v>
      </c>
      <c r="AA209" s="2">
        <f t="shared" ref="AA209:AA228" si="75">IF(J209=$AA$7,1,0)</f>
        <v>0</v>
      </c>
      <c r="AB209" s="2">
        <f t="shared" ref="AB209:AB228" si="76">IF(J209=$AB$7,1,0)</f>
        <v>0</v>
      </c>
      <c r="AD209" s="2">
        <f t="shared" ref="AD209:AD228" si="77">+O209*P209</f>
        <v>0</v>
      </c>
      <c r="AE209" s="2">
        <f t="shared" ref="AE209:AE228" si="78">O209*(1-P209)</f>
        <v>0</v>
      </c>
      <c r="AF209" s="2">
        <f t="shared" si="63"/>
        <v>0</v>
      </c>
      <c r="AG209" s="2">
        <f t="shared" si="64"/>
        <v>0</v>
      </c>
      <c r="AH209" s="2">
        <f t="shared" si="65"/>
        <v>0</v>
      </c>
      <c r="AI209" s="2">
        <f t="shared" si="66"/>
        <v>0</v>
      </c>
    </row>
    <row r="210" spans="1:35" ht="14.25" customHeight="1" x14ac:dyDescent="0.25">
      <c r="A210" s="31">
        <v>0</v>
      </c>
      <c r="B210" s="31">
        <v>2</v>
      </c>
      <c r="C210" s="31">
        <v>7</v>
      </c>
      <c r="D210" s="32" t="s">
        <v>395</v>
      </c>
      <c r="E210" s="32" t="s">
        <v>31</v>
      </c>
      <c r="F210" s="32" t="s">
        <v>476</v>
      </c>
      <c r="G210" s="32" t="s">
        <v>477</v>
      </c>
      <c r="H210" s="32" t="s">
        <v>165</v>
      </c>
      <c r="I210" s="31" t="s">
        <v>396</v>
      </c>
      <c r="J210" s="31">
        <v>99</v>
      </c>
      <c r="K210" s="31" t="s">
        <v>318</v>
      </c>
      <c r="L210" s="31" t="s">
        <v>318</v>
      </c>
      <c r="M210" s="32" t="s">
        <v>273</v>
      </c>
      <c r="N210" s="32" t="s">
        <v>901</v>
      </c>
      <c r="O210" s="33">
        <v>1</v>
      </c>
      <c r="P210" s="33"/>
      <c r="Q210" s="32"/>
      <c r="S210" s="2">
        <f t="shared" si="67"/>
        <v>0</v>
      </c>
      <c r="T210" s="2">
        <f t="shared" si="68"/>
        <v>0</v>
      </c>
      <c r="U210" s="2">
        <f t="shared" si="69"/>
        <v>0</v>
      </c>
      <c r="V210" s="2">
        <f t="shared" si="70"/>
        <v>0</v>
      </c>
      <c r="W210" s="2">
        <f t="shared" si="71"/>
        <v>0</v>
      </c>
      <c r="X210" s="2">
        <f t="shared" si="72"/>
        <v>0</v>
      </c>
      <c r="Y210" s="2">
        <f t="shared" si="73"/>
        <v>0</v>
      </c>
      <c r="Z210" s="2">
        <f t="shared" si="74"/>
        <v>0</v>
      </c>
      <c r="AA210" s="2">
        <f t="shared" si="75"/>
        <v>0</v>
      </c>
      <c r="AB210" s="2">
        <f t="shared" si="76"/>
        <v>0</v>
      </c>
      <c r="AD210" s="2">
        <f t="shared" si="77"/>
        <v>0</v>
      </c>
      <c r="AE210" s="2">
        <f t="shared" si="78"/>
        <v>1</v>
      </c>
      <c r="AF210" s="2">
        <f t="shared" si="63"/>
        <v>0</v>
      </c>
      <c r="AG210" s="2">
        <f t="shared" si="64"/>
        <v>1</v>
      </c>
      <c r="AH210" s="2">
        <f t="shared" si="65"/>
        <v>0</v>
      </c>
      <c r="AI210" s="2">
        <f t="shared" si="66"/>
        <v>1</v>
      </c>
    </row>
    <row r="211" spans="1:35" ht="14.25" customHeight="1" x14ac:dyDescent="0.25">
      <c r="A211" s="34">
        <v>0</v>
      </c>
      <c r="B211" s="34">
        <v>2</v>
      </c>
      <c r="C211" s="34">
        <v>7</v>
      </c>
      <c r="D211" s="35" t="s">
        <v>568</v>
      </c>
      <c r="E211" s="35" t="s">
        <v>31</v>
      </c>
      <c r="F211" s="35" t="s">
        <v>579</v>
      </c>
      <c r="G211" s="35" t="s">
        <v>132</v>
      </c>
      <c r="H211" s="35" t="s">
        <v>165</v>
      </c>
      <c r="I211" s="34" t="s">
        <v>844</v>
      </c>
      <c r="J211" s="34">
        <v>3</v>
      </c>
      <c r="K211" s="34" t="s">
        <v>320</v>
      </c>
      <c r="L211" s="34" t="s">
        <v>318</v>
      </c>
      <c r="M211" s="35" t="s">
        <v>273</v>
      </c>
      <c r="N211" s="35" t="s">
        <v>931</v>
      </c>
      <c r="O211" s="36"/>
      <c r="P211" s="36"/>
      <c r="Q211" s="35"/>
      <c r="S211" s="2">
        <f t="shared" si="67"/>
        <v>0</v>
      </c>
      <c r="T211" s="2">
        <f t="shared" si="68"/>
        <v>0</v>
      </c>
      <c r="U211" s="2">
        <f t="shared" si="69"/>
        <v>1</v>
      </c>
      <c r="V211" s="2">
        <f t="shared" si="70"/>
        <v>0</v>
      </c>
      <c r="W211" s="2">
        <f t="shared" si="71"/>
        <v>0</v>
      </c>
      <c r="X211" s="2">
        <f t="shared" si="72"/>
        <v>0</v>
      </c>
      <c r="Y211" s="2">
        <f t="shared" si="73"/>
        <v>0</v>
      </c>
      <c r="Z211" s="2">
        <f t="shared" si="74"/>
        <v>0</v>
      </c>
      <c r="AA211" s="2">
        <f t="shared" si="75"/>
        <v>0</v>
      </c>
      <c r="AB211" s="2">
        <f t="shared" si="76"/>
        <v>0</v>
      </c>
      <c r="AD211" s="2">
        <f t="shared" si="77"/>
        <v>0</v>
      </c>
      <c r="AE211" s="2">
        <f t="shared" si="78"/>
        <v>0</v>
      </c>
      <c r="AF211" s="2">
        <f t="shared" si="63"/>
        <v>0</v>
      </c>
      <c r="AG211" s="2">
        <f t="shared" si="64"/>
        <v>0</v>
      </c>
      <c r="AH211" s="2">
        <f t="shared" si="65"/>
        <v>0</v>
      </c>
      <c r="AI211" s="2">
        <f t="shared" si="66"/>
        <v>1</v>
      </c>
    </row>
    <row r="212" spans="1:35" ht="14.25" customHeight="1" x14ac:dyDescent="0.25">
      <c r="A212" s="34">
        <v>0</v>
      </c>
      <c r="B212" s="34">
        <v>2</v>
      </c>
      <c r="C212" s="34">
        <v>7</v>
      </c>
      <c r="D212" s="35" t="s">
        <v>74</v>
      </c>
      <c r="E212" s="35" t="s">
        <v>31</v>
      </c>
      <c r="F212" s="35" t="s">
        <v>311</v>
      </c>
      <c r="G212" s="35" t="s">
        <v>103</v>
      </c>
      <c r="H212" s="35" t="s">
        <v>165</v>
      </c>
      <c r="I212" s="34" t="s">
        <v>845</v>
      </c>
      <c r="J212" s="34">
        <v>6</v>
      </c>
      <c r="K212" s="34" t="s">
        <v>318</v>
      </c>
      <c r="L212" s="34" t="s">
        <v>318</v>
      </c>
      <c r="M212" s="35" t="s">
        <v>273</v>
      </c>
      <c r="N212" s="35" t="s">
        <v>930</v>
      </c>
      <c r="O212" s="36"/>
      <c r="P212" s="36"/>
      <c r="Q212" s="35"/>
      <c r="S212" s="2">
        <f t="shared" si="67"/>
        <v>0</v>
      </c>
      <c r="T212" s="2">
        <f t="shared" si="68"/>
        <v>0</v>
      </c>
      <c r="U212" s="2">
        <f t="shared" si="69"/>
        <v>0</v>
      </c>
      <c r="V212" s="2">
        <f t="shared" si="70"/>
        <v>0</v>
      </c>
      <c r="W212" s="2">
        <f t="shared" si="71"/>
        <v>0</v>
      </c>
      <c r="X212" s="2">
        <f t="shared" si="72"/>
        <v>1</v>
      </c>
      <c r="Y212" s="2">
        <f t="shared" si="73"/>
        <v>0</v>
      </c>
      <c r="Z212" s="2">
        <f t="shared" si="74"/>
        <v>0</v>
      </c>
      <c r="AA212" s="2">
        <f t="shared" si="75"/>
        <v>0</v>
      </c>
      <c r="AB212" s="2">
        <f t="shared" si="76"/>
        <v>0</v>
      </c>
      <c r="AD212" s="2">
        <f t="shared" si="77"/>
        <v>0</v>
      </c>
      <c r="AE212" s="2">
        <f t="shared" si="78"/>
        <v>0</v>
      </c>
      <c r="AF212" s="2">
        <f t="shared" si="63"/>
        <v>0</v>
      </c>
      <c r="AG212" s="2">
        <f t="shared" si="64"/>
        <v>0</v>
      </c>
      <c r="AH212" s="2">
        <f t="shared" si="65"/>
        <v>0</v>
      </c>
      <c r="AI212" s="2">
        <f t="shared" si="66"/>
        <v>1</v>
      </c>
    </row>
    <row r="213" spans="1:35" ht="14.25" customHeight="1" x14ac:dyDescent="0.25">
      <c r="A213" s="34">
        <v>0</v>
      </c>
      <c r="B213" s="34">
        <v>2</v>
      </c>
      <c r="C213" s="34">
        <v>7</v>
      </c>
      <c r="D213" s="35" t="s">
        <v>68</v>
      </c>
      <c r="E213" s="35" t="s">
        <v>90</v>
      </c>
      <c r="F213" s="35" t="s">
        <v>146</v>
      </c>
      <c r="G213" s="35" t="s">
        <v>103</v>
      </c>
      <c r="H213" s="35" t="s">
        <v>165</v>
      </c>
      <c r="I213" s="34" t="s">
        <v>191</v>
      </c>
      <c r="J213" s="34">
        <v>6</v>
      </c>
      <c r="K213" s="34" t="s">
        <v>321</v>
      </c>
      <c r="L213" s="34" t="s">
        <v>333</v>
      </c>
      <c r="M213" s="35" t="s">
        <v>274</v>
      </c>
      <c r="N213" s="35" t="s">
        <v>931</v>
      </c>
      <c r="O213" s="36"/>
      <c r="P213" s="36"/>
      <c r="Q213" s="35"/>
      <c r="S213" s="2">
        <f t="shared" si="67"/>
        <v>0</v>
      </c>
      <c r="T213" s="2">
        <f t="shared" si="68"/>
        <v>0</v>
      </c>
      <c r="U213" s="2">
        <f t="shared" si="69"/>
        <v>0</v>
      </c>
      <c r="V213" s="2">
        <f t="shared" si="70"/>
        <v>0</v>
      </c>
      <c r="W213" s="2">
        <f t="shared" si="71"/>
        <v>0</v>
      </c>
      <c r="X213" s="2">
        <f t="shared" si="72"/>
        <v>1</v>
      </c>
      <c r="Y213" s="2">
        <f t="shared" si="73"/>
        <v>0</v>
      </c>
      <c r="Z213" s="2">
        <f t="shared" si="74"/>
        <v>0</v>
      </c>
      <c r="AA213" s="2">
        <f t="shared" si="75"/>
        <v>0</v>
      </c>
      <c r="AB213" s="2">
        <f t="shared" si="76"/>
        <v>0</v>
      </c>
      <c r="AD213" s="2">
        <f t="shared" si="77"/>
        <v>0</v>
      </c>
      <c r="AE213" s="2">
        <f t="shared" si="78"/>
        <v>0</v>
      </c>
      <c r="AF213" s="2">
        <f t="shared" si="63"/>
        <v>0</v>
      </c>
      <c r="AG213" s="2">
        <f t="shared" si="64"/>
        <v>0</v>
      </c>
      <c r="AH213" s="2">
        <f t="shared" si="65"/>
        <v>0</v>
      </c>
      <c r="AI213" s="2">
        <f t="shared" si="66"/>
        <v>1</v>
      </c>
    </row>
    <row r="214" spans="1:35" ht="14.25" customHeight="1" x14ac:dyDescent="0.25">
      <c r="A214" s="31">
        <v>0</v>
      </c>
      <c r="B214" s="31">
        <v>2</v>
      </c>
      <c r="C214" s="31">
        <v>7</v>
      </c>
      <c r="D214" s="32" t="s">
        <v>464</v>
      </c>
      <c r="E214" s="32" t="s">
        <v>31</v>
      </c>
      <c r="F214" s="32" t="s">
        <v>397</v>
      </c>
      <c r="G214" s="32" t="s">
        <v>480</v>
      </c>
      <c r="H214" s="32" t="s">
        <v>165</v>
      </c>
      <c r="I214" s="31" t="s">
        <v>490</v>
      </c>
      <c r="J214" s="31">
        <v>99</v>
      </c>
      <c r="K214" s="31" t="s">
        <v>378</v>
      </c>
      <c r="L214" s="31" t="s">
        <v>318</v>
      </c>
      <c r="M214" s="32" t="s">
        <v>273</v>
      </c>
      <c r="N214" s="32" t="s">
        <v>937</v>
      </c>
      <c r="O214" s="33">
        <v>1</v>
      </c>
      <c r="P214" s="33"/>
      <c r="Q214" s="32"/>
      <c r="S214" s="2">
        <f t="shared" si="67"/>
        <v>0</v>
      </c>
      <c r="T214" s="2">
        <f t="shared" si="68"/>
        <v>0</v>
      </c>
      <c r="U214" s="2">
        <f t="shared" si="69"/>
        <v>0</v>
      </c>
      <c r="V214" s="2">
        <f t="shared" si="70"/>
        <v>0</v>
      </c>
      <c r="W214" s="2">
        <f t="shared" si="71"/>
        <v>0</v>
      </c>
      <c r="X214" s="2">
        <f t="shared" si="72"/>
        <v>0</v>
      </c>
      <c r="Y214" s="2">
        <f t="shared" si="73"/>
        <v>0</v>
      </c>
      <c r="Z214" s="2">
        <f t="shared" si="74"/>
        <v>0</v>
      </c>
      <c r="AA214" s="2">
        <f t="shared" si="75"/>
        <v>0</v>
      </c>
      <c r="AB214" s="2">
        <f t="shared" si="76"/>
        <v>0</v>
      </c>
      <c r="AD214" s="2">
        <f t="shared" si="77"/>
        <v>0</v>
      </c>
      <c r="AE214" s="2">
        <f t="shared" si="78"/>
        <v>1</v>
      </c>
      <c r="AF214" s="2">
        <f t="shared" si="63"/>
        <v>0</v>
      </c>
      <c r="AG214" s="2">
        <f t="shared" si="64"/>
        <v>1</v>
      </c>
      <c r="AH214" s="2">
        <f t="shared" si="65"/>
        <v>0</v>
      </c>
      <c r="AI214" s="2">
        <f t="shared" si="66"/>
        <v>1</v>
      </c>
    </row>
    <row r="215" spans="1:35" ht="14.25" customHeight="1" x14ac:dyDescent="0.25">
      <c r="A215" s="31">
        <v>0</v>
      </c>
      <c r="B215" s="31">
        <v>2</v>
      </c>
      <c r="C215" s="31">
        <v>7</v>
      </c>
      <c r="D215" s="32" t="s">
        <v>506</v>
      </c>
      <c r="E215" s="32" t="s">
        <v>31</v>
      </c>
      <c r="F215" s="32" t="s">
        <v>507</v>
      </c>
      <c r="G215" s="32" t="s">
        <v>96</v>
      </c>
      <c r="H215" s="32" t="s">
        <v>165</v>
      </c>
      <c r="I215" s="31" t="s">
        <v>508</v>
      </c>
      <c r="J215" s="31">
        <v>3</v>
      </c>
      <c r="K215" s="31" t="s">
        <v>318</v>
      </c>
      <c r="L215" s="31" t="s">
        <v>318</v>
      </c>
      <c r="M215" s="32" t="s">
        <v>273</v>
      </c>
      <c r="N215" s="32" t="s">
        <v>915</v>
      </c>
      <c r="O215" s="33">
        <v>1</v>
      </c>
      <c r="P215" s="33"/>
      <c r="Q215" s="32"/>
      <c r="S215" s="2">
        <f t="shared" si="67"/>
        <v>0</v>
      </c>
      <c r="T215" s="2">
        <f t="shared" si="68"/>
        <v>0</v>
      </c>
      <c r="U215" s="2">
        <f t="shared" si="69"/>
        <v>1</v>
      </c>
      <c r="V215" s="2">
        <f t="shared" si="70"/>
        <v>0</v>
      </c>
      <c r="W215" s="2">
        <f t="shared" si="71"/>
        <v>0</v>
      </c>
      <c r="X215" s="2">
        <f t="shared" si="72"/>
        <v>0</v>
      </c>
      <c r="Y215" s="2">
        <f t="shared" si="73"/>
        <v>0</v>
      </c>
      <c r="Z215" s="2">
        <f t="shared" si="74"/>
        <v>0</v>
      </c>
      <c r="AA215" s="2">
        <f t="shared" si="75"/>
        <v>0</v>
      </c>
      <c r="AB215" s="2">
        <f t="shared" si="76"/>
        <v>0</v>
      </c>
      <c r="AD215" s="2">
        <f t="shared" si="77"/>
        <v>0</v>
      </c>
      <c r="AE215" s="2">
        <f t="shared" si="78"/>
        <v>1</v>
      </c>
      <c r="AF215" s="2">
        <f t="shared" si="63"/>
        <v>0</v>
      </c>
      <c r="AG215" s="2">
        <f t="shared" si="64"/>
        <v>1</v>
      </c>
      <c r="AH215" s="2">
        <f t="shared" si="65"/>
        <v>0</v>
      </c>
      <c r="AI215" s="2">
        <f t="shared" si="66"/>
        <v>1</v>
      </c>
    </row>
    <row r="216" spans="1:35" ht="14.25" customHeight="1" x14ac:dyDescent="0.25">
      <c r="A216" s="31">
        <v>0</v>
      </c>
      <c r="B216" s="31">
        <v>2</v>
      </c>
      <c r="C216" s="31">
        <v>7</v>
      </c>
      <c r="D216" s="32" t="s">
        <v>919</v>
      </c>
      <c r="E216" s="32" t="s">
        <v>920</v>
      </c>
      <c r="F216" s="32" t="s">
        <v>146</v>
      </c>
      <c r="G216" s="32" t="s">
        <v>103</v>
      </c>
      <c r="H216" s="32" t="s">
        <v>165</v>
      </c>
      <c r="I216" s="31" t="s">
        <v>33</v>
      </c>
      <c r="J216" s="31">
        <v>6</v>
      </c>
      <c r="K216" s="31" t="s">
        <v>378</v>
      </c>
      <c r="L216" s="31"/>
      <c r="M216" s="32"/>
      <c r="N216" s="32" t="s">
        <v>895</v>
      </c>
      <c r="O216" s="33">
        <v>1</v>
      </c>
      <c r="P216" s="33">
        <v>1</v>
      </c>
      <c r="Q216" s="32"/>
      <c r="S216" s="2">
        <f t="shared" si="67"/>
        <v>0</v>
      </c>
      <c r="T216" s="2">
        <f t="shared" si="68"/>
        <v>0</v>
      </c>
      <c r="U216" s="2">
        <f t="shared" si="69"/>
        <v>0</v>
      </c>
      <c r="V216" s="2">
        <f t="shared" si="70"/>
        <v>0</v>
      </c>
      <c r="W216" s="2">
        <f t="shared" si="71"/>
        <v>0</v>
      </c>
      <c r="X216" s="2">
        <f t="shared" si="72"/>
        <v>1</v>
      </c>
      <c r="Y216" s="2">
        <f t="shared" si="73"/>
        <v>0</v>
      </c>
      <c r="Z216" s="2">
        <f t="shared" si="74"/>
        <v>0</v>
      </c>
      <c r="AA216" s="2">
        <f t="shared" si="75"/>
        <v>0</v>
      </c>
      <c r="AB216" s="2">
        <f t="shared" si="76"/>
        <v>0</v>
      </c>
      <c r="AD216" s="2">
        <f t="shared" si="77"/>
        <v>1</v>
      </c>
      <c r="AE216" s="2">
        <f t="shared" si="78"/>
        <v>0</v>
      </c>
      <c r="AF216" s="2">
        <f t="shared" si="63"/>
        <v>1</v>
      </c>
      <c r="AG216" s="2">
        <f t="shared" si="64"/>
        <v>0</v>
      </c>
      <c r="AH216" s="2">
        <f t="shared" si="65"/>
        <v>1</v>
      </c>
      <c r="AI216" s="2">
        <f t="shared" si="66"/>
        <v>0</v>
      </c>
    </row>
    <row r="217" spans="1:35" ht="14.25" customHeight="1" x14ac:dyDescent="0.25">
      <c r="A217" s="31">
        <v>1</v>
      </c>
      <c r="B217" s="31">
        <v>2</v>
      </c>
      <c r="C217" s="31">
        <v>7</v>
      </c>
      <c r="D217" s="32" t="s">
        <v>919</v>
      </c>
      <c r="E217" s="32" t="s">
        <v>920</v>
      </c>
      <c r="F217" s="32" t="s">
        <v>921</v>
      </c>
      <c r="G217" s="32" t="s">
        <v>922</v>
      </c>
      <c r="H217" s="32" t="s">
        <v>165</v>
      </c>
      <c r="I217" s="31"/>
      <c r="J217" s="31"/>
      <c r="K217" s="31" t="s">
        <v>378</v>
      </c>
      <c r="L217" s="31"/>
      <c r="M217" s="32"/>
      <c r="N217" s="32" t="s">
        <v>895</v>
      </c>
      <c r="O217" s="33">
        <v>1</v>
      </c>
      <c r="P217" s="33">
        <v>1</v>
      </c>
      <c r="Q217" s="32"/>
      <c r="S217" s="2">
        <f t="shared" si="67"/>
        <v>0</v>
      </c>
      <c r="T217" s="2">
        <f t="shared" si="68"/>
        <v>0</v>
      </c>
      <c r="U217" s="2">
        <f t="shared" si="69"/>
        <v>0</v>
      </c>
      <c r="V217" s="2">
        <f t="shared" si="70"/>
        <v>0</v>
      </c>
      <c r="W217" s="2">
        <f t="shared" si="71"/>
        <v>0</v>
      </c>
      <c r="X217" s="2">
        <f t="shared" si="72"/>
        <v>0</v>
      </c>
      <c r="Y217" s="2">
        <f t="shared" si="73"/>
        <v>0</v>
      </c>
      <c r="Z217" s="2">
        <f t="shared" si="74"/>
        <v>0</v>
      </c>
      <c r="AA217" s="2">
        <f t="shared" si="75"/>
        <v>0</v>
      </c>
      <c r="AB217" s="2">
        <f t="shared" si="76"/>
        <v>0</v>
      </c>
      <c r="AD217" s="2">
        <f t="shared" si="77"/>
        <v>1</v>
      </c>
      <c r="AE217" s="2">
        <f t="shared" si="78"/>
        <v>0</v>
      </c>
      <c r="AF217" s="2">
        <f t="shared" si="63"/>
        <v>0</v>
      </c>
      <c r="AG217" s="2">
        <f t="shared" si="64"/>
        <v>0</v>
      </c>
      <c r="AH217" s="2">
        <f t="shared" si="65"/>
        <v>0</v>
      </c>
      <c r="AI217" s="2">
        <f t="shared" si="66"/>
        <v>0</v>
      </c>
    </row>
    <row r="218" spans="1:35" ht="14.25" customHeight="1" x14ac:dyDescent="0.25">
      <c r="A218" s="31">
        <v>0</v>
      </c>
      <c r="B218" s="31">
        <v>2</v>
      </c>
      <c r="C218" s="31">
        <v>7</v>
      </c>
      <c r="D218" s="32" t="s">
        <v>362</v>
      </c>
      <c r="E218" s="32" t="s">
        <v>31</v>
      </c>
      <c r="F218" s="32" t="s">
        <v>153</v>
      </c>
      <c r="G218" s="32" t="s">
        <v>109</v>
      </c>
      <c r="H218" s="32" t="s">
        <v>165</v>
      </c>
      <c r="I218" s="31" t="s">
        <v>197</v>
      </c>
      <c r="J218" s="31">
        <v>9</v>
      </c>
      <c r="K218" s="31" t="s">
        <v>320</v>
      </c>
      <c r="L218" s="31" t="s">
        <v>318</v>
      </c>
      <c r="M218" s="32" t="s">
        <v>273</v>
      </c>
      <c r="N218" s="32" t="s">
        <v>915</v>
      </c>
      <c r="O218" s="33">
        <v>1</v>
      </c>
      <c r="P218" s="33"/>
      <c r="Q218" s="32"/>
      <c r="S218" s="2">
        <f t="shared" si="67"/>
        <v>0</v>
      </c>
      <c r="T218" s="2">
        <f t="shared" si="68"/>
        <v>0</v>
      </c>
      <c r="U218" s="2">
        <f t="shared" si="69"/>
        <v>0</v>
      </c>
      <c r="V218" s="2">
        <f t="shared" si="70"/>
        <v>0</v>
      </c>
      <c r="W218" s="2">
        <f t="shared" si="71"/>
        <v>0</v>
      </c>
      <c r="X218" s="2">
        <f t="shared" si="72"/>
        <v>0</v>
      </c>
      <c r="Y218" s="2">
        <f t="shared" si="73"/>
        <v>0</v>
      </c>
      <c r="Z218" s="2">
        <f t="shared" si="74"/>
        <v>0</v>
      </c>
      <c r="AA218" s="2">
        <f t="shared" si="75"/>
        <v>1</v>
      </c>
      <c r="AB218" s="2">
        <f t="shared" si="76"/>
        <v>0</v>
      </c>
      <c r="AD218" s="2">
        <f t="shared" si="77"/>
        <v>0</v>
      </c>
      <c r="AE218" s="2">
        <f t="shared" si="78"/>
        <v>1</v>
      </c>
      <c r="AF218" s="2">
        <f t="shared" si="63"/>
        <v>0</v>
      </c>
      <c r="AG218" s="2">
        <f t="shared" si="64"/>
        <v>1</v>
      </c>
      <c r="AH218" s="2">
        <f t="shared" si="65"/>
        <v>0</v>
      </c>
      <c r="AI218" s="2">
        <f t="shared" si="66"/>
        <v>1</v>
      </c>
    </row>
    <row r="219" spans="1:35" ht="14.25" customHeight="1" x14ac:dyDescent="0.25">
      <c r="A219" s="31">
        <v>1</v>
      </c>
      <c r="B219" s="31">
        <v>2</v>
      </c>
      <c r="C219" s="31">
        <v>7</v>
      </c>
      <c r="D219" s="32" t="s">
        <v>362</v>
      </c>
      <c r="E219" s="32" t="s">
        <v>31</v>
      </c>
      <c r="F219" s="32" t="s">
        <v>369</v>
      </c>
      <c r="G219" s="32" t="s">
        <v>109</v>
      </c>
      <c r="H219" s="32" t="s">
        <v>165</v>
      </c>
      <c r="I219" s="31" t="s">
        <v>376</v>
      </c>
      <c r="J219" s="31">
        <v>9</v>
      </c>
      <c r="K219" s="31" t="s">
        <v>320</v>
      </c>
      <c r="L219" s="31" t="s">
        <v>318</v>
      </c>
      <c r="M219" s="32" t="s">
        <v>273</v>
      </c>
      <c r="N219" s="32" t="s">
        <v>915</v>
      </c>
      <c r="O219" s="33">
        <v>1</v>
      </c>
      <c r="P219" s="33"/>
      <c r="Q219" s="32" t="s">
        <v>960</v>
      </c>
      <c r="S219" s="2">
        <f t="shared" si="67"/>
        <v>0</v>
      </c>
      <c r="T219" s="2">
        <f t="shared" si="68"/>
        <v>0</v>
      </c>
      <c r="U219" s="2">
        <f t="shared" si="69"/>
        <v>0</v>
      </c>
      <c r="V219" s="2">
        <f t="shared" si="70"/>
        <v>0</v>
      </c>
      <c r="W219" s="2">
        <f t="shared" si="71"/>
        <v>0</v>
      </c>
      <c r="X219" s="2">
        <f t="shared" si="72"/>
        <v>0</v>
      </c>
      <c r="Y219" s="2">
        <f t="shared" si="73"/>
        <v>0</v>
      </c>
      <c r="Z219" s="2">
        <f t="shared" si="74"/>
        <v>0</v>
      </c>
      <c r="AA219" s="2">
        <f t="shared" si="75"/>
        <v>1</v>
      </c>
      <c r="AB219" s="2">
        <f t="shared" si="76"/>
        <v>0</v>
      </c>
      <c r="AD219" s="2">
        <f t="shared" si="77"/>
        <v>0</v>
      </c>
      <c r="AE219" s="2">
        <f t="shared" si="78"/>
        <v>1</v>
      </c>
      <c r="AF219" s="2">
        <f t="shared" si="63"/>
        <v>0</v>
      </c>
      <c r="AG219" s="2">
        <f t="shared" si="64"/>
        <v>0</v>
      </c>
      <c r="AH219" s="2">
        <f t="shared" si="65"/>
        <v>0</v>
      </c>
      <c r="AI219" s="2">
        <f t="shared" si="66"/>
        <v>0</v>
      </c>
    </row>
    <row r="220" spans="1:35" ht="14.25" customHeight="1" x14ac:dyDescent="0.25">
      <c r="A220" s="31">
        <v>0</v>
      </c>
      <c r="B220" s="31">
        <v>2</v>
      </c>
      <c r="C220" s="31">
        <v>7</v>
      </c>
      <c r="D220" s="32" t="s">
        <v>398</v>
      </c>
      <c r="E220" s="32" t="s">
        <v>31</v>
      </c>
      <c r="F220" s="32" t="s">
        <v>401</v>
      </c>
      <c r="G220" s="32" t="s">
        <v>481</v>
      </c>
      <c r="H220" s="32" t="s">
        <v>165</v>
      </c>
      <c r="I220" s="31" t="s">
        <v>493</v>
      </c>
      <c r="J220" s="31">
        <v>6</v>
      </c>
      <c r="K220" s="31" t="s">
        <v>319</v>
      </c>
      <c r="L220" s="31" t="s">
        <v>318</v>
      </c>
      <c r="M220" s="32" t="s">
        <v>273</v>
      </c>
      <c r="N220" s="32" t="s">
        <v>937</v>
      </c>
      <c r="O220" s="33">
        <v>1</v>
      </c>
      <c r="P220" s="33"/>
      <c r="Q220" s="32"/>
      <c r="S220" s="2">
        <f t="shared" si="67"/>
        <v>0</v>
      </c>
      <c r="T220" s="2">
        <f t="shared" si="68"/>
        <v>0</v>
      </c>
      <c r="U220" s="2">
        <f t="shared" si="69"/>
        <v>0</v>
      </c>
      <c r="V220" s="2">
        <f t="shared" si="70"/>
        <v>0</v>
      </c>
      <c r="W220" s="2">
        <f t="shared" si="71"/>
        <v>0</v>
      </c>
      <c r="X220" s="2">
        <f t="shared" si="72"/>
        <v>1</v>
      </c>
      <c r="Y220" s="2">
        <f t="shared" si="73"/>
        <v>0</v>
      </c>
      <c r="Z220" s="2">
        <f t="shared" si="74"/>
        <v>0</v>
      </c>
      <c r="AA220" s="2">
        <f t="shared" si="75"/>
        <v>0</v>
      </c>
      <c r="AB220" s="2">
        <f t="shared" si="76"/>
        <v>0</v>
      </c>
      <c r="AD220" s="2">
        <f t="shared" si="77"/>
        <v>0</v>
      </c>
      <c r="AE220" s="2">
        <f t="shared" si="78"/>
        <v>1</v>
      </c>
      <c r="AF220" s="2">
        <f t="shared" si="63"/>
        <v>0</v>
      </c>
      <c r="AG220" s="2">
        <f t="shared" si="64"/>
        <v>1</v>
      </c>
      <c r="AH220" s="2">
        <f t="shared" si="65"/>
        <v>0</v>
      </c>
      <c r="AI220" s="2">
        <f t="shared" si="66"/>
        <v>1</v>
      </c>
    </row>
    <row r="221" spans="1:35" ht="14.25" customHeight="1" x14ac:dyDescent="0.25">
      <c r="A221" s="31">
        <v>1</v>
      </c>
      <c r="B221" s="31">
        <v>2</v>
      </c>
      <c r="C221" s="31">
        <v>7</v>
      </c>
      <c r="D221" s="32" t="s">
        <v>398</v>
      </c>
      <c r="E221" s="32" t="s">
        <v>31</v>
      </c>
      <c r="F221" s="32" t="s">
        <v>399</v>
      </c>
      <c r="G221" s="32" t="s">
        <v>124</v>
      </c>
      <c r="H221" s="32" t="s">
        <v>165</v>
      </c>
      <c r="I221" s="31" t="s">
        <v>400</v>
      </c>
      <c r="J221" s="31">
        <v>7</v>
      </c>
      <c r="K221" s="31" t="s">
        <v>319</v>
      </c>
      <c r="L221" s="31" t="s">
        <v>318</v>
      </c>
      <c r="M221" s="32" t="s">
        <v>273</v>
      </c>
      <c r="N221" s="32" t="s">
        <v>937</v>
      </c>
      <c r="O221" s="33">
        <v>1</v>
      </c>
      <c r="P221" s="33"/>
      <c r="Q221" s="32"/>
      <c r="S221" s="2">
        <f t="shared" si="67"/>
        <v>0</v>
      </c>
      <c r="T221" s="2">
        <f t="shared" si="68"/>
        <v>0</v>
      </c>
      <c r="U221" s="2">
        <f t="shared" si="69"/>
        <v>0</v>
      </c>
      <c r="V221" s="2">
        <f t="shared" si="70"/>
        <v>0</v>
      </c>
      <c r="W221" s="2">
        <f t="shared" si="71"/>
        <v>0</v>
      </c>
      <c r="X221" s="2">
        <f t="shared" si="72"/>
        <v>0</v>
      </c>
      <c r="Y221" s="2">
        <f t="shared" si="73"/>
        <v>1</v>
      </c>
      <c r="Z221" s="2">
        <f t="shared" si="74"/>
        <v>0</v>
      </c>
      <c r="AA221" s="2">
        <f t="shared" si="75"/>
        <v>0</v>
      </c>
      <c r="AB221" s="2">
        <f t="shared" si="76"/>
        <v>0</v>
      </c>
      <c r="AD221" s="2">
        <f t="shared" si="77"/>
        <v>0</v>
      </c>
      <c r="AE221" s="2">
        <f t="shared" si="78"/>
        <v>1</v>
      </c>
      <c r="AF221" s="2">
        <f t="shared" si="63"/>
        <v>0</v>
      </c>
      <c r="AG221" s="2">
        <f t="shared" si="64"/>
        <v>0</v>
      </c>
      <c r="AH221" s="2">
        <f t="shared" si="65"/>
        <v>0</v>
      </c>
      <c r="AI221" s="2">
        <f t="shared" si="66"/>
        <v>0</v>
      </c>
    </row>
    <row r="222" spans="1:35" ht="14.25" customHeight="1" x14ac:dyDescent="0.25">
      <c r="A222" s="31">
        <v>1</v>
      </c>
      <c r="B222" s="31">
        <v>2</v>
      </c>
      <c r="C222" s="31">
        <v>7</v>
      </c>
      <c r="D222" s="32" t="s">
        <v>398</v>
      </c>
      <c r="E222" s="32" t="s">
        <v>31</v>
      </c>
      <c r="F222" s="32" t="s">
        <v>402</v>
      </c>
      <c r="G222" s="32" t="s">
        <v>403</v>
      </c>
      <c r="H222" s="32" t="s">
        <v>165</v>
      </c>
      <c r="I222" s="31" t="s">
        <v>494</v>
      </c>
      <c r="J222" s="31">
        <v>99</v>
      </c>
      <c r="K222" s="31" t="s">
        <v>319</v>
      </c>
      <c r="L222" s="31" t="s">
        <v>318</v>
      </c>
      <c r="M222" s="32" t="s">
        <v>273</v>
      </c>
      <c r="N222" s="32" t="s">
        <v>937</v>
      </c>
      <c r="O222" s="33">
        <v>1</v>
      </c>
      <c r="P222" s="33"/>
      <c r="Q222" s="32"/>
      <c r="S222" s="2">
        <f t="shared" si="67"/>
        <v>0</v>
      </c>
      <c r="T222" s="2">
        <f t="shared" si="68"/>
        <v>0</v>
      </c>
      <c r="U222" s="2">
        <f t="shared" si="69"/>
        <v>0</v>
      </c>
      <c r="V222" s="2">
        <f t="shared" si="70"/>
        <v>0</v>
      </c>
      <c r="W222" s="2">
        <f t="shared" si="71"/>
        <v>0</v>
      </c>
      <c r="X222" s="2">
        <f t="shared" si="72"/>
        <v>0</v>
      </c>
      <c r="Y222" s="2">
        <f t="shared" si="73"/>
        <v>0</v>
      </c>
      <c r="Z222" s="2">
        <f t="shared" si="74"/>
        <v>0</v>
      </c>
      <c r="AA222" s="2">
        <f t="shared" si="75"/>
        <v>0</v>
      </c>
      <c r="AB222" s="2">
        <f t="shared" si="76"/>
        <v>0</v>
      </c>
      <c r="AD222" s="2">
        <f t="shared" si="77"/>
        <v>0</v>
      </c>
      <c r="AE222" s="2">
        <f t="shared" si="78"/>
        <v>1</v>
      </c>
      <c r="AF222" s="2">
        <f t="shared" si="63"/>
        <v>0</v>
      </c>
      <c r="AG222" s="2">
        <f t="shared" si="64"/>
        <v>0</v>
      </c>
      <c r="AH222" s="2">
        <f t="shared" si="65"/>
        <v>0</v>
      </c>
      <c r="AI222" s="2">
        <f t="shared" si="66"/>
        <v>0</v>
      </c>
    </row>
    <row r="223" spans="1:35" ht="14.25" customHeight="1" x14ac:dyDescent="0.25">
      <c r="A223" s="31">
        <v>0</v>
      </c>
      <c r="B223" s="31">
        <v>2</v>
      </c>
      <c r="C223" s="31">
        <v>7</v>
      </c>
      <c r="D223" s="32" t="s">
        <v>465</v>
      </c>
      <c r="E223" s="32" t="s">
        <v>31</v>
      </c>
      <c r="F223" s="32" t="s">
        <v>431</v>
      </c>
      <c r="G223" s="32" t="s">
        <v>125</v>
      </c>
      <c r="H223" s="32" t="s">
        <v>165</v>
      </c>
      <c r="I223" s="31" t="s">
        <v>495</v>
      </c>
      <c r="J223" s="31">
        <v>99</v>
      </c>
      <c r="K223" s="31" t="s">
        <v>320</v>
      </c>
      <c r="L223" s="31" t="s">
        <v>318</v>
      </c>
      <c r="M223" s="32" t="s">
        <v>273</v>
      </c>
      <c r="N223" s="32" t="s">
        <v>913</v>
      </c>
      <c r="O223" s="33">
        <v>1</v>
      </c>
      <c r="P223" s="33"/>
      <c r="Q223" s="32"/>
      <c r="S223" s="2">
        <f t="shared" si="67"/>
        <v>0</v>
      </c>
      <c r="T223" s="2">
        <f t="shared" si="68"/>
        <v>0</v>
      </c>
      <c r="U223" s="2">
        <f t="shared" si="69"/>
        <v>0</v>
      </c>
      <c r="V223" s="2">
        <f t="shared" si="70"/>
        <v>0</v>
      </c>
      <c r="W223" s="2">
        <f t="shared" si="71"/>
        <v>0</v>
      </c>
      <c r="X223" s="2">
        <f t="shared" si="72"/>
        <v>0</v>
      </c>
      <c r="Y223" s="2">
        <f t="shared" si="73"/>
        <v>0</v>
      </c>
      <c r="Z223" s="2">
        <f t="shared" si="74"/>
        <v>0</v>
      </c>
      <c r="AA223" s="2">
        <f t="shared" si="75"/>
        <v>0</v>
      </c>
      <c r="AB223" s="2">
        <f t="shared" si="76"/>
        <v>0</v>
      </c>
      <c r="AD223" s="2">
        <f t="shared" si="77"/>
        <v>0</v>
      </c>
      <c r="AE223" s="2">
        <f t="shared" si="78"/>
        <v>1</v>
      </c>
      <c r="AF223" s="2">
        <f t="shared" si="63"/>
        <v>0</v>
      </c>
      <c r="AG223" s="2">
        <f t="shared" si="64"/>
        <v>1</v>
      </c>
      <c r="AH223" s="2">
        <f t="shared" si="65"/>
        <v>0</v>
      </c>
      <c r="AI223" s="2">
        <f t="shared" si="66"/>
        <v>1</v>
      </c>
    </row>
    <row r="224" spans="1:35" ht="14.25" customHeight="1" x14ac:dyDescent="0.25">
      <c r="A224" s="31">
        <v>1</v>
      </c>
      <c r="B224" s="31">
        <v>2</v>
      </c>
      <c r="C224" s="31">
        <v>7</v>
      </c>
      <c r="D224" s="32" t="s">
        <v>465</v>
      </c>
      <c r="E224" s="32" t="s">
        <v>31</v>
      </c>
      <c r="F224" s="32" t="s">
        <v>692</v>
      </c>
      <c r="G224" s="32" t="s">
        <v>140</v>
      </c>
      <c r="H224" s="32" t="s">
        <v>165</v>
      </c>
      <c r="I224" s="31" t="s">
        <v>697</v>
      </c>
      <c r="J224" s="31">
        <v>99</v>
      </c>
      <c r="K224" s="31" t="s">
        <v>320</v>
      </c>
      <c r="L224" s="31" t="s">
        <v>318</v>
      </c>
      <c r="M224" s="32" t="s">
        <v>273</v>
      </c>
      <c r="N224" s="32" t="s">
        <v>913</v>
      </c>
      <c r="O224" s="33">
        <v>1</v>
      </c>
      <c r="P224" s="33"/>
      <c r="Q224" s="32"/>
      <c r="S224" s="2">
        <f t="shared" si="67"/>
        <v>0</v>
      </c>
      <c r="T224" s="2">
        <f t="shared" si="68"/>
        <v>0</v>
      </c>
      <c r="U224" s="2">
        <f t="shared" si="69"/>
        <v>0</v>
      </c>
      <c r="V224" s="2">
        <f t="shared" si="70"/>
        <v>0</v>
      </c>
      <c r="W224" s="2">
        <f t="shared" si="71"/>
        <v>0</v>
      </c>
      <c r="X224" s="2">
        <f t="shared" si="72"/>
        <v>0</v>
      </c>
      <c r="Y224" s="2">
        <f t="shared" si="73"/>
        <v>0</v>
      </c>
      <c r="Z224" s="2">
        <f t="shared" si="74"/>
        <v>0</v>
      </c>
      <c r="AA224" s="2">
        <f t="shared" si="75"/>
        <v>0</v>
      </c>
      <c r="AB224" s="2">
        <f t="shared" si="76"/>
        <v>0</v>
      </c>
      <c r="AD224" s="2">
        <f t="shared" si="77"/>
        <v>0</v>
      </c>
      <c r="AE224" s="2">
        <f t="shared" si="78"/>
        <v>1</v>
      </c>
      <c r="AF224" s="2">
        <f t="shared" si="63"/>
        <v>0</v>
      </c>
      <c r="AG224" s="2">
        <f t="shared" si="64"/>
        <v>0</v>
      </c>
      <c r="AH224" s="2">
        <f t="shared" si="65"/>
        <v>0</v>
      </c>
      <c r="AI224" s="2">
        <f t="shared" si="66"/>
        <v>0</v>
      </c>
    </row>
    <row r="225" spans="1:35" ht="14.25" customHeight="1" x14ac:dyDescent="0.25">
      <c r="A225" s="31">
        <v>0</v>
      </c>
      <c r="B225" s="31">
        <v>2</v>
      </c>
      <c r="C225" s="31">
        <v>7</v>
      </c>
      <c r="D225" s="32" t="s">
        <v>79</v>
      </c>
      <c r="E225" s="32" t="s">
        <v>31</v>
      </c>
      <c r="F225" s="32" t="s">
        <v>162</v>
      </c>
      <c r="G225" s="32" t="s">
        <v>163</v>
      </c>
      <c r="H225" s="32" t="s">
        <v>165</v>
      </c>
      <c r="I225" s="31" t="s">
        <v>202</v>
      </c>
      <c r="J225" s="31">
        <v>5</v>
      </c>
      <c r="K225" s="31" t="s">
        <v>378</v>
      </c>
      <c r="L225" s="31" t="s">
        <v>318</v>
      </c>
      <c r="M225" s="32" t="s">
        <v>273</v>
      </c>
      <c r="N225" s="32" t="s">
        <v>915</v>
      </c>
      <c r="O225" s="33">
        <v>1</v>
      </c>
      <c r="P225" s="33"/>
      <c r="Q225" s="32"/>
      <c r="S225" s="2">
        <f t="shared" si="67"/>
        <v>0</v>
      </c>
      <c r="T225" s="2">
        <f t="shared" si="68"/>
        <v>0</v>
      </c>
      <c r="U225" s="2">
        <f t="shared" si="69"/>
        <v>0</v>
      </c>
      <c r="V225" s="2">
        <f t="shared" si="70"/>
        <v>0</v>
      </c>
      <c r="W225" s="2">
        <f t="shared" si="71"/>
        <v>1</v>
      </c>
      <c r="X225" s="2">
        <f t="shared" si="72"/>
        <v>0</v>
      </c>
      <c r="Y225" s="2">
        <f t="shared" si="73"/>
        <v>0</v>
      </c>
      <c r="Z225" s="2">
        <f t="shared" si="74"/>
        <v>0</v>
      </c>
      <c r="AA225" s="2">
        <f t="shared" si="75"/>
        <v>0</v>
      </c>
      <c r="AB225" s="2">
        <f t="shared" si="76"/>
        <v>0</v>
      </c>
      <c r="AD225" s="2">
        <f t="shared" si="77"/>
        <v>0</v>
      </c>
      <c r="AE225" s="2">
        <f t="shared" si="78"/>
        <v>1</v>
      </c>
      <c r="AF225" s="2">
        <f t="shared" si="63"/>
        <v>0</v>
      </c>
      <c r="AG225" s="2">
        <f t="shared" si="64"/>
        <v>1</v>
      </c>
      <c r="AH225" s="2">
        <f t="shared" si="65"/>
        <v>0</v>
      </c>
      <c r="AI225" s="2">
        <f t="shared" si="66"/>
        <v>1</v>
      </c>
    </row>
    <row r="226" spans="1:35" ht="14.25" customHeight="1" x14ac:dyDescent="0.25">
      <c r="A226" s="34">
        <v>0</v>
      </c>
      <c r="B226" s="34">
        <v>2</v>
      </c>
      <c r="C226" s="34">
        <v>7</v>
      </c>
      <c r="D226" s="35" t="s">
        <v>59</v>
      </c>
      <c r="E226" s="35" t="s">
        <v>87</v>
      </c>
      <c r="F226" s="35" t="s">
        <v>351</v>
      </c>
      <c r="G226" s="35" t="s">
        <v>103</v>
      </c>
      <c r="H226" s="35" t="s">
        <v>165</v>
      </c>
      <c r="I226" s="34" t="s">
        <v>350</v>
      </c>
      <c r="J226" s="34">
        <v>6</v>
      </c>
      <c r="K226" s="34" t="s">
        <v>320</v>
      </c>
      <c r="L226" s="34" t="s">
        <v>336</v>
      </c>
      <c r="M226" s="35" t="s">
        <v>275</v>
      </c>
      <c r="N226" s="35" t="s">
        <v>902</v>
      </c>
      <c r="O226" s="36"/>
      <c r="P226" s="36"/>
      <c r="Q226" s="35"/>
      <c r="S226" s="2">
        <f t="shared" si="67"/>
        <v>0</v>
      </c>
      <c r="T226" s="2">
        <f t="shared" si="68"/>
        <v>0</v>
      </c>
      <c r="U226" s="2">
        <f t="shared" si="69"/>
        <v>0</v>
      </c>
      <c r="V226" s="2">
        <f t="shared" si="70"/>
        <v>0</v>
      </c>
      <c r="W226" s="2">
        <f t="shared" si="71"/>
        <v>0</v>
      </c>
      <c r="X226" s="2">
        <f t="shared" si="72"/>
        <v>1</v>
      </c>
      <c r="Y226" s="2">
        <f t="shared" si="73"/>
        <v>0</v>
      </c>
      <c r="Z226" s="2">
        <f t="shared" si="74"/>
        <v>0</v>
      </c>
      <c r="AA226" s="2">
        <f t="shared" si="75"/>
        <v>0</v>
      </c>
      <c r="AB226" s="2">
        <f t="shared" si="76"/>
        <v>0</v>
      </c>
      <c r="AD226" s="2">
        <f t="shared" si="77"/>
        <v>0</v>
      </c>
      <c r="AE226" s="2">
        <f t="shared" si="78"/>
        <v>0</v>
      </c>
      <c r="AF226" s="2">
        <f t="shared" si="63"/>
        <v>0</v>
      </c>
      <c r="AG226" s="2">
        <f t="shared" si="64"/>
        <v>0</v>
      </c>
      <c r="AH226" s="2">
        <f t="shared" si="65"/>
        <v>0</v>
      </c>
      <c r="AI226" s="2">
        <f t="shared" si="66"/>
        <v>1</v>
      </c>
    </row>
    <row r="227" spans="1:35" ht="14.25" customHeight="1" x14ac:dyDescent="0.25">
      <c r="A227" s="34">
        <v>1</v>
      </c>
      <c r="B227" s="34">
        <v>2</v>
      </c>
      <c r="C227" s="34">
        <v>7</v>
      </c>
      <c r="D227" s="35" t="s">
        <v>59</v>
      </c>
      <c r="E227" s="35" t="s">
        <v>87</v>
      </c>
      <c r="F227" s="35" t="s">
        <v>123</v>
      </c>
      <c r="G227" s="35" t="s">
        <v>124</v>
      </c>
      <c r="H227" s="35" t="s">
        <v>165</v>
      </c>
      <c r="I227" s="34" t="s">
        <v>180</v>
      </c>
      <c r="J227" s="34">
        <v>7</v>
      </c>
      <c r="K227" s="34" t="s">
        <v>320</v>
      </c>
      <c r="L227" s="34" t="s">
        <v>336</v>
      </c>
      <c r="M227" s="35" t="s">
        <v>275</v>
      </c>
      <c r="N227" s="35" t="s">
        <v>902</v>
      </c>
      <c r="O227" s="36"/>
      <c r="P227" s="36"/>
      <c r="Q227" s="35"/>
      <c r="S227" s="2">
        <f t="shared" si="67"/>
        <v>0</v>
      </c>
      <c r="T227" s="2">
        <f t="shared" si="68"/>
        <v>0</v>
      </c>
      <c r="U227" s="2">
        <f t="shared" si="69"/>
        <v>0</v>
      </c>
      <c r="V227" s="2">
        <f t="shared" si="70"/>
        <v>0</v>
      </c>
      <c r="W227" s="2">
        <f t="shared" si="71"/>
        <v>0</v>
      </c>
      <c r="X227" s="2">
        <f t="shared" si="72"/>
        <v>0</v>
      </c>
      <c r="Y227" s="2">
        <f t="shared" si="73"/>
        <v>1</v>
      </c>
      <c r="Z227" s="2">
        <f t="shared" si="74"/>
        <v>0</v>
      </c>
      <c r="AA227" s="2">
        <f t="shared" si="75"/>
        <v>0</v>
      </c>
      <c r="AB227" s="2">
        <f t="shared" si="76"/>
        <v>0</v>
      </c>
      <c r="AD227" s="2">
        <f t="shared" si="77"/>
        <v>0</v>
      </c>
      <c r="AE227" s="2">
        <f t="shared" si="78"/>
        <v>0</v>
      </c>
      <c r="AF227" s="2">
        <f t="shared" si="63"/>
        <v>0</v>
      </c>
      <c r="AG227" s="2">
        <f t="shared" si="64"/>
        <v>0</v>
      </c>
      <c r="AH227" s="2">
        <f t="shared" si="65"/>
        <v>0</v>
      </c>
      <c r="AI227" s="2">
        <f t="shared" si="66"/>
        <v>0</v>
      </c>
    </row>
    <row r="228" spans="1:35" ht="14.25" customHeight="1" x14ac:dyDescent="0.25">
      <c r="A228" s="34">
        <v>1</v>
      </c>
      <c r="B228" s="34">
        <v>2</v>
      </c>
      <c r="C228" s="34">
        <v>7</v>
      </c>
      <c r="D228" s="35" t="s">
        <v>59</v>
      </c>
      <c r="E228" s="35" t="s">
        <v>87</v>
      </c>
      <c r="F228" s="35" t="s">
        <v>348</v>
      </c>
      <c r="G228" s="35" t="s">
        <v>93</v>
      </c>
      <c r="H228" s="35" t="s">
        <v>165</v>
      </c>
      <c r="I228" s="34" t="s">
        <v>349</v>
      </c>
      <c r="J228" s="34">
        <v>8</v>
      </c>
      <c r="K228" s="34" t="s">
        <v>320</v>
      </c>
      <c r="L228" s="34" t="s">
        <v>336</v>
      </c>
      <c r="M228" s="35" t="s">
        <v>275</v>
      </c>
      <c r="N228" s="35" t="s">
        <v>902</v>
      </c>
      <c r="O228" s="36"/>
      <c r="P228" s="36"/>
      <c r="Q228" s="35"/>
      <c r="S228" s="2">
        <f t="shared" si="67"/>
        <v>0</v>
      </c>
      <c r="T228" s="2">
        <f t="shared" si="68"/>
        <v>0</v>
      </c>
      <c r="U228" s="2">
        <f t="shared" si="69"/>
        <v>0</v>
      </c>
      <c r="V228" s="2">
        <f t="shared" si="70"/>
        <v>0</v>
      </c>
      <c r="W228" s="2">
        <f t="shared" si="71"/>
        <v>0</v>
      </c>
      <c r="X228" s="2">
        <f t="shared" si="72"/>
        <v>0</v>
      </c>
      <c r="Y228" s="2">
        <f t="shared" si="73"/>
        <v>0</v>
      </c>
      <c r="Z228" s="2">
        <f t="shared" si="74"/>
        <v>1</v>
      </c>
      <c r="AA228" s="2">
        <f t="shared" si="75"/>
        <v>0</v>
      </c>
      <c r="AB228" s="2">
        <f t="shared" si="76"/>
        <v>0</v>
      </c>
      <c r="AD228" s="2">
        <f t="shared" si="77"/>
        <v>0</v>
      </c>
      <c r="AE228" s="2">
        <f t="shared" si="78"/>
        <v>0</v>
      </c>
      <c r="AF228" s="2">
        <f t="shared" si="63"/>
        <v>0</v>
      </c>
      <c r="AG228" s="2">
        <f t="shared" si="64"/>
        <v>0</v>
      </c>
      <c r="AH228" s="2">
        <f t="shared" si="65"/>
        <v>0</v>
      </c>
      <c r="AI228" s="2">
        <f t="shared" si="66"/>
        <v>0</v>
      </c>
    </row>
    <row r="229" spans="1:35" ht="14.25" customHeight="1" x14ac:dyDescent="0.25">
      <c r="A229" s="20"/>
      <c r="B229" s="20"/>
      <c r="C229" s="20"/>
      <c r="D229" s="21"/>
      <c r="E229" s="21"/>
      <c r="F229" s="21"/>
      <c r="G229" s="21"/>
      <c r="H229" s="21"/>
      <c r="I229" s="20"/>
      <c r="J229" s="20"/>
      <c r="K229" s="20"/>
      <c r="L229" s="20"/>
      <c r="M229" s="21"/>
      <c r="N229" s="21"/>
      <c r="O229" s="20"/>
      <c r="P229" s="20"/>
      <c r="Q229" s="21"/>
    </row>
    <row r="230" spans="1:35" ht="14.25" customHeight="1" x14ac:dyDescent="0.25">
      <c r="A230" s="20"/>
      <c r="B230" s="20"/>
      <c r="C230" s="20"/>
      <c r="D230" s="21"/>
      <c r="E230" s="21"/>
      <c r="F230" s="21"/>
      <c r="G230" s="21"/>
      <c r="H230" s="21"/>
      <c r="I230" s="20"/>
      <c r="J230" s="20"/>
      <c r="K230" s="20"/>
      <c r="L230" s="20"/>
      <c r="M230" s="21"/>
      <c r="N230" s="21"/>
      <c r="O230" s="20"/>
      <c r="P230" s="20"/>
      <c r="Q230" s="21"/>
    </row>
    <row r="231" spans="1:35" ht="14.25" customHeight="1" x14ac:dyDescent="0.25">
      <c r="A231" s="20"/>
      <c r="B231" s="20"/>
      <c r="C231" s="20"/>
      <c r="D231" s="21"/>
      <c r="E231" s="21"/>
      <c r="F231" s="21"/>
      <c r="G231" s="21"/>
      <c r="H231" s="21"/>
      <c r="I231" s="20"/>
      <c r="J231" s="20"/>
      <c r="K231" s="20"/>
      <c r="L231" s="20"/>
      <c r="M231" s="21"/>
      <c r="N231" s="21"/>
      <c r="O231" s="20"/>
      <c r="P231" s="20"/>
      <c r="Q231" s="21"/>
    </row>
    <row r="232" spans="1:35" ht="14.25" customHeight="1" x14ac:dyDescent="0.25">
      <c r="A232" s="20"/>
      <c r="B232" s="20"/>
      <c r="C232" s="20"/>
      <c r="D232" s="21"/>
      <c r="E232" s="21"/>
      <c r="F232" s="21"/>
      <c r="G232" s="21"/>
      <c r="H232" s="21"/>
      <c r="I232" s="20"/>
      <c r="J232" s="20"/>
      <c r="K232" s="20"/>
      <c r="L232" s="20"/>
      <c r="M232" s="21"/>
      <c r="N232" s="21"/>
      <c r="O232" s="20"/>
      <c r="P232" s="20"/>
      <c r="Q232" s="21"/>
    </row>
    <row r="233" spans="1:35" ht="14.25" customHeight="1" x14ac:dyDescent="0.25">
      <c r="A233" s="20"/>
      <c r="B233" s="20"/>
      <c r="C233" s="20"/>
      <c r="D233" s="21"/>
      <c r="E233" s="21"/>
      <c r="F233" s="21"/>
      <c r="G233" s="21"/>
      <c r="H233" s="21"/>
      <c r="I233" s="20"/>
      <c r="J233" s="20"/>
      <c r="K233" s="20"/>
      <c r="L233" s="20"/>
      <c r="M233" s="21"/>
      <c r="N233" s="21"/>
      <c r="O233" s="20"/>
      <c r="P233" s="20"/>
      <c r="Q233" s="21"/>
    </row>
    <row r="234" spans="1:35" ht="14.25" customHeight="1" x14ac:dyDescent="0.25">
      <c r="A234" s="20"/>
      <c r="B234" s="20"/>
      <c r="C234" s="20"/>
      <c r="D234" s="21"/>
      <c r="E234" s="21"/>
      <c r="F234" s="21"/>
      <c r="G234" s="21"/>
      <c r="H234" s="21"/>
      <c r="I234" s="20"/>
      <c r="J234" s="20"/>
      <c r="K234" s="20"/>
      <c r="L234" s="20"/>
      <c r="M234" s="21"/>
      <c r="N234" s="21"/>
      <c r="O234" s="20"/>
      <c r="P234" s="20"/>
      <c r="Q234" s="21"/>
    </row>
    <row r="235" spans="1:35" ht="14.25" customHeight="1" x14ac:dyDescent="0.25">
      <c r="A235" s="20"/>
      <c r="B235" s="20"/>
      <c r="C235" s="20"/>
      <c r="D235" s="21"/>
      <c r="E235" s="21"/>
      <c r="F235" s="21"/>
      <c r="G235" s="21"/>
      <c r="H235" s="21"/>
      <c r="I235" s="20"/>
      <c r="J235" s="20"/>
      <c r="K235" s="20"/>
      <c r="L235" s="20"/>
      <c r="M235" s="21"/>
      <c r="N235" s="21"/>
      <c r="O235" s="20"/>
      <c r="P235" s="20"/>
      <c r="Q235" s="21"/>
    </row>
    <row r="236" spans="1:35" ht="14.25" customHeight="1" x14ac:dyDescent="0.25">
      <c r="A236" s="20"/>
      <c r="B236" s="20"/>
      <c r="C236" s="20"/>
      <c r="D236" s="21"/>
      <c r="E236" s="21"/>
      <c r="F236" s="21"/>
      <c r="G236" s="21"/>
      <c r="H236" s="21"/>
      <c r="I236" s="20"/>
      <c r="J236" s="20"/>
      <c r="K236" s="20"/>
      <c r="L236" s="20"/>
      <c r="M236" s="21"/>
      <c r="N236" s="21"/>
      <c r="O236" s="20"/>
      <c r="P236" s="20"/>
      <c r="Q236" s="21"/>
    </row>
    <row r="237" spans="1:35" ht="14.25" customHeight="1" x14ac:dyDescent="0.25">
      <c r="A237" s="20"/>
      <c r="B237" s="20"/>
      <c r="C237" s="20"/>
      <c r="D237" s="21"/>
      <c r="E237" s="21"/>
      <c r="F237" s="21"/>
      <c r="G237" s="21"/>
      <c r="H237" s="21"/>
      <c r="I237" s="20"/>
      <c r="J237" s="20"/>
      <c r="K237" s="20"/>
      <c r="L237" s="20"/>
      <c r="M237" s="21"/>
      <c r="N237" s="21"/>
      <c r="O237" s="20"/>
      <c r="P237" s="20"/>
      <c r="Q237" s="21"/>
    </row>
    <row r="238" spans="1:35" ht="14.25" customHeight="1" x14ac:dyDescent="0.25">
      <c r="A238" s="20"/>
      <c r="B238" s="20"/>
      <c r="C238" s="20"/>
      <c r="D238" s="21"/>
      <c r="E238" s="21"/>
      <c r="F238" s="21"/>
      <c r="G238" s="21"/>
      <c r="H238" s="21"/>
      <c r="I238" s="20"/>
      <c r="J238" s="20"/>
      <c r="K238" s="20"/>
      <c r="L238" s="20"/>
      <c r="M238" s="21"/>
      <c r="N238" s="21"/>
      <c r="O238" s="20"/>
      <c r="P238" s="20"/>
      <c r="Q238" s="21"/>
    </row>
    <row r="239" spans="1:35" ht="14.25" customHeight="1" x14ac:dyDescent="0.25">
      <c r="A239" s="20"/>
      <c r="B239" s="20"/>
      <c r="C239" s="20"/>
      <c r="D239" s="21"/>
      <c r="E239" s="21"/>
      <c r="F239" s="21"/>
      <c r="G239" s="21"/>
      <c r="H239" s="21"/>
      <c r="I239" s="20"/>
      <c r="J239" s="20"/>
      <c r="K239" s="20"/>
      <c r="L239" s="20"/>
      <c r="M239" s="21"/>
      <c r="N239" s="21"/>
      <c r="O239" s="20"/>
      <c r="P239" s="20"/>
      <c r="Q239" s="21"/>
    </row>
    <row r="240" spans="1:35" ht="14.25" customHeight="1" x14ac:dyDescent="0.25">
      <c r="A240" s="20"/>
      <c r="B240" s="20"/>
      <c r="C240" s="20"/>
      <c r="D240" s="21"/>
      <c r="E240" s="21"/>
      <c r="F240" s="21"/>
      <c r="G240" s="21"/>
      <c r="H240" s="21"/>
      <c r="I240" s="20"/>
      <c r="J240" s="20"/>
      <c r="K240" s="20"/>
      <c r="L240" s="20"/>
      <c r="M240" s="21"/>
      <c r="N240" s="21"/>
      <c r="O240" s="20"/>
      <c r="P240" s="20"/>
      <c r="Q240" s="21"/>
    </row>
    <row r="241" spans="1:17" ht="14.25" customHeight="1" x14ac:dyDescent="0.25">
      <c r="A241" s="20"/>
      <c r="B241" s="20"/>
      <c r="C241" s="20"/>
      <c r="D241" s="21"/>
      <c r="E241" s="21"/>
      <c r="F241" s="21"/>
      <c r="G241" s="21"/>
      <c r="H241" s="21"/>
      <c r="I241" s="20"/>
      <c r="J241" s="20"/>
      <c r="K241" s="20"/>
      <c r="L241" s="20"/>
      <c r="M241" s="21"/>
      <c r="N241" s="21"/>
      <c r="O241" s="20"/>
      <c r="P241" s="20"/>
      <c r="Q241" s="21"/>
    </row>
    <row r="242" spans="1:17" ht="14.25" customHeight="1" x14ac:dyDescent="0.25">
      <c r="A242" s="20"/>
      <c r="B242" s="20"/>
      <c r="C242" s="20"/>
      <c r="D242" s="21"/>
      <c r="E242" s="21"/>
      <c r="F242" s="21"/>
      <c r="G242" s="21"/>
      <c r="H242" s="21"/>
      <c r="I242" s="20"/>
      <c r="J242" s="20"/>
      <c r="K242" s="20"/>
      <c r="L242" s="20"/>
      <c r="M242" s="21"/>
      <c r="N242" s="21"/>
      <c r="O242" s="20"/>
      <c r="P242" s="20"/>
      <c r="Q242" s="21"/>
    </row>
    <row r="243" spans="1:17" ht="14.25" customHeight="1" x14ac:dyDescent="0.25">
      <c r="A243" s="20"/>
      <c r="B243" s="20"/>
      <c r="C243" s="20"/>
      <c r="D243" s="21"/>
      <c r="E243" s="21"/>
      <c r="F243" s="21"/>
      <c r="G243" s="21"/>
      <c r="H243" s="21"/>
      <c r="I243" s="20"/>
      <c r="J243" s="20"/>
      <c r="K243" s="20"/>
      <c r="L243" s="20"/>
      <c r="M243" s="21"/>
      <c r="N243" s="21"/>
      <c r="O243" s="20"/>
      <c r="P243" s="20"/>
      <c r="Q243" s="21"/>
    </row>
    <row r="244" spans="1:17" ht="14.25" customHeight="1" x14ac:dyDescent="0.25">
      <c r="A244" s="20"/>
      <c r="B244" s="20"/>
      <c r="C244" s="20"/>
      <c r="D244" s="21"/>
      <c r="E244" s="21"/>
      <c r="F244" s="21"/>
      <c r="G244" s="21"/>
      <c r="H244" s="21"/>
      <c r="I244" s="20"/>
      <c r="J244" s="20"/>
      <c r="K244" s="20"/>
      <c r="L244" s="20"/>
      <c r="M244" s="21"/>
      <c r="N244" s="21"/>
      <c r="O244" s="20"/>
      <c r="P244" s="20"/>
      <c r="Q244" s="21"/>
    </row>
    <row r="245" spans="1:17" ht="14.25" customHeight="1" x14ac:dyDescent="0.25">
      <c r="A245" s="20"/>
      <c r="B245" s="20"/>
      <c r="C245" s="20"/>
      <c r="D245" s="21"/>
      <c r="E245" s="21"/>
      <c r="F245" s="21"/>
      <c r="G245" s="21"/>
      <c r="H245" s="21"/>
      <c r="I245" s="20"/>
      <c r="J245" s="20"/>
      <c r="K245" s="20"/>
      <c r="L245" s="20"/>
      <c r="M245" s="21"/>
      <c r="N245" s="21"/>
      <c r="O245" s="20"/>
      <c r="P245" s="20"/>
      <c r="Q245" s="21"/>
    </row>
    <row r="246" spans="1:17" ht="14.25" customHeight="1" x14ac:dyDescent="0.25">
      <c r="A246" s="20"/>
      <c r="B246" s="20"/>
      <c r="C246" s="20"/>
      <c r="D246" s="21"/>
      <c r="E246" s="21"/>
      <c r="F246" s="21"/>
      <c r="G246" s="21"/>
      <c r="H246" s="21"/>
      <c r="I246" s="20"/>
      <c r="J246" s="20"/>
      <c r="K246" s="20"/>
      <c r="L246" s="20"/>
      <c r="M246" s="21"/>
      <c r="N246" s="21"/>
      <c r="O246" s="20"/>
      <c r="P246" s="20"/>
      <c r="Q246" s="21"/>
    </row>
    <row r="247" spans="1:17" ht="14.25" customHeight="1" x14ac:dyDescent="0.25">
      <c r="A247" s="20"/>
      <c r="B247" s="20"/>
      <c r="C247" s="20"/>
      <c r="D247" s="21"/>
      <c r="E247" s="21"/>
      <c r="F247" s="21"/>
      <c r="G247" s="21"/>
      <c r="H247" s="21"/>
      <c r="I247" s="20"/>
      <c r="J247" s="20"/>
      <c r="K247" s="20"/>
      <c r="L247" s="20"/>
      <c r="M247" s="21"/>
      <c r="N247" s="21"/>
      <c r="O247" s="20"/>
      <c r="P247" s="20"/>
      <c r="Q247" s="21"/>
    </row>
    <row r="248" spans="1:17" ht="14.25" customHeight="1" x14ac:dyDescent="0.25">
      <c r="A248" s="20"/>
      <c r="B248" s="20"/>
      <c r="C248" s="20"/>
      <c r="D248" s="21"/>
      <c r="E248" s="21"/>
      <c r="F248" s="21"/>
      <c r="G248" s="21"/>
      <c r="H248" s="21"/>
      <c r="I248" s="20"/>
      <c r="J248" s="20"/>
      <c r="K248" s="20"/>
      <c r="L248" s="20"/>
      <c r="M248" s="21"/>
      <c r="N248" s="21"/>
      <c r="O248" s="20"/>
      <c r="P248" s="20"/>
      <c r="Q248" s="21"/>
    </row>
    <row r="249" spans="1:17" ht="14.25" customHeight="1" x14ac:dyDescent="0.25">
      <c r="A249" s="20"/>
      <c r="B249" s="20"/>
      <c r="C249" s="20"/>
      <c r="D249" s="21"/>
      <c r="E249" s="21"/>
      <c r="F249" s="21"/>
      <c r="G249" s="21"/>
      <c r="H249" s="21"/>
      <c r="I249" s="20"/>
      <c r="J249" s="20"/>
      <c r="K249" s="20"/>
      <c r="L249" s="20"/>
      <c r="M249" s="21"/>
      <c r="N249" s="21"/>
      <c r="O249" s="20"/>
      <c r="P249" s="20"/>
      <c r="Q249" s="21"/>
    </row>
    <row r="250" spans="1:17" ht="14.25" customHeight="1" x14ac:dyDescent="0.25">
      <c r="A250" s="20"/>
      <c r="B250" s="20"/>
      <c r="C250" s="20"/>
      <c r="D250" s="21"/>
      <c r="E250" s="21"/>
      <c r="F250" s="21"/>
      <c r="G250" s="21"/>
      <c r="H250" s="21"/>
      <c r="I250" s="20"/>
      <c r="J250" s="20"/>
      <c r="K250" s="20"/>
      <c r="L250" s="20"/>
      <c r="M250" s="21"/>
      <c r="N250" s="21"/>
      <c r="O250" s="20"/>
      <c r="P250" s="20"/>
      <c r="Q250" s="21"/>
    </row>
    <row r="251" spans="1:17" ht="14.25" customHeight="1" x14ac:dyDescent="0.25">
      <c r="A251" s="20"/>
      <c r="B251" s="20"/>
      <c r="C251" s="20"/>
      <c r="D251" s="21"/>
      <c r="E251" s="21"/>
      <c r="F251" s="21"/>
      <c r="G251" s="21"/>
      <c r="H251" s="21"/>
      <c r="I251" s="20"/>
      <c r="J251" s="20"/>
      <c r="K251" s="20"/>
      <c r="L251" s="20"/>
      <c r="M251" s="21"/>
      <c r="N251" s="21"/>
      <c r="O251" s="20"/>
      <c r="P251" s="20"/>
      <c r="Q251" s="21"/>
    </row>
    <row r="252" spans="1:17" ht="14.25" customHeight="1" x14ac:dyDescent="0.25">
      <c r="A252" s="20"/>
      <c r="B252" s="20"/>
      <c r="C252" s="20"/>
      <c r="D252" s="21"/>
      <c r="E252" s="21"/>
      <c r="F252" s="21"/>
      <c r="G252" s="21"/>
      <c r="H252" s="21"/>
      <c r="I252" s="20"/>
      <c r="J252" s="20"/>
      <c r="K252" s="20"/>
      <c r="L252" s="20"/>
      <c r="M252" s="21"/>
      <c r="N252" s="21"/>
      <c r="O252" s="20"/>
      <c r="P252" s="20"/>
      <c r="Q252" s="21"/>
    </row>
    <row r="253" spans="1:17" ht="14.25" customHeight="1" x14ac:dyDescent="0.25">
      <c r="A253" s="20"/>
      <c r="B253" s="20"/>
      <c r="C253" s="20"/>
      <c r="D253" s="21"/>
      <c r="E253" s="21"/>
      <c r="F253" s="21"/>
      <c r="G253" s="21"/>
      <c r="H253" s="21"/>
      <c r="I253" s="20"/>
      <c r="J253" s="20"/>
      <c r="K253" s="20"/>
      <c r="L253" s="20"/>
      <c r="M253" s="21"/>
      <c r="N253" s="21"/>
      <c r="O253" s="20"/>
      <c r="P253" s="20"/>
      <c r="Q253" s="21"/>
    </row>
    <row r="254" spans="1:17" ht="14.25" customHeight="1" x14ac:dyDescent="0.25">
      <c r="A254" s="20"/>
      <c r="B254" s="20"/>
      <c r="C254" s="20"/>
      <c r="D254" s="21"/>
      <c r="E254" s="21"/>
      <c r="F254" s="21"/>
      <c r="G254" s="21"/>
      <c r="H254" s="21"/>
      <c r="I254" s="20"/>
      <c r="J254" s="20"/>
      <c r="K254" s="20"/>
      <c r="L254" s="20"/>
      <c r="M254" s="21"/>
      <c r="N254" s="21"/>
      <c r="O254" s="20"/>
      <c r="P254" s="20"/>
      <c r="Q254" s="21"/>
    </row>
    <row r="255" spans="1:17" ht="14.25" customHeight="1" x14ac:dyDescent="0.25">
      <c r="A255" s="20"/>
      <c r="B255" s="20"/>
      <c r="C255" s="20"/>
      <c r="D255" s="21"/>
      <c r="E255" s="21"/>
      <c r="F255" s="21"/>
      <c r="G255" s="21"/>
      <c r="H255" s="21"/>
      <c r="I255" s="20"/>
      <c r="J255" s="20"/>
      <c r="K255" s="20"/>
      <c r="L255" s="20"/>
      <c r="M255" s="21"/>
      <c r="N255" s="21"/>
      <c r="O255" s="20"/>
      <c r="P255" s="20"/>
      <c r="Q255" s="21"/>
    </row>
    <row r="256" spans="1:17" ht="14.25" customHeight="1" x14ac:dyDescent="0.25">
      <c r="A256" s="20"/>
      <c r="B256" s="20"/>
      <c r="C256" s="20"/>
      <c r="D256" s="21"/>
      <c r="E256" s="21"/>
      <c r="F256" s="21"/>
      <c r="G256" s="21"/>
      <c r="H256" s="21"/>
      <c r="I256" s="20"/>
      <c r="J256" s="20"/>
      <c r="K256" s="20"/>
      <c r="L256" s="20"/>
      <c r="M256" s="21"/>
      <c r="N256" s="21"/>
      <c r="O256" s="20"/>
      <c r="P256" s="20"/>
      <c r="Q256" s="21"/>
    </row>
    <row r="257" spans="1:17" ht="14.25" customHeight="1" x14ac:dyDescent="0.25">
      <c r="A257" s="20"/>
      <c r="B257" s="20"/>
      <c r="C257" s="20"/>
      <c r="D257" s="21"/>
      <c r="E257" s="21"/>
      <c r="F257" s="21"/>
      <c r="G257" s="21"/>
      <c r="H257" s="21"/>
      <c r="I257" s="20"/>
      <c r="J257" s="20"/>
      <c r="K257" s="20"/>
      <c r="L257" s="20"/>
      <c r="M257" s="21"/>
      <c r="N257" s="21"/>
      <c r="O257" s="20"/>
      <c r="P257" s="20"/>
      <c r="Q257" s="21"/>
    </row>
    <row r="258" spans="1:17" ht="14.25" customHeight="1" x14ac:dyDescent="0.25">
      <c r="A258" s="20"/>
      <c r="B258" s="20"/>
      <c r="C258" s="20"/>
      <c r="D258" s="21"/>
      <c r="E258" s="21"/>
      <c r="F258" s="21"/>
      <c r="G258" s="21"/>
      <c r="H258" s="21"/>
      <c r="I258" s="20"/>
      <c r="J258" s="20"/>
      <c r="K258" s="20"/>
      <c r="L258" s="20"/>
      <c r="M258" s="21"/>
      <c r="N258" s="21"/>
      <c r="O258" s="20"/>
      <c r="P258" s="20"/>
      <c r="Q258" s="21"/>
    </row>
    <row r="259" spans="1:17" ht="14.25" customHeight="1" x14ac:dyDescent="0.25">
      <c r="A259" s="20"/>
      <c r="B259" s="20"/>
      <c r="C259" s="20"/>
      <c r="D259" s="21"/>
      <c r="E259" s="21"/>
      <c r="F259" s="21"/>
      <c r="G259" s="21"/>
      <c r="H259" s="21"/>
      <c r="I259" s="20"/>
      <c r="J259" s="20"/>
      <c r="K259" s="20"/>
      <c r="L259" s="20"/>
      <c r="M259" s="21"/>
      <c r="N259" s="21"/>
      <c r="O259" s="20"/>
      <c r="P259" s="20"/>
      <c r="Q259" s="21"/>
    </row>
    <row r="260" spans="1:17" ht="14.25" customHeight="1" x14ac:dyDescent="0.25">
      <c r="A260" s="20"/>
      <c r="B260" s="20"/>
      <c r="C260" s="20"/>
      <c r="D260" s="21"/>
      <c r="E260" s="21"/>
      <c r="F260" s="21"/>
      <c r="G260" s="21"/>
      <c r="H260" s="21"/>
      <c r="I260" s="20"/>
      <c r="J260" s="20"/>
      <c r="K260" s="20"/>
      <c r="L260" s="20"/>
      <c r="M260" s="21"/>
      <c r="N260" s="21"/>
      <c r="O260" s="20"/>
      <c r="P260" s="20"/>
      <c r="Q260" s="21"/>
    </row>
    <row r="261" spans="1:17" ht="14.25" customHeight="1" x14ac:dyDescent="0.25">
      <c r="A261" s="20"/>
      <c r="B261" s="20"/>
      <c r="C261" s="20"/>
      <c r="D261" s="21"/>
      <c r="E261" s="21"/>
      <c r="F261" s="21"/>
      <c r="G261" s="21"/>
      <c r="H261" s="21"/>
      <c r="I261" s="20"/>
      <c r="J261" s="20"/>
      <c r="K261" s="20"/>
      <c r="L261" s="20"/>
      <c r="M261" s="21"/>
      <c r="N261" s="21"/>
      <c r="O261" s="20"/>
      <c r="P261" s="20"/>
      <c r="Q261" s="21"/>
    </row>
    <row r="262" spans="1:17" ht="14.25" customHeight="1" x14ac:dyDescent="0.25">
      <c r="A262" s="20"/>
      <c r="B262" s="20"/>
      <c r="C262" s="20"/>
      <c r="D262" s="21"/>
      <c r="E262" s="21"/>
      <c r="F262" s="21"/>
      <c r="G262" s="21"/>
      <c r="H262" s="21"/>
      <c r="I262" s="20"/>
      <c r="J262" s="20"/>
      <c r="K262" s="20"/>
      <c r="L262" s="20"/>
      <c r="M262" s="21"/>
      <c r="N262" s="21"/>
      <c r="O262" s="20"/>
      <c r="P262" s="20"/>
      <c r="Q262" s="21"/>
    </row>
    <row r="263" spans="1:17" ht="14.25" customHeight="1" x14ac:dyDescent="0.25">
      <c r="A263" s="20"/>
      <c r="B263" s="20"/>
      <c r="C263" s="20"/>
      <c r="D263" s="21"/>
      <c r="E263" s="21"/>
      <c r="F263" s="21"/>
      <c r="G263" s="21"/>
      <c r="H263" s="21"/>
      <c r="I263" s="20"/>
      <c r="J263" s="20"/>
      <c r="K263" s="20"/>
      <c r="L263" s="20"/>
      <c r="M263" s="21"/>
      <c r="N263" s="21"/>
      <c r="O263" s="20"/>
      <c r="P263" s="20"/>
      <c r="Q263" s="21"/>
    </row>
    <row r="264" spans="1:17" ht="14.25" customHeight="1" x14ac:dyDescent="0.25">
      <c r="A264" s="20"/>
      <c r="B264" s="20"/>
      <c r="C264" s="20"/>
      <c r="D264" s="21"/>
      <c r="E264" s="21"/>
      <c r="F264" s="21"/>
      <c r="G264" s="21"/>
      <c r="H264" s="21"/>
      <c r="I264" s="20"/>
      <c r="J264" s="20"/>
      <c r="K264" s="20"/>
      <c r="L264" s="20"/>
      <c r="M264" s="21"/>
      <c r="N264" s="21"/>
      <c r="O264" s="20"/>
      <c r="P264" s="20"/>
      <c r="Q264" s="21"/>
    </row>
    <row r="265" spans="1:17" ht="14.25" customHeight="1" x14ac:dyDescent="0.25">
      <c r="A265" s="20"/>
      <c r="B265" s="20"/>
      <c r="C265" s="20"/>
      <c r="D265" s="21"/>
      <c r="E265" s="21"/>
      <c r="F265" s="21"/>
      <c r="G265" s="21"/>
      <c r="H265" s="21"/>
      <c r="I265" s="20"/>
      <c r="J265" s="20"/>
      <c r="K265" s="20"/>
      <c r="L265" s="20"/>
      <c r="M265" s="21"/>
      <c r="N265" s="21"/>
      <c r="O265" s="20"/>
      <c r="P265" s="20"/>
      <c r="Q265" s="21"/>
    </row>
    <row r="266" spans="1:17" ht="14.25" customHeight="1" x14ac:dyDescent="0.25">
      <c r="A266" s="20"/>
      <c r="B266" s="20"/>
      <c r="C266" s="20"/>
      <c r="D266" s="21"/>
      <c r="E266" s="21"/>
      <c r="F266" s="21"/>
      <c r="G266" s="21"/>
      <c r="H266" s="21"/>
      <c r="I266" s="20"/>
      <c r="J266" s="20"/>
      <c r="K266" s="20"/>
      <c r="L266" s="20"/>
      <c r="M266" s="21"/>
      <c r="N266" s="21"/>
      <c r="O266" s="20"/>
      <c r="P266" s="20"/>
      <c r="Q266" s="21"/>
    </row>
    <row r="267" spans="1:17" ht="14.25" customHeight="1" x14ac:dyDescent="0.25">
      <c r="A267" s="20"/>
      <c r="B267" s="20"/>
      <c r="C267" s="20"/>
      <c r="D267" s="21"/>
      <c r="E267" s="21"/>
      <c r="F267" s="21"/>
      <c r="G267" s="21"/>
      <c r="H267" s="21"/>
      <c r="I267" s="20"/>
      <c r="J267" s="20"/>
      <c r="K267" s="20"/>
      <c r="L267" s="20"/>
      <c r="M267" s="21"/>
      <c r="N267" s="21"/>
      <c r="O267" s="20"/>
      <c r="P267" s="20"/>
      <c r="Q267" s="21"/>
    </row>
    <row r="268" spans="1:17" ht="14.25" customHeight="1" x14ac:dyDescent="0.25">
      <c r="A268" s="20"/>
      <c r="B268" s="20"/>
      <c r="C268" s="20"/>
      <c r="D268" s="21"/>
      <c r="E268" s="21"/>
      <c r="F268" s="21"/>
      <c r="G268" s="21"/>
      <c r="H268" s="21"/>
      <c r="I268" s="20"/>
      <c r="J268" s="20"/>
      <c r="K268" s="20"/>
      <c r="L268" s="20"/>
      <c r="M268" s="21"/>
      <c r="N268" s="21"/>
      <c r="O268" s="20"/>
      <c r="P268" s="20"/>
      <c r="Q268" s="21"/>
    </row>
    <row r="269" spans="1:17" ht="14.25" customHeight="1" x14ac:dyDescent="0.25">
      <c r="A269" s="20"/>
      <c r="B269" s="20"/>
      <c r="C269" s="20"/>
      <c r="D269" s="21"/>
      <c r="E269" s="21"/>
      <c r="F269" s="21"/>
      <c r="G269" s="21"/>
      <c r="H269" s="21"/>
      <c r="I269" s="20"/>
      <c r="J269" s="20"/>
      <c r="K269" s="20"/>
      <c r="L269" s="20"/>
      <c r="M269" s="21"/>
      <c r="N269" s="21"/>
      <c r="O269" s="20"/>
      <c r="P269" s="20"/>
      <c r="Q269" s="21"/>
    </row>
    <row r="270" spans="1:17" ht="14.25" customHeight="1" x14ac:dyDescent="0.25">
      <c r="A270" s="20"/>
      <c r="B270" s="20"/>
      <c r="C270" s="20"/>
      <c r="D270" s="21"/>
      <c r="E270" s="21"/>
      <c r="F270" s="21"/>
      <c r="G270" s="21"/>
      <c r="H270" s="21"/>
      <c r="I270" s="20"/>
      <c r="J270" s="20"/>
      <c r="K270" s="20"/>
      <c r="L270" s="20"/>
      <c r="M270" s="21"/>
      <c r="N270" s="21"/>
      <c r="O270" s="20"/>
      <c r="P270" s="20"/>
      <c r="Q270" s="21"/>
    </row>
    <row r="271" spans="1:17" ht="14.25" customHeight="1" x14ac:dyDescent="0.25">
      <c r="A271" s="20"/>
      <c r="B271" s="20"/>
      <c r="C271" s="20"/>
      <c r="D271" s="21"/>
      <c r="E271" s="21"/>
      <c r="F271" s="21"/>
      <c r="G271" s="21"/>
      <c r="H271" s="21"/>
      <c r="I271" s="20"/>
      <c r="J271" s="20"/>
      <c r="K271" s="20"/>
      <c r="L271" s="20"/>
      <c r="M271" s="21"/>
      <c r="N271" s="21"/>
      <c r="O271" s="20"/>
      <c r="P271" s="20"/>
      <c r="Q271" s="21"/>
    </row>
    <row r="272" spans="1:17" ht="14.25" customHeight="1" x14ac:dyDescent="0.25">
      <c r="A272" s="20"/>
      <c r="B272" s="20"/>
      <c r="C272" s="20"/>
      <c r="D272" s="21"/>
      <c r="E272" s="21"/>
      <c r="F272" s="21"/>
      <c r="G272" s="21"/>
      <c r="H272" s="21"/>
      <c r="I272" s="20"/>
      <c r="J272" s="20"/>
      <c r="K272" s="20"/>
      <c r="L272" s="20"/>
      <c r="M272" s="21"/>
      <c r="N272" s="21"/>
      <c r="O272" s="20"/>
      <c r="P272" s="20"/>
      <c r="Q272" s="21"/>
    </row>
    <row r="273" spans="1:17" ht="14.25" customHeight="1" x14ac:dyDescent="0.25">
      <c r="A273" s="20"/>
      <c r="B273" s="20"/>
      <c r="C273" s="20"/>
      <c r="D273" s="21"/>
      <c r="E273" s="21"/>
      <c r="F273" s="21"/>
      <c r="G273" s="21"/>
      <c r="H273" s="21"/>
      <c r="I273" s="20"/>
      <c r="J273" s="20"/>
      <c r="K273" s="20"/>
      <c r="L273" s="20"/>
      <c r="M273" s="21"/>
      <c r="N273" s="21"/>
      <c r="O273" s="20"/>
      <c r="P273" s="20"/>
      <c r="Q273" s="21"/>
    </row>
    <row r="274" spans="1:17" ht="14.25" customHeight="1" x14ac:dyDescent="0.25">
      <c r="A274" s="20"/>
      <c r="B274" s="20"/>
      <c r="C274" s="20"/>
      <c r="D274" s="21"/>
      <c r="E274" s="21"/>
      <c r="F274" s="21"/>
      <c r="G274" s="21"/>
      <c r="H274" s="21"/>
      <c r="I274" s="20"/>
      <c r="J274" s="20"/>
      <c r="K274" s="20"/>
      <c r="L274" s="20"/>
      <c r="M274" s="21"/>
      <c r="N274" s="21"/>
      <c r="O274" s="20"/>
      <c r="P274" s="20"/>
      <c r="Q274" s="21"/>
    </row>
    <row r="275" spans="1:17" ht="14.25" customHeight="1" x14ac:dyDescent="0.25">
      <c r="A275" s="20"/>
      <c r="B275" s="20"/>
      <c r="C275" s="20"/>
      <c r="D275" s="21"/>
      <c r="E275" s="21"/>
      <c r="F275" s="21"/>
      <c r="G275" s="21"/>
      <c r="H275" s="21"/>
      <c r="I275" s="20"/>
      <c r="J275" s="20"/>
      <c r="K275" s="20"/>
      <c r="L275" s="20"/>
      <c r="M275" s="21"/>
      <c r="N275" s="21"/>
      <c r="O275" s="20"/>
      <c r="P275" s="20"/>
      <c r="Q275" s="21"/>
    </row>
    <row r="276" spans="1:17" ht="14.25" customHeight="1" x14ac:dyDescent="0.25">
      <c r="A276" s="20"/>
      <c r="B276" s="20"/>
      <c r="C276" s="20"/>
      <c r="D276" s="21"/>
      <c r="E276" s="21"/>
      <c r="F276" s="21"/>
      <c r="G276" s="21"/>
      <c r="H276" s="21"/>
      <c r="I276" s="20"/>
      <c r="J276" s="20"/>
      <c r="K276" s="20"/>
      <c r="L276" s="20"/>
      <c r="M276" s="21"/>
      <c r="N276" s="21"/>
      <c r="O276" s="20"/>
      <c r="P276" s="20"/>
      <c r="Q276" s="21"/>
    </row>
    <row r="277" spans="1:17" ht="14.25" customHeight="1" x14ac:dyDescent="0.25">
      <c r="A277" s="20"/>
      <c r="B277" s="20"/>
      <c r="C277" s="20"/>
      <c r="D277" s="21"/>
      <c r="E277" s="21"/>
      <c r="F277" s="21"/>
      <c r="G277" s="21"/>
      <c r="H277" s="21"/>
      <c r="I277" s="20"/>
      <c r="J277" s="20"/>
      <c r="K277" s="20"/>
      <c r="L277" s="20"/>
      <c r="M277" s="21"/>
      <c r="N277" s="21"/>
      <c r="O277" s="20"/>
      <c r="P277" s="20"/>
      <c r="Q277" s="21"/>
    </row>
    <row r="278" spans="1:17" ht="14.25" customHeight="1" x14ac:dyDescent="0.25">
      <c r="A278" s="20"/>
      <c r="B278" s="20"/>
      <c r="C278" s="20"/>
      <c r="D278" s="21"/>
      <c r="E278" s="21"/>
      <c r="F278" s="21"/>
      <c r="G278" s="21"/>
      <c r="H278" s="21"/>
      <c r="I278" s="20"/>
      <c r="J278" s="20"/>
      <c r="K278" s="20"/>
      <c r="L278" s="20"/>
      <c r="M278" s="21"/>
      <c r="N278" s="21"/>
      <c r="O278" s="20"/>
      <c r="P278" s="20"/>
      <c r="Q278" s="21"/>
    </row>
    <row r="279" spans="1:17" ht="14.25" customHeight="1" x14ac:dyDescent="0.25">
      <c r="A279" s="20"/>
      <c r="B279" s="20"/>
      <c r="C279" s="20"/>
      <c r="D279" s="21"/>
      <c r="E279" s="21"/>
      <c r="F279" s="21"/>
      <c r="G279" s="21"/>
      <c r="H279" s="21"/>
      <c r="I279" s="20"/>
      <c r="J279" s="20"/>
      <c r="K279" s="20"/>
      <c r="L279" s="20"/>
      <c r="M279" s="21"/>
      <c r="N279" s="21"/>
      <c r="O279" s="20"/>
      <c r="P279" s="20"/>
      <c r="Q279" s="21"/>
    </row>
    <row r="280" spans="1:17" ht="14.25" customHeight="1" x14ac:dyDescent="0.25">
      <c r="A280" s="20"/>
      <c r="B280" s="20"/>
      <c r="C280" s="20"/>
      <c r="D280" s="21"/>
      <c r="E280" s="21"/>
      <c r="F280" s="21"/>
      <c r="G280" s="21"/>
      <c r="H280" s="21"/>
      <c r="I280" s="20"/>
      <c r="J280" s="20"/>
      <c r="K280" s="20"/>
      <c r="L280" s="20"/>
      <c r="M280" s="21"/>
      <c r="N280" s="21"/>
      <c r="O280" s="20"/>
      <c r="P280" s="20"/>
      <c r="Q280" s="21"/>
    </row>
    <row r="281" spans="1:17" ht="14.25" customHeight="1" x14ac:dyDescent="0.25">
      <c r="A281" s="20"/>
      <c r="B281" s="20"/>
      <c r="C281" s="20"/>
      <c r="D281" s="21"/>
      <c r="E281" s="21"/>
      <c r="F281" s="21"/>
      <c r="G281" s="21"/>
      <c r="H281" s="21"/>
      <c r="I281" s="20"/>
      <c r="J281" s="20"/>
      <c r="K281" s="20"/>
      <c r="L281" s="20"/>
      <c r="M281" s="21"/>
      <c r="N281" s="21"/>
      <c r="O281" s="20"/>
      <c r="P281" s="20"/>
      <c r="Q281" s="21"/>
    </row>
    <row r="282" spans="1:17" ht="14.25" customHeight="1" x14ac:dyDescent="0.25">
      <c r="A282" s="20"/>
      <c r="B282" s="20"/>
      <c r="C282" s="20"/>
      <c r="D282" s="21"/>
      <c r="E282" s="21"/>
      <c r="F282" s="21"/>
      <c r="G282" s="21"/>
      <c r="H282" s="21"/>
      <c r="I282" s="20"/>
      <c r="J282" s="20"/>
      <c r="K282" s="20"/>
      <c r="L282" s="20"/>
      <c r="M282" s="21"/>
      <c r="N282" s="21"/>
      <c r="O282" s="20"/>
      <c r="P282" s="20"/>
      <c r="Q282" s="21"/>
    </row>
    <row r="283" spans="1:17" ht="14.25" customHeight="1" x14ac:dyDescent="0.25">
      <c r="A283" s="20"/>
      <c r="B283" s="20"/>
      <c r="C283" s="20"/>
      <c r="D283" s="21"/>
      <c r="E283" s="21"/>
      <c r="F283" s="21"/>
      <c r="G283" s="21"/>
      <c r="H283" s="21"/>
      <c r="I283" s="20"/>
      <c r="J283" s="20"/>
      <c r="K283" s="20"/>
      <c r="L283" s="20"/>
      <c r="M283" s="21"/>
      <c r="N283" s="21"/>
      <c r="O283" s="20"/>
      <c r="P283" s="20"/>
      <c r="Q283" s="21"/>
    </row>
    <row r="284" spans="1:17" ht="14.25" customHeight="1" x14ac:dyDescent="0.25">
      <c r="A284" s="20"/>
      <c r="B284" s="20"/>
      <c r="C284" s="20"/>
      <c r="D284" s="21"/>
      <c r="E284" s="21"/>
      <c r="F284" s="21"/>
      <c r="G284" s="21"/>
      <c r="H284" s="21"/>
      <c r="I284" s="20"/>
      <c r="J284" s="20"/>
      <c r="K284" s="20"/>
      <c r="L284" s="20"/>
      <c r="M284" s="21"/>
      <c r="N284" s="21"/>
      <c r="O284" s="20"/>
      <c r="P284" s="20"/>
      <c r="Q284" s="21"/>
    </row>
    <row r="285" spans="1:17" ht="14.25" customHeight="1" x14ac:dyDescent="0.25">
      <c r="A285" s="20"/>
      <c r="B285" s="20"/>
      <c r="C285" s="20"/>
      <c r="D285" s="21"/>
      <c r="E285" s="21"/>
      <c r="F285" s="21"/>
      <c r="G285" s="21"/>
      <c r="H285" s="21"/>
      <c r="I285" s="20"/>
      <c r="J285" s="20"/>
      <c r="K285" s="20"/>
      <c r="L285" s="20"/>
      <c r="M285" s="21"/>
      <c r="N285" s="21"/>
      <c r="O285" s="20"/>
      <c r="P285" s="20"/>
      <c r="Q285" s="21"/>
    </row>
    <row r="286" spans="1:17" ht="14.25" customHeight="1" x14ac:dyDescent="0.25">
      <c r="A286" s="20"/>
      <c r="B286" s="20"/>
      <c r="C286" s="20"/>
      <c r="D286" s="21"/>
      <c r="E286" s="21"/>
      <c r="F286" s="21"/>
      <c r="G286" s="21"/>
      <c r="H286" s="21"/>
      <c r="I286" s="20"/>
      <c r="J286" s="20"/>
      <c r="K286" s="20"/>
      <c r="L286" s="20"/>
      <c r="M286" s="21"/>
      <c r="N286" s="21"/>
      <c r="O286" s="20"/>
      <c r="P286" s="20"/>
      <c r="Q286" s="21"/>
    </row>
    <row r="287" spans="1:17" ht="14.25" customHeight="1" x14ac:dyDescent="0.25">
      <c r="A287" s="20"/>
      <c r="B287" s="20"/>
      <c r="C287" s="20"/>
      <c r="D287" s="21"/>
      <c r="E287" s="21"/>
      <c r="F287" s="21"/>
      <c r="G287" s="21"/>
      <c r="H287" s="21"/>
      <c r="I287" s="20"/>
      <c r="J287" s="20"/>
      <c r="K287" s="20"/>
      <c r="L287" s="20"/>
      <c r="M287" s="21"/>
      <c r="N287" s="21"/>
      <c r="O287" s="20"/>
      <c r="P287" s="20"/>
      <c r="Q287" s="21"/>
    </row>
    <row r="288" spans="1:17" ht="14.25" customHeight="1" x14ac:dyDescent="0.25">
      <c r="A288" s="20"/>
      <c r="B288" s="20"/>
      <c r="C288" s="20"/>
      <c r="D288" s="21"/>
      <c r="E288" s="21"/>
      <c r="F288" s="21"/>
      <c r="G288" s="21"/>
      <c r="H288" s="21"/>
      <c r="I288" s="20"/>
      <c r="J288" s="20"/>
      <c r="K288" s="20"/>
      <c r="L288" s="20"/>
      <c r="M288" s="21"/>
      <c r="N288" s="21"/>
      <c r="O288" s="20"/>
      <c r="P288" s="20"/>
      <c r="Q288" s="21"/>
    </row>
    <row r="289" spans="1:17" ht="14.25" customHeight="1" x14ac:dyDescent="0.25">
      <c r="A289" s="20"/>
      <c r="B289" s="20"/>
      <c r="C289" s="20"/>
      <c r="D289" s="21"/>
      <c r="E289" s="21"/>
      <c r="F289" s="21"/>
      <c r="G289" s="21"/>
      <c r="H289" s="21"/>
      <c r="I289" s="20"/>
      <c r="J289" s="20"/>
      <c r="K289" s="20"/>
      <c r="L289" s="20"/>
      <c r="M289" s="21"/>
      <c r="N289" s="21"/>
      <c r="O289" s="20"/>
      <c r="P289" s="20"/>
      <c r="Q289" s="21"/>
    </row>
    <row r="290" spans="1:17" ht="14.25" customHeight="1" x14ac:dyDescent="0.25">
      <c r="A290" s="20"/>
      <c r="B290" s="20"/>
      <c r="C290" s="20"/>
      <c r="D290" s="21"/>
      <c r="E290" s="21"/>
      <c r="F290" s="21"/>
      <c r="G290" s="21"/>
      <c r="H290" s="21"/>
      <c r="I290" s="20"/>
      <c r="J290" s="20"/>
      <c r="K290" s="20"/>
      <c r="L290" s="20"/>
      <c r="M290" s="21"/>
      <c r="N290" s="21"/>
      <c r="O290" s="20"/>
      <c r="P290" s="20"/>
      <c r="Q290" s="21"/>
    </row>
    <row r="291" spans="1:17" ht="14.25" customHeight="1" x14ac:dyDescent="0.25">
      <c r="A291" s="20"/>
      <c r="B291" s="20"/>
      <c r="C291" s="20"/>
      <c r="D291" s="21"/>
      <c r="E291" s="21"/>
      <c r="F291" s="21"/>
      <c r="G291" s="21"/>
      <c r="H291" s="21"/>
      <c r="I291" s="20"/>
      <c r="J291" s="20"/>
      <c r="K291" s="20"/>
      <c r="L291" s="20"/>
      <c r="M291" s="21"/>
      <c r="N291" s="21"/>
      <c r="O291" s="20"/>
      <c r="P291" s="20"/>
      <c r="Q291" s="21"/>
    </row>
    <row r="292" spans="1:17" ht="14.25" customHeight="1" x14ac:dyDescent="0.25">
      <c r="A292" s="20"/>
      <c r="B292" s="20"/>
      <c r="C292" s="20"/>
      <c r="D292" s="21"/>
      <c r="E292" s="21"/>
      <c r="F292" s="21"/>
      <c r="G292" s="21"/>
      <c r="H292" s="21"/>
      <c r="I292" s="20"/>
      <c r="J292" s="20"/>
      <c r="K292" s="20"/>
      <c r="L292" s="20"/>
      <c r="M292" s="21"/>
      <c r="N292" s="21"/>
      <c r="O292" s="20"/>
      <c r="P292" s="20"/>
      <c r="Q292" s="21"/>
    </row>
    <row r="293" spans="1:17" ht="14.25" customHeight="1" x14ac:dyDescent="0.25">
      <c r="A293" s="20"/>
      <c r="B293" s="20"/>
      <c r="C293" s="20"/>
      <c r="D293" s="21"/>
      <c r="E293" s="21"/>
      <c r="F293" s="21"/>
      <c r="G293" s="21"/>
      <c r="H293" s="21"/>
      <c r="I293" s="20"/>
      <c r="J293" s="20"/>
      <c r="K293" s="20"/>
      <c r="L293" s="20"/>
      <c r="M293" s="21"/>
      <c r="N293" s="21"/>
      <c r="O293" s="20"/>
      <c r="P293" s="20"/>
      <c r="Q293" s="21"/>
    </row>
    <row r="294" spans="1:17" ht="14.25" customHeight="1" x14ac:dyDescent="0.25">
      <c r="A294" s="20"/>
      <c r="B294" s="20"/>
      <c r="C294" s="20"/>
      <c r="D294" s="21"/>
      <c r="E294" s="21"/>
      <c r="F294" s="21"/>
      <c r="G294" s="21"/>
      <c r="H294" s="21"/>
      <c r="I294" s="20"/>
      <c r="J294" s="20"/>
      <c r="K294" s="20"/>
      <c r="L294" s="20"/>
      <c r="M294" s="21"/>
      <c r="N294" s="21"/>
      <c r="O294" s="20"/>
      <c r="P294" s="20"/>
      <c r="Q294" s="21"/>
    </row>
    <row r="295" spans="1:17" ht="14.25" customHeight="1" x14ac:dyDescent="0.25">
      <c r="A295" s="20"/>
      <c r="B295" s="20"/>
      <c r="C295" s="20"/>
      <c r="D295" s="21"/>
      <c r="E295" s="21"/>
      <c r="F295" s="21"/>
      <c r="G295" s="21"/>
      <c r="H295" s="21"/>
      <c r="I295" s="20"/>
      <c r="J295" s="20"/>
      <c r="K295" s="20"/>
      <c r="L295" s="20"/>
      <c r="M295" s="21"/>
      <c r="N295" s="21"/>
      <c r="O295" s="20"/>
      <c r="P295" s="20"/>
      <c r="Q295" s="21"/>
    </row>
    <row r="296" spans="1:17" ht="14.25" customHeight="1" x14ac:dyDescent="0.25">
      <c r="A296" s="20"/>
      <c r="B296" s="20"/>
      <c r="C296" s="20"/>
      <c r="D296" s="21"/>
      <c r="E296" s="21"/>
      <c r="F296" s="21"/>
      <c r="G296" s="21"/>
      <c r="H296" s="21"/>
      <c r="I296" s="20"/>
      <c r="J296" s="20"/>
      <c r="K296" s="20"/>
      <c r="L296" s="20"/>
      <c r="M296" s="21"/>
      <c r="N296" s="21"/>
      <c r="O296" s="20"/>
      <c r="P296" s="20"/>
      <c r="Q296" s="21"/>
    </row>
    <row r="297" spans="1:17" ht="14.25" customHeight="1" x14ac:dyDescent="0.25">
      <c r="A297" s="20"/>
      <c r="B297" s="20"/>
      <c r="C297" s="20"/>
      <c r="D297" s="21"/>
      <c r="E297" s="21"/>
      <c r="F297" s="21"/>
      <c r="G297" s="21"/>
      <c r="H297" s="21"/>
      <c r="I297" s="20"/>
      <c r="J297" s="20"/>
      <c r="K297" s="20"/>
      <c r="L297" s="20"/>
      <c r="M297" s="21"/>
      <c r="N297" s="21"/>
      <c r="O297" s="20"/>
      <c r="P297" s="20"/>
      <c r="Q297" s="21"/>
    </row>
    <row r="298" spans="1:17" ht="14.25" customHeight="1" x14ac:dyDescent="0.25">
      <c r="A298" s="20"/>
      <c r="B298" s="20"/>
      <c r="C298" s="20"/>
      <c r="D298" s="21"/>
      <c r="E298" s="21"/>
      <c r="F298" s="21"/>
      <c r="G298" s="21"/>
      <c r="H298" s="21"/>
      <c r="I298" s="20"/>
      <c r="J298" s="20"/>
      <c r="K298" s="20"/>
      <c r="L298" s="20"/>
      <c r="M298" s="21"/>
      <c r="N298" s="21"/>
      <c r="O298" s="20"/>
      <c r="P298" s="20"/>
      <c r="Q298" s="21"/>
    </row>
    <row r="299" spans="1:17" ht="14.25" customHeight="1" x14ac:dyDescent="0.25">
      <c r="A299" s="20"/>
      <c r="B299" s="20"/>
      <c r="C299" s="20"/>
      <c r="D299" s="21"/>
      <c r="E299" s="21"/>
      <c r="F299" s="21"/>
      <c r="G299" s="21"/>
      <c r="H299" s="21"/>
      <c r="I299" s="20"/>
      <c r="J299" s="20"/>
      <c r="K299" s="20"/>
      <c r="L299" s="20"/>
      <c r="M299" s="21"/>
      <c r="N299" s="21"/>
      <c r="O299" s="20"/>
      <c r="P299" s="20"/>
      <c r="Q299" s="21"/>
    </row>
    <row r="300" spans="1:17" ht="14.25" customHeight="1" x14ac:dyDescent="0.25">
      <c r="A300" s="20"/>
      <c r="B300" s="20"/>
      <c r="C300" s="20"/>
      <c r="D300" s="21"/>
      <c r="E300" s="21"/>
      <c r="F300" s="21"/>
      <c r="G300" s="21"/>
      <c r="H300" s="21"/>
      <c r="I300" s="20"/>
      <c r="J300" s="20"/>
      <c r="K300" s="20"/>
      <c r="L300" s="20"/>
      <c r="M300" s="21"/>
      <c r="N300" s="21"/>
      <c r="O300" s="20"/>
      <c r="P300" s="20"/>
      <c r="Q300" s="21"/>
    </row>
    <row r="301" spans="1:17" ht="14.25" customHeight="1" x14ac:dyDescent="0.25">
      <c r="A301" s="20"/>
      <c r="B301" s="20"/>
      <c r="C301" s="20"/>
      <c r="D301" s="21"/>
      <c r="E301" s="21"/>
      <c r="F301" s="21"/>
      <c r="G301" s="21"/>
      <c r="H301" s="21"/>
      <c r="I301" s="20"/>
      <c r="J301" s="20"/>
      <c r="K301" s="20"/>
      <c r="L301" s="20"/>
      <c r="M301" s="21"/>
      <c r="N301" s="21"/>
      <c r="O301" s="20"/>
      <c r="P301" s="20"/>
      <c r="Q301" s="21"/>
    </row>
    <row r="302" spans="1:17" ht="14.25" customHeight="1" x14ac:dyDescent="0.25">
      <c r="A302" s="20"/>
      <c r="B302" s="20"/>
      <c r="C302" s="20"/>
      <c r="D302" s="21"/>
      <c r="E302" s="21"/>
      <c r="F302" s="21"/>
      <c r="G302" s="21"/>
      <c r="H302" s="21"/>
      <c r="I302" s="20"/>
      <c r="J302" s="20"/>
      <c r="K302" s="20"/>
      <c r="L302" s="20"/>
      <c r="M302" s="21"/>
      <c r="N302" s="21"/>
      <c r="O302" s="20"/>
      <c r="P302" s="20"/>
      <c r="Q302" s="21"/>
    </row>
    <row r="303" spans="1:17" ht="14.25" customHeight="1" x14ac:dyDescent="0.25">
      <c r="A303" s="20"/>
      <c r="B303" s="20"/>
      <c r="C303" s="20"/>
      <c r="D303" s="21"/>
      <c r="E303" s="21"/>
      <c r="F303" s="21"/>
      <c r="G303" s="21"/>
      <c r="H303" s="21"/>
      <c r="I303" s="20"/>
      <c r="J303" s="20"/>
      <c r="K303" s="20"/>
      <c r="L303" s="20"/>
      <c r="M303" s="21"/>
      <c r="N303" s="21"/>
      <c r="O303" s="20"/>
      <c r="P303" s="20"/>
      <c r="Q303" s="21"/>
    </row>
    <row r="304" spans="1:17" ht="14.25" customHeight="1" x14ac:dyDescent="0.25">
      <c r="A304" s="20"/>
      <c r="B304" s="20"/>
      <c r="C304" s="20"/>
      <c r="D304" s="21"/>
      <c r="E304" s="21"/>
      <c r="F304" s="21"/>
      <c r="G304" s="21"/>
      <c r="H304" s="21"/>
      <c r="I304" s="20"/>
      <c r="J304" s="20"/>
      <c r="K304" s="20"/>
      <c r="L304" s="20"/>
      <c r="M304" s="21"/>
      <c r="N304" s="21"/>
      <c r="O304" s="20"/>
      <c r="P304" s="20"/>
      <c r="Q304" s="21"/>
    </row>
    <row r="305" spans="1:17" ht="14.25" customHeight="1" x14ac:dyDescent="0.25">
      <c r="A305" s="20"/>
      <c r="B305" s="20"/>
      <c r="C305" s="20"/>
      <c r="D305" s="21"/>
      <c r="E305" s="21"/>
      <c r="F305" s="21"/>
      <c r="G305" s="21"/>
      <c r="H305" s="21"/>
      <c r="I305" s="20"/>
      <c r="J305" s="20"/>
      <c r="K305" s="20"/>
      <c r="L305" s="20"/>
      <c r="M305" s="21"/>
      <c r="N305" s="21"/>
      <c r="O305" s="20"/>
      <c r="P305" s="20"/>
      <c r="Q305" s="21"/>
    </row>
    <row r="306" spans="1:17" ht="14.25" customHeight="1" x14ac:dyDescent="0.25">
      <c r="A306" s="20"/>
      <c r="B306" s="20"/>
      <c r="C306" s="20"/>
      <c r="D306" s="21"/>
      <c r="E306" s="21"/>
      <c r="F306" s="21"/>
      <c r="G306" s="21"/>
      <c r="H306" s="21"/>
      <c r="I306" s="20"/>
      <c r="J306" s="20"/>
      <c r="K306" s="20"/>
      <c r="L306" s="20"/>
      <c r="M306" s="21"/>
      <c r="N306" s="21"/>
      <c r="O306" s="20"/>
      <c r="P306" s="20"/>
      <c r="Q306" s="21"/>
    </row>
    <row r="307" spans="1:17" ht="14.25" customHeight="1" x14ac:dyDescent="0.25">
      <c r="A307" s="20"/>
      <c r="B307" s="20"/>
      <c r="C307" s="20"/>
      <c r="D307" s="21"/>
      <c r="E307" s="21"/>
      <c r="F307" s="21"/>
      <c r="G307" s="21"/>
      <c r="H307" s="21"/>
      <c r="I307" s="20"/>
      <c r="J307" s="20"/>
      <c r="K307" s="20"/>
      <c r="L307" s="20"/>
      <c r="M307" s="21"/>
      <c r="N307" s="21"/>
      <c r="O307" s="20"/>
      <c r="P307" s="20"/>
      <c r="Q307" s="21"/>
    </row>
    <row r="308" spans="1:17" ht="14.25" customHeight="1" x14ac:dyDescent="0.25">
      <c r="A308" s="20"/>
      <c r="B308" s="20"/>
      <c r="C308" s="20"/>
      <c r="D308" s="21"/>
      <c r="E308" s="21"/>
      <c r="F308" s="21"/>
      <c r="G308" s="21"/>
      <c r="H308" s="21"/>
      <c r="I308" s="20"/>
      <c r="J308" s="20"/>
      <c r="K308" s="20"/>
      <c r="L308" s="20"/>
      <c r="M308" s="21"/>
      <c r="N308" s="21"/>
      <c r="O308" s="20"/>
      <c r="P308" s="20"/>
      <c r="Q308" s="21"/>
    </row>
    <row r="309" spans="1:17" ht="14.25" customHeight="1" x14ac:dyDescent="0.25">
      <c r="A309" s="20"/>
      <c r="B309" s="20"/>
      <c r="C309" s="20"/>
      <c r="D309" s="21"/>
      <c r="E309" s="21"/>
      <c r="F309" s="21"/>
      <c r="G309" s="21"/>
      <c r="H309" s="21"/>
      <c r="I309" s="20"/>
      <c r="J309" s="20"/>
      <c r="K309" s="20"/>
      <c r="L309" s="20"/>
      <c r="M309" s="21"/>
      <c r="N309" s="21"/>
      <c r="O309" s="20"/>
      <c r="P309" s="20"/>
      <c r="Q309" s="21"/>
    </row>
    <row r="310" spans="1:17" ht="14.25" customHeight="1" x14ac:dyDescent="0.25">
      <c r="A310" s="20"/>
      <c r="B310" s="20"/>
      <c r="C310" s="20"/>
      <c r="D310" s="21"/>
      <c r="E310" s="21"/>
      <c r="F310" s="21"/>
      <c r="G310" s="21"/>
      <c r="H310" s="21"/>
      <c r="I310" s="20"/>
      <c r="J310" s="20"/>
      <c r="K310" s="20"/>
      <c r="L310" s="20"/>
      <c r="M310" s="21"/>
      <c r="N310" s="21"/>
      <c r="O310" s="20"/>
      <c r="P310" s="20"/>
      <c r="Q310" s="21"/>
    </row>
    <row r="311" spans="1:17" ht="14.25" customHeight="1" x14ac:dyDescent="0.25">
      <c r="A311" s="20"/>
      <c r="B311" s="20"/>
      <c r="C311" s="20"/>
      <c r="D311" s="21"/>
      <c r="E311" s="21"/>
      <c r="F311" s="21"/>
      <c r="G311" s="21"/>
      <c r="H311" s="21"/>
      <c r="I311" s="20"/>
      <c r="J311" s="20"/>
      <c r="K311" s="20"/>
      <c r="L311" s="20"/>
      <c r="M311" s="21"/>
      <c r="N311" s="21"/>
      <c r="O311" s="20"/>
      <c r="P311" s="20"/>
      <c r="Q311" s="21"/>
    </row>
    <row r="312" spans="1:17" ht="14.25" customHeight="1" x14ac:dyDescent="0.25">
      <c r="A312" s="20"/>
      <c r="B312" s="20"/>
      <c r="C312" s="20"/>
      <c r="D312" s="21"/>
      <c r="E312" s="21"/>
      <c r="F312" s="21"/>
      <c r="G312" s="21"/>
      <c r="H312" s="21"/>
      <c r="I312" s="20"/>
      <c r="J312" s="20"/>
      <c r="K312" s="20"/>
      <c r="L312" s="20"/>
      <c r="M312" s="21"/>
      <c r="N312" s="21"/>
      <c r="O312" s="20"/>
      <c r="P312" s="20"/>
      <c r="Q312" s="21"/>
    </row>
    <row r="313" spans="1:17" ht="14.25" customHeight="1" x14ac:dyDescent="0.25">
      <c r="A313" s="20"/>
      <c r="B313" s="20"/>
      <c r="C313" s="20"/>
      <c r="D313" s="21"/>
      <c r="E313" s="21"/>
      <c r="F313" s="21"/>
      <c r="G313" s="21"/>
      <c r="H313" s="21"/>
      <c r="I313" s="20"/>
      <c r="J313" s="20"/>
      <c r="K313" s="20"/>
      <c r="L313" s="20"/>
      <c r="M313" s="21"/>
      <c r="N313" s="21"/>
      <c r="O313" s="20"/>
      <c r="P313" s="20"/>
      <c r="Q313" s="21"/>
    </row>
    <row r="314" spans="1:17" ht="14.25" customHeight="1" x14ac:dyDescent="0.25">
      <c r="A314" s="20"/>
      <c r="B314" s="20"/>
      <c r="C314" s="20"/>
      <c r="D314" s="21"/>
      <c r="E314" s="21"/>
      <c r="F314" s="21"/>
      <c r="G314" s="21"/>
      <c r="H314" s="21"/>
      <c r="I314" s="20"/>
      <c r="J314" s="20"/>
      <c r="K314" s="20"/>
      <c r="L314" s="20"/>
      <c r="M314" s="21"/>
      <c r="N314" s="21"/>
      <c r="O314" s="20"/>
      <c r="P314" s="20"/>
      <c r="Q314" s="21"/>
    </row>
    <row r="315" spans="1:17" ht="14.25" customHeight="1" x14ac:dyDescent="0.25">
      <c r="A315" s="20"/>
      <c r="B315" s="20"/>
      <c r="C315" s="20"/>
      <c r="D315" s="21"/>
      <c r="E315" s="21"/>
      <c r="F315" s="21"/>
      <c r="G315" s="21"/>
      <c r="H315" s="21"/>
      <c r="I315" s="20"/>
      <c r="J315" s="20"/>
      <c r="K315" s="20"/>
      <c r="L315" s="20"/>
      <c r="M315" s="21"/>
      <c r="N315" s="21"/>
      <c r="O315" s="20"/>
      <c r="P315" s="20"/>
      <c r="Q315" s="21"/>
    </row>
    <row r="316" spans="1:17" ht="14.25" customHeight="1" x14ac:dyDescent="0.25">
      <c r="A316" s="20"/>
      <c r="B316" s="20"/>
      <c r="C316" s="20"/>
      <c r="D316" s="21"/>
      <c r="E316" s="21"/>
      <c r="F316" s="21"/>
      <c r="G316" s="21"/>
      <c r="H316" s="21"/>
      <c r="I316" s="20"/>
      <c r="J316" s="20"/>
      <c r="K316" s="20"/>
      <c r="L316" s="20"/>
      <c r="M316" s="21"/>
      <c r="N316" s="21"/>
      <c r="O316" s="20"/>
      <c r="P316" s="20"/>
      <c r="Q316" s="21"/>
    </row>
    <row r="317" spans="1:17" ht="14.25" customHeight="1" x14ac:dyDescent="0.25">
      <c r="A317" s="20"/>
      <c r="B317" s="20"/>
      <c r="C317" s="20"/>
      <c r="D317" s="21"/>
      <c r="E317" s="21"/>
      <c r="F317" s="21"/>
      <c r="G317" s="21"/>
      <c r="H317" s="21"/>
      <c r="I317" s="20"/>
      <c r="J317" s="20"/>
      <c r="K317" s="20"/>
      <c r="L317" s="20"/>
      <c r="M317" s="21"/>
      <c r="N317" s="21"/>
      <c r="O317" s="20"/>
      <c r="P317" s="20"/>
      <c r="Q317" s="21"/>
    </row>
    <row r="318" spans="1:17" ht="14.25" customHeight="1" x14ac:dyDescent="0.25">
      <c r="A318" s="20"/>
      <c r="B318" s="20"/>
      <c r="C318" s="20"/>
      <c r="D318" s="21"/>
      <c r="E318" s="21"/>
      <c r="F318" s="21"/>
      <c r="G318" s="21"/>
      <c r="H318" s="21"/>
      <c r="I318" s="20"/>
      <c r="J318" s="20"/>
      <c r="K318" s="20"/>
      <c r="L318" s="20"/>
      <c r="M318" s="21"/>
      <c r="N318" s="21"/>
      <c r="O318" s="20"/>
      <c r="P318" s="20"/>
      <c r="Q318" s="21"/>
    </row>
    <row r="319" spans="1:17" ht="14.25" customHeight="1" x14ac:dyDescent="0.25">
      <c r="A319" s="20"/>
      <c r="B319" s="20"/>
      <c r="C319" s="20"/>
      <c r="D319" s="21"/>
      <c r="E319" s="21"/>
      <c r="F319" s="21"/>
      <c r="G319" s="21"/>
      <c r="H319" s="21"/>
      <c r="I319" s="20"/>
      <c r="J319" s="20"/>
      <c r="K319" s="20"/>
      <c r="L319" s="20"/>
      <c r="M319" s="21"/>
      <c r="N319" s="21"/>
      <c r="O319" s="20"/>
      <c r="P319" s="20"/>
      <c r="Q319" s="21"/>
    </row>
    <row r="320" spans="1:17" ht="14.25" customHeight="1" x14ac:dyDescent="0.25">
      <c r="A320" s="20"/>
      <c r="B320" s="20"/>
      <c r="C320" s="20"/>
      <c r="D320" s="21"/>
      <c r="E320" s="21"/>
      <c r="F320" s="21"/>
      <c r="G320" s="21"/>
      <c r="H320" s="21"/>
      <c r="I320" s="20"/>
      <c r="J320" s="20"/>
      <c r="K320" s="20"/>
      <c r="L320" s="20"/>
      <c r="M320" s="21"/>
      <c r="N320" s="21"/>
      <c r="O320" s="20"/>
      <c r="P320" s="20"/>
      <c r="Q320" s="21"/>
    </row>
    <row r="321" spans="1:17" ht="14.25" customHeight="1" x14ac:dyDescent="0.25">
      <c r="A321" s="20"/>
      <c r="B321" s="20"/>
      <c r="C321" s="20"/>
      <c r="D321" s="21"/>
      <c r="E321" s="21"/>
      <c r="F321" s="21"/>
      <c r="G321" s="21"/>
      <c r="H321" s="21"/>
      <c r="I321" s="20"/>
      <c r="J321" s="20"/>
      <c r="K321" s="20"/>
      <c r="L321" s="20"/>
      <c r="M321" s="21"/>
      <c r="N321" s="21"/>
      <c r="O321" s="20"/>
      <c r="P321" s="20"/>
      <c r="Q321" s="21"/>
    </row>
    <row r="322" spans="1:17" ht="14.25" customHeight="1" x14ac:dyDescent="0.25">
      <c r="A322" s="20"/>
      <c r="B322" s="20"/>
      <c r="C322" s="20"/>
      <c r="D322" s="21"/>
      <c r="E322" s="21"/>
      <c r="F322" s="21"/>
      <c r="G322" s="21"/>
      <c r="H322" s="21"/>
      <c r="I322" s="20"/>
      <c r="J322" s="20"/>
      <c r="K322" s="20"/>
      <c r="L322" s="20"/>
      <c r="M322" s="21"/>
      <c r="N322" s="21"/>
      <c r="O322" s="20"/>
      <c r="P322" s="20"/>
      <c r="Q322" s="21"/>
    </row>
    <row r="323" spans="1:17" ht="14.25" customHeight="1" x14ac:dyDescent="0.25">
      <c r="A323" s="20"/>
      <c r="B323" s="20"/>
      <c r="C323" s="20"/>
      <c r="D323" s="21"/>
      <c r="E323" s="21"/>
      <c r="F323" s="21"/>
      <c r="G323" s="21"/>
      <c r="H323" s="21"/>
      <c r="I323" s="20"/>
      <c r="J323" s="20"/>
      <c r="K323" s="20"/>
      <c r="L323" s="20"/>
      <c r="M323" s="21"/>
      <c r="N323" s="21"/>
      <c r="O323" s="20"/>
      <c r="P323" s="20"/>
      <c r="Q323" s="21"/>
    </row>
    <row r="324" spans="1:17" ht="14.25" customHeight="1" x14ac:dyDescent="0.25">
      <c r="A324" s="20"/>
      <c r="B324" s="20"/>
      <c r="C324" s="20"/>
      <c r="D324" s="21"/>
      <c r="E324" s="21"/>
      <c r="F324" s="21"/>
      <c r="G324" s="21"/>
      <c r="H324" s="21"/>
      <c r="I324" s="20"/>
      <c r="J324" s="20"/>
      <c r="K324" s="20"/>
      <c r="L324" s="20"/>
      <c r="M324" s="21"/>
      <c r="N324" s="21"/>
      <c r="O324" s="20"/>
      <c r="P324" s="20"/>
      <c r="Q324" s="21"/>
    </row>
    <row r="325" spans="1:17" ht="14.25" customHeight="1" x14ac:dyDescent="0.25">
      <c r="A325" s="20"/>
      <c r="B325" s="20"/>
      <c r="C325" s="20"/>
      <c r="D325" s="21"/>
      <c r="E325" s="21"/>
      <c r="F325" s="21"/>
      <c r="G325" s="21"/>
      <c r="H325" s="21"/>
      <c r="I325" s="20"/>
      <c r="J325" s="20"/>
      <c r="K325" s="20"/>
      <c r="L325" s="20"/>
      <c r="M325" s="21"/>
      <c r="N325" s="21"/>
      <c r="O325" s="20"/>
      <c r="P325" s="20"/>
      <c r="Q325" s="21"/>
    </row>
    <row r="326" spans="1:17" ht="14.25" customHeight="1" x14ac:dyDescent="0.25">
      <c r="A326" s="20"/>
      <c r="B326" s="20"/>
      <c r="C326" s="20"/>
      <c r="D326" s="21"/>
      <c r="E326" s="21"/>
      <c r="F326" s="21"/>
      <c r="G326" s="21"/>
      <c r="H326" s="21"/>
      <c r="I326" s="20"/>
      <c r="J326" s="20"/>
      <c r="K326" s="20"/>
      <c r="L326" s="20"/>
      <c r="M326" s="21"/>
      <c r="N326" s="21"/>
      <c r="O326" s="20"/>
      <c r="P326" s="20"/>
      <c r="Q326" s="21"/>
    </row>
    <row r="327" spans="1:17" ht="14.25" customHeight="1" x14ac:dyDescent="0.25">
      <c r="A327" s="20"/>
      <c r="B327" s="20"/>
      <c r="C327" s="20"/>
      <c r="D327" s="21"/>
      <c r="E327" s="21"/>
      <c r="F327" s="21"/>
      <c r="G327" s="21"/>
      <c r="H327" s="21"/>
      <c r="I327" s="20"/>
      <c r="J327" s="20"/>
      <c r="K327" s="20"/>
      <c r="L327" s="20"/>
      <c r="M327" s="21"/>
      <c r="N327" s="21"/>
      <c r="O327" s="20"/>
      <c r="P327" s="20"/>
      <c r="Q327" s="21"/>
    </row>
    <row r="328" spans="1:17" ht="14.25" customHeight="1" x14ac:dyDescent="0.25">
      <c r="A328" s="20"/>
      <c r="B328" s="20"/>
      <c r="C328" s="20"/>
      <c r="D328" s="21"/>
      <c r="E328" s="21"/>
      <c r="F328" s="21"/>
      <c r="G328" s="21"/>
      <c r="H328" s="21"/>
      <c r="I328" s="20"/>
      <c r="J328" s="20"/>
      <c r="K328" s="20"/>
      <c r="L328" s="20"/>
      <c r="M328" s="21"/>
      <c r="N328" s="21"/>
      <c r="O328" s="20"/>
      <c r="P328" s="20"/>
      <c r="Q328" s="21"/>
    </row>
    <row r="329" spans="1:17" ht="14.25" customHeight="1" x14ac:dyDescent="0.25">
      <c r="A329" s="20"/>
      <c r="B329" s="20"/>
      <c r="C329" s="20"/>
      <c r="D329" s="21"/>
      <c r="E329" s="21"/>
      <c r="F329" s="21"/>
      <c r="G329" s="21"/>
      <c r="H329" s="21"/>
      <c r="I329" s="20"/>
      <c r="J329" s="20"/>
      <c r="K329" s="20"/>
      <c r="L329" s="20"/>
      <c r="M329" s="21"/>
      <c r="N329" s="21"/>
      <c r="O329" s="20"/>
      <c r="P329" s="20"/>
      <c r="Q329" s="21"/>
    </row>
    <row r="330" spans="1:17" ht="14.25" customHeight="1" x14ac:dyDescent="0.25">
      <c r="A330" s="20"/>
      <c r="B330" s="20"/>
      <c r="C330" s="20"/>
      <c r="D330" s="21"/>
      <c r="E330" s="21"/>
      <c r="F330" s="21"/>
      <c r="G330" s="21"/>
      <c r="H330" s="21"/>
      <c r="I330" s="20"/>
      <c r="J330" s="20"/>
      <c r="K330" s="20"/>
      <c r="L330" s="20"/>
      <c r="M330" s="21"/>
      <c r="N330" s="21"/>
      <c r="O330" s="20"/>
      <c r="P330" s="20"/>
      <c r="Q330" s="21"/>
    </row>
    <row r="331" spans="1:17" ht="14.25" customHeight="1" x14ac:dyDescent="0.25">
      <c r="A331" s="20"/>
      <c r="B331" s="20"/>
      <c r="C331" s="20"/>
      <c r="D331" s="21"/>
      <c r="E331" s="21"/>
      <c r="F331" s="21"/>
      <c r="G331" s="21"/>
      <c r="H331" s="21"/>
      <c r="I331" s="20"/>
      <c r="J331" s="20"/>
      <c r="K331" s="20"/>
      <c r="L331" s="20"/>
      <c r="M331" s="21"/>
      <c r="N331" s="21"/>
      <c r="O331" s="20"/>
      <c r="P331" s="20"/>
      <c r="Q331" s="21"/>
    </row>
    <row r="332" spans="1:17" ht="14.25" customHeight="1" x14ac:dyDescent="0.25">
      <c r="A332" s="20"/>
      <c r="B332" s="20"/>
      <c r="C332" s="20"/>
      <c r="D332" s="21"/>
      <c r="E332" s="21"/>
      <c r="F332" s="21"/>
      <c r="G332" s="21"/>
      <c r="H332" s="21"/>
      <c r="I332" s="20"/>
      <c r="J332" s="20"/>
      <c r="K332" s="20"/>
      <c r="L332" s="20"/>
      <c r="M332" s="21"/>
      <c r="N332" s="21"/>
      <c r="O332" s="20"/>
      <c r="P332" s="20"/>
      <c r="Q332" s="21"/>
    </row>
    <row r="333" spans="1:17" ht="14.25" customHeight="1" x14ac:dyDescent="0.25">
      <c r="A333" s="20"/>
      <c r="B333" s="20"/>
      <c r="C333" s="20"/>
      <c r="D333" s="21"/>
      <c r="E333" s="21"/>
      <c r="F333" s="21"/>
      <c r="G333" s="21"/>
      <c r="H333" s="21"/>
      <c r="I333" s="20"/>
      <c r="J333" s="20"/>
      <c r="K333" s="20"/>
      <c r="L333" s="20"/>
      <c r="M333" s="21"/>
      <c r="N333" s="21"/>
      <c r="O333" s="20"/>
      <c r="P333" s="20"/>
      <c r="Q333" s="21"/>
    </row>
    <row r="334" spans="1:17" ht="14.25" customHeight="1" x14ac:dyDescent="0.25">
      <c r="A334" s="20"/>
      <c r="B334" s="20"/>
      <c r="C334" s="20"/>
      <c r="D334" s="21"/>
      <c r="E334" s="21"/>
      <c r="F334" s="21"/>
      <c r="G334" s="21"/>
      <c r="H334" s="21"/>
      <c r="I334" s="20"/>
      <c r="J334" s="20"/>
      <c r="K334" s="20"/>
      <c r="L334" s="20"/>
      <c r="M334" s="21"/>
      <c r="N334" s="21"/>
      <c r="O334" s="20"/>
      <c r="P334" s="20"/>
      <c r="Q334" s="21"/>
    </row>
    <row r="335" spans="1:17" ht="14.25" customHeight="1" x14ac:dyDescent="0.25">
      <c r="A335" s="20"/>
      <c r="B335" s="20"/>
      <c r="C335" s="20"/>
      <c r="D335" s="21"/>
      <c r="E335" s="21"/>
      <c r="F335" s="21"/>
      <c r="G335" s="21"/>
      <c r="H335" s="21"/>
      <c r="I335" s="20"/>
      <c r="J335" s="20"/>
      <c r="K335" s="20"/>
      <c r="L335" s="20"/>
      <c r="M335" s="21"/>
      <c r="N335" s="21"/>
      <c r="O335" s="20"/>
      <c r="P335" s="20"/>
      <c r="Q335" s="21"/>
    </row>
    <row r="336" spans="1:17" ht="14.25" customHeight="1" x14ac:dyDescent="0.25">
      <c r="A336" s="20"/>
      <c r="B336" s="20"/>
      <c r="C336" s="20"/>
      <c r="D336" s="21"/>
      <c r="E336" s="21"/>
      <c r="F336" s="21"/>
      <c r="G336" s="21"/>
      <c r="H336" s="21"/>
      <c r="I336" s="20"/>
      <c r="J336" s="20"/>
      <c r="K336" s="20"/>
      <c r="L336" s="20"/>
      <c r="M336" s="21"/>
      <c r="N336" s="21"/>
      <c r="O336" s="20"/>
      <c r="P336" s="20"/>
      <c r="Q336" s="21"/>
    </row>
    <row r="337" spans="1:17" ht="14.25" customHeight="1" x14ac:dyDescent="0.25">
      <c r="A337" s="20"/>
      <c r="B337" s="20"/>
      <c r="C337" s="20"/>
      <c r="D337" s="21"/>
      <c r="E337" s="21"/>
      <c r="F337" s="21"/>
      <c r="G337" s="21"/>
      <c r="H337" s="21"/>
      <c r="I337" s="20"/>
      <c r="J337" s="20"/>
      <c r="K337" s="20"/>
      <c r="L337" s="20"/>
      <c r="M337" s="21"/>
      <c r="N337" s="21"/>
      <c r="O337" s="20"/>
      <c r="P337" s="20"/>
      <c r="Q337" s="21"/>
    </row>
    <row r="338" spans="1:17" ht="14.25" customHeight="1" x14ac:dyDescent="0.25">
      <c r="A338" s="20"/>
      <c r="B338" s="20"/>
      <c r="C338" s="20"/>
      <c r="D338" s="21"/>
      <c r="E338" s="21"/>
      <c r="F338" s="21"/>
      <c r="G338" s="21"/>
      <c r="H338" s="21"/>
      <c r="I338" s="20"/>
      <c r="J338" s="20"/>
      <c r="K338" s="20"/>
      <c r="L338" s="20"/>
      <c r="M338" s="21"/>
      <c r="N338" s="21"/>
      <c r="O338" s="20"/>
      <c r="P338" s="20"/>
      <c r="Q338" s="21"/>
    </row>
    <row r="339" spans="1:17" ht="14.25" customHeight="1" x14ac:dyDescent="0.25">
      <c r="A339" s="20"/>
      <c r="B339" s="20"/>
      <c r="C339" s="20"/>
      <c r="D339" s="21"/>
      <c r="E339" s="21"/>
      <c r="F339" s="21"/>
      <c r="G339" s="21"/>
      <c r="H339" s="21"/>
      <c r="I339" s="20"/>
      <c r="J339" s="20"/>
      <c r="K339" s="20"/>
      <c r="L339" s="20"/>
      <c r="M339" s="21"/>
      <c r="N339" s="21"/>
      <c r="O339" s="20"/>
      <c r="P339" s="20"/>
      <c r="Q339" s="21"/>
    </row>
    <row r="340" spans="1:17" ht="14.25" customHeight="1" x14ac:dyDescent="0.25">
      <c r="A340" s="20"/>
      <c r="B340" s="20"/>
      <c r="C340" s="20"/>
      <c r="D340" s="21"/>
      <c r="E340" s="21"/>
      <c r="F340" s="21"/>
      <c r="G340" s="21"/>
      <c r="H340" s="21"/>
      <c r="I340" s="20"/>
      <c r="J340" s="20"/>
      <c r="K340" s="20"/>
      <c r="L340" s="20"/>
      <c r="M340" s="21"/>
      <c r="N340" s="21"/>
      <c r="O340" s="20"/>
      <c r="P340" s="20"/>
      <c r="Q340" s="21"/>
    </row>
    <row r="341" spans="1:17" ht="14.25" customHeight="1" x14ac:dyDescent="0.25">
      <c r="A341" s="20"/>
      <c r="B341" s="20"/>
      <c r="C341" s="20"/>
      <c r="D341" s="21"/>
      <c r="E341" s="21"/>
      <c r="F341" s="21"/>
      <c r="G341" s="21"/>
      <c r="H341" s="21"/>
      <c r="I341" s="20"/>
      <c r="J341" s="20"/>
      <c r="K341" s="20"/>
      <c r="L341" s="20"/>
      <c r="M341" s="21"/>
      <c r="N341" s="21"/>
      <c r="O341" s="20"/>
      <c r="P341" s="20"/>
      <c r="Q341" s="21"/>
    </row>
    <row r="342" spans="1:17" ht="14.25" customHeight="1" x14ac:dyDescent="0.25">
      <c r="A342" s="20"/>
      <c r="B342" s="20"/>
      <c r="C342" s="20"/>
      <c r="D342" s="21"/>
      <c r="E342" s="21"/>
      <c r="F342" s="21"/>
      <c r="G342" s="21"/>
      <c r="H342" s="21"/>
      <c r="I342" s="20"/>
      <c r="J342" s="20"/>
      <c r="K342" s="20"/>
      <c r="L342" s="20"/>
      <c r="M342" s="21"/>
      <c r="N342" s="21"/>
      <c r="O342" s="20"/>
      <c r="P342" s="20"/>
      <c r="Q342" s="21"/>
    </row>
    <row r="343" spans="1:17" ht="14.25" customHeight="1" x14ac:dyDescent="0.25">
      <c r="A343" s="20"/>
      <c r="B343" s="20"/>
      <c r="C343" s="20"/>
      <c r="D343" s="21"/>
      <c r="E343" s="21"/>
      <c r="F343" s="21"/>
      <c r="G343" s="21"/>
      <c r="H343" s="21"/>
      <c r="I343" s="20"/>
      <c r="J343" s="20"/>
      <c r="K343" s="20"/>
      <c r="L343" s="20"/>
      <c r="M343" s="21"/>
      <c r="N343" s="21"/>
      <c r="O343" s="20"/>
      <c r="P343" s="20"/>
      <c r="Q343" s="21"/>
    </row>
    <row r="344" spans="1:17" ht="14.25" customHeight="1" x14ac:dyDescent="0.25">
      <c r="A344" s="20"/>
      <c r="B344" s="20"/>
      <c r="C344" s="20"/>
      <c r="D344" s="21"/>
      <c r="E344" s="21"/>
      <c r="F344" s="21"/>
      <c r="G344" s="21"/>
      <c r="H344" s="21"/>
      <c r="I344" s="20"/>
      <c r="J344" s="20"/>
      <c r="K344" s="20"/>
      <c r="L344" s="20"/>
      <c r="M344" s="21"/>
      <c r="N344" s="21"/>
      <c r="O344" s="20"/>
      <c r="P344" s="20"/>
      <c r="Q344" s="21"/>
    </row>
    <row r="345" spans="1:17" ht="14.25" customHeight="1" x14ac:dyDescent="0.25">
      <c r="A345" s="20"/>
      <c r="B345" s="20"/>
      <c r="C345" s="20"/>
      <c r="D345" s="21"/>
      <c r="E345" s="21"/>
      <c r="F345" s="21"/>
      <c r="G345" s="21"/>
      <c r="H345" s="21"/>
      <c r="I345" s="20"/>
      <c r="J345" s="20"/>
      <c r="K345" s="20"/>
      <c r="L345" s="20"/>
      <c r="M345" s="21"/>
      <c r="N345" s="21"/>
      <c r="O345" s="20"/>
      <c r="P345" s="20"/>
      <c r="Q345" s="21"/>
    </row>
    <row r="346" spans="1:17" ht="14.25" customHeight="1" x14ac:dyDescent="0.25">
      <c r="A346" s="20"/>
      <c r="B346" s="20"/>
      <c r="C346" s="20"/>
      <c r="D346" s="21"/>
      <c r="E346" s="21"/>
      <c r="F346" s="21"/>
      <c r="G346" s="21"/>
      <c r="H346" s="21"/>
      <c r="I346" s="20"/>
      <c r="J346" s="20"/>
      <c r="K346" s="20"/>
      <c r="L346" s="20"/>
      <c r="M346" s="21"/>
      <c r="N346" s="21"/>
      <c r="O346" s="20"/>
      <c r="P346" s="20"/>
      <c r="Q346" s="21"/>
    </row>
    <row r="347" spans="1:17" ht="14.25" customHeight="1" x14ac:dyDescent="0.25">
      <c r="A347" s="20"/>
      <c r="B347" s="20"/>
      <c r="C347" s="20"/>
      <c r="D347" s="21"/>
      <c r="E347" s="21"/>
      <c r="F347" s="21"/>
      <c r="G347" s="21"/>
      <c r="H347" s="21"/>
      <c r="I347" s="20"/>
      <c r="J347" s="20"/>
      <c r="K347" s="20"/>
      <c r="L347" s="20"/>
      <c r="M347" s="21"/>
      <c r="N347" s="21"/>
      <c r="O347" s="20"/>
      <c r="P347" s="20"/>
      <c r="Q347" s="21"/>
    </row>
    <row r="348" spans="1:17" ht="14.25" customHeight="1" x14ac:dyDescent="0.25">
      <c r="A348" s="20"/>
      <c r="B348" s="20"/>
      <c r="C348" s="20"/>
      <c r="D348" s="21"/>
      <c r="E348" s="21"/>
      <c r="F348" s="21"/>
      <c r="G348" s="21"/>
      <c r="H348" s="21"/>
      <c r="I348" s="20"/>
      <c r="J348" s="20"/>
      <c r="K348" s="20"/>
      <c r="L348" s="20"/>
      <c r="M348" s="21"/>
      <c r="N348" s="21"/>
      <c r="O348" s="20"/>
      <c r="P348" s="20"/>
      <c r="Q348" s="21"/>
    </row>
    <row r="349" spans="1:17" ht="14.25" customHeight="1" x14ac:dyDescent="0.25">
      <c r="A349" s="20"/>
      <c r="B349" s="20"/>
      <c r="C349" s="20"/>
      <c r="D349" s="21"/>
      <c r="E349" s="21"/>
      <c r="F349" s="21"/>
      <c r="G349" s="21"/>
      <c r="H349" s="21"/>
      <c r="I349" s="20"/>
      <c r="J349" s="20"/>
      <c r="K349" s="20"/>
      <c r="L349" s="20"/>
      <c r="M349" s="21"/>
      <c r="N349" s="21"/>
      <c r="O349" s="20"/>
      <c r="P349" s="20"/>
      <c r="Q349" s="21"/>
    </row>
    <row r="350" spans="1:17" ht="14.25" customHeight="1" x14ac:dyDescent="0.25">
      <c r="A350" s="20"/>
      <c r="B350" s="20"/>
      <c r="C350" s="20"/>
      <c r="D350" s="21"/>
      <c r="E350" s="21"/>
      <c r="F350" s="21"/>
      <c r="G350" s="21"/>
      <c r="H350" s="21"/>
      <c r="I350" s="20"/>
      <c r="J350" s="20"/>
      <c r="K350" s="20"/>
      <c r="L350" s="20"/>
      <c r="M350" s="21"/>
      <c r="N350" s="21"/>
      <c r="O350" s="20"/>
      <c r="P350" s="20"/>
      <c r="Q350" s="21"/>
    </row>
    <row r="351" spans="1:17" ht="14.25" customHeight="1" x14ac:dyDescent="0.25">
      <c r="A351" s="20"/>
      <c r="B351" s="20"/>
      <c r="C351" s="20"/>
      <c r="D351" s="21"/>
      <c r="E351" s="21"/>
      <c r="F351" s="21"/>
      <c r="G351" s="21"/>
      <c r="H351" s="21"/>
      <c r="I351" s="20"/>
      <c r="J351" s="20"/>
      <c r="K351" s="20"/>
      <c r="L351" s="20"/>
      <c r="M351" s="21"/>
      <c r="N351" s="21"/>
      <c r="O351" s="20"/>
      <c r="P351" s="20"/>
      <c r="Q351" s="21"/>
    </row>
    <row r="352" spans="1:17" ht="14.25" customHeight="1" x14ac:dyDescent="0.25">
      <c r="A352" s="20"/>
      <c r="B352" s="20"/>
      <c r="C352" s="20"/>
      <c r="D352" s="21"/>
      <c r="E352" s="21"/>
      <c r="F352" s="21"/>
      <c r="G352" s="21"/>
      <c r="H352" s="21"/>
      <c r="I352" s="20"/>
      <c r="J352" s="20"/>
      <c r="K352" s="20"/>
      <c r="L352" s="20"/>
      <c r="M352" s="21"/>
      <c r="N352" s="21"/>
      <c r="O352" s="20"/>
      <c r="P352" s="20"/>
      <c r="Q352" s="21"/>
    </row>
    <row r="353" spans="1:17" ht="14.25" customHeight="1" x14ac:dyDescent="0.25">
      <c r="A353" s="20"/>
      <c r="B353" s="20"/>
      <c r="C353" s="20"/>
      <c r="D353" s="21"/>
      <c r="E353" s="21"/>
      <c r="F353" s="21"/>
      <c r="G353" s="21"/>
      <c r="H353" s="21"/>
      <c r="I353" s="20"/>
      <c r="J353" s="20"/>
      <c r="K353" s="20"/>
      <c r="L353" s="20"/>
      <c r="M353" s="21"/>
      <c r="N353" s="21"/>
      <c r="O353" s="20"/>
      <c r="P353" s="20"/>
      <c r="Q353" s="21"/>
    </row>
    <row r="354" spans="1:17" ht="14.25" customHeight="1" x14ac:dyDescent="0.25">
      <c r="A354" s="20"/>
      <c r="B354" s="20"/>
      <c r="C354" s="20"/>
      <c r="D354" s="21"/>
      <c r="E354" s="21"/>
      <c r="F354" s="21"/>
      <c r="G354" s="21"/>
      <c r="H354" s="21"/>
      <c r="I354" s="20"/>
      <c r="J354" s="20"/>
      <c r="K354" s="20"/>
      <c r="L354" s="20"/>
      <c r="M354" s="21"/>
      <c r="N354" s="21"/>
      <c r="O354" s="20"/>
      <c r="P354" s="20"/>
      <c r="Q354" s="21"/>
    </row>
    <row r="355" spans="1:17" ht="14.25" customHeight="1" x14ac:dyDescent="0.25">
      <c r="A355" s="20"/>
      <c r="B355" s="20"/>
      <c r="C355" s="20"/>
      <c r="D355" s="21"/>
      <c r="E355" s="21"/>
      <c r="F355" s="21"/>
      <c r="G355" s="21"/>
      <c r="H355" s="21"/>
      <c r="I355" s="20"/>
      <c r="J355" s="20"/>
      <c r="K355" s="20"/>
      <c r="L355" s="20"/>
      <c r="M355" s="21"/>
      <c r="N355" s="21"/>
      <c r="O355" s="20"/>
      <c r="P355" s="20"/>
      <c r="Q355" s="21"/>
    </row>
    <row r="356" spans="1:17" ht="14.25" customHeight="1" x14ac:dyDescent="0.25">
      <c r="A356" s="20"/>
      <c r="B356" s="20"/>
      <c r="C356" s="20"/>
      <c r="D356" s="21"/>
      <c r="E356" s="21"/>
      <c r="F356" s="21"/>
      <c r="G356" s="21"/>
      <c r="H356" s="21"/>
      <c r="I356" s="20"/>
      <c r="J356" s="20"/>
      <c r="K356" s="20"/>
      <c r="L356" s="20"/>
      <c r="M356" s="21"/>
      <c r="N356" s="21"/>
      <c r="O356" s="20"/>
      <c r="P356" s="20"/>
      <c r="Q356" s="21"/>
    </row>
    <row r="357" spans="1:17" ht="14.25" customHeight="1" x14ac:dyDescent="0.25">
      <c r="A357" s="20"/>
      <c r="B357" s="20"/>
      <c r="C357" s="20"/>
      <c r="D357" s="21"/>
      <c r="E357" s="21"/>
      <c r="F357" s="21"/>
      <c r="G357" s="21"/>
      <c r="H357" s="21"/>
      <c r="I357" s="20"/>
      <c r="J357" s="20"/>
      <c r="K357" s="20"/>
      <c r="L357" s="20"/>
      <c r="M357" s="21"/>
      <c r="N357" s="21"/>
      <c r="O357" s="20"/>
      <c r="P357" s="20"/>
      <c r="Q357" s="21"/>
    </row>
    <row r="358" spans="1:17" ht="14.25" customHeight="1" x14ac:dyDescent="0.25">
      <c r="A358" s="20"/>
      <c r="B358" s="20"/>
      <c r="C358" s="20"/>
      <c r="D358" s="21"/>
      <c r="E358" s="21"/>
      <c r="F358" s="21"/>
      <c r="G358" s="21"/>
      <c r="H358" s="21"/>
      <c r="I358" s="20"/>
      <c r="J358" s="20"/>
      <c r="K358" s="20"/>
      <c r="L358" s="20"/>
      <c r="M358" s="21"/>
      <c r="N358" s="21"/>
      <c r="O358" s="20"/>
      <c r="P358" s="20"/>
      <c r="Q358" s="21"/>
    </row>
    <row r="359" spans="1:17" ht="14.25" customHeight="1" x14ac:dyDescent="0.25">
      <c r="A359" s="20"/>
      <c r="B359" s="20"/>
      <c r="C359" s="20"/>
      <c r="D359" s="21"/>
      <c r="E359" s="21"/>
      <c r="F359" s="21"/>
      <c r="G359" s="21"/>
      <c r="H359" s="21"/>
      <c r="I359" s="20"/>
      <c r="J359" s="20"/>
      <c r="K359" s="20"/>
      <c r="L359" s="20"/>
      <c r="M359" s="21"/>
      <c r="N359" s="21"/>
      <c r="O359" s="20"/>
      <c r="P359" s="20"/>
      <c r="Q359" s="21"/>
    </row>
    <row r="360" spans="1:17" ht="14.25" customHeight="1" x14ac:dyDescent="0.25">
      <c r="A360" s="20"/>
      <c r="B360" s="20"/>
      <c r="C360" s="20"/>
      <c r="D360" s="21"/>
      <c r="E360" s="21"/>
      <c r="F360" s="21"/>
      <c r="G360" s="21"/>
      <c r="H360" s="21"/>
      <c r="I360" s="20"/>
      <c r="J360" s="20"/>
      <c r="K360" s="20"/>
      <c r="L360" s="20"/>
      <c r="M360" s="21"/>
      <c r="N360" s="21"/>
      <c r="O360" s="20"/>
      <c r="P360" s="20"/>
      <c r="Q360" s="21"/>
    </row>
    <row r="361" spans="1:17" ht="14.25" customHeight="1" x14ac:dyDescent="0.25">
      <c r="A361" s="20"/>
      <c r="B361" s="20"/>
      <c r="C361" s="20"/>
      <c r="D361" s="21"/>
      <c r="E361" s="21"/>
      <c r="F361" s="21"/>
      <c r="G361" s="21"/>
      <c r="H361" s="21"/>
      <c r="I361" s="20"/>
      <c r="J361" s="20"/>
      <c r="K361" s="20"/>
      <c r="L361" s="20"/>
      <c r="M361" s="21"/>
      <c r="N361" s="21"/>
      <c r="O361" s="20"/>
      <c r="P361" s="20"/>
      <c r="Q361" s="21"/>
    </row>
    <row r="362" spans="1:17" ht="14.25" customHeight="1" x14ac:dyDescent="0.25">
      <c r="A362" s="20"/>
      <c r="B362" s="20"/>
      <c r="C362" s="20"/>
      <c r="D362" s="21"/>
      <c r="E362" s="21"/>
      <c r="F362" s="21"/>
      <c r="G362" s="21"/>
      <c r="H362" s="21"/>
      <c r="I362" s="20"/>
      <c r="J362" s="20"/>
      <c r="K362" s="20"/>
      <c r="L362" s="20"/>
      <c r="M362" s="21"/>
      <c r="N362" s="21"/>
      <c r="O362" s="20"/>
      <c r="P362" s="20"/>
      <c r="Q362" s="21"/>
    </row>
    <row r="363" spans="1:17" ht="14.25" customHeight="1" x14ac:dyDescent="0.25">
      <c r="A363" s="20"/>
      <c r="B363" s="20"/>
      <c r="C363" s="20"/>
      <c r="D363" s="21"/>
      <c r="E363" s="21"/>
      <c r="F363" s="21"/>
      <c r="G363" s="21"/>
      <c r="H363" s="21"/>
      <c r="I363" s="20"/>
      <c r="J363" s="20"/>
      <c r="K363" s="20"/>
      <c r="L363" s="20"/>
      <c r="M363" s="21"/>
      <c r="N363" s="21"/>
      <c r="O363" s="20"/>
      <c r="P363" s="20"/>
      <c r="Q363" s="21"/>
    </row>
    <row r="364" spans="1:17" ht="14.25" customHeight="1" x14ac:dyDescent="0.25">
      <c r="A364" s="20"/>
      <c r="B364" s="20"/>
      <c r="C364" s="20"/>
      <c r="D364" s="21"/>
      <c r="E364" s="21"/>
      <c r="F364" s="21"/>
      <c r="G364" s="21"/>
      <c r="H364" s="21"/>
      <c r="I364" s="20"/>
      <c r="J364" s="20"/>
      <c r="K364" s="20"/>
      <c r="L364" s="20"/>
      <c r="M364" s="21"/>
      <c r="N364" s="21"/>
      <c r="O364" s="20"/>
      <c r="P364" s="20"/>
      <c r="Q364" s="21"/>
    </row>
    <row r="365" spans="1:17" ht="14.25" customHeight="1" x14ac:dyDescent="0.25">
      <c r="A365" s="20"/>
      <c r="B365" s="20"/>
      <c r="C365" s="20"/>
      <c r="D365" s="21"/>
      <c r="E365" s="21"/>
      <c r="F365" s="21"/>
      <c r="G365" s="21"/>
      <c r="H365" s="21"/>
      <c r="I365" s="20"/>
      <c r="J365" s="20"/>
      <c r="K365" s="20"/>
      <c r="L365" s="20"/>
      <c r="M365" s="21"/>
      <c r="N365" s="21"/>
      <c r="O365" s="20"/>
      <c r="P365" s="20"/>
      <c r="Q365" s="21"/>
    </row>
    <row r="366" spans="1:17" ht="14.25" customHeight="1" x14ac:dyDescent="0.25">
      <c r="A366" s="20"/>
      <c r="B366" s="20"/>
      <c r="C366" s="20"/>
      <c r="D366" s="21"/>
      <c r="E366" s="21"/>
      <c r="F366" s="21"/>
      <c r="G366" s="21"/>
      <c r="H366" s="21"/>
      <c r="I366" s="20"/>
      <c r="J366" s="20"/>
      <c r="K366" s="20"/>
      <c r="L366" s="20"/>
      <c r="M366" s="21"/>
      <c r="N366" s="21"/>
      <c r="O366" s="20"/>
      <c r="P366" s="20"/>
      <c r="Q366" s="21"/>
    </row>
    <row r="367" spans="1:17" ht="14.25" customHeight="1" x14ac:dyDescent="0.25">
      <c r="A367" s="20"/>
      <c r="B367" s="20"/>
      <c r="C367" s="20"/>
      <c r="D367" s="21"/>
      <c r="E367" s="21"/>
      <c r="F367" s="21"/>
      <c r="G367" s="21"/>
      <c r="H367" s="21"/>
      <c r="I367" s="20"/>
      <c r="J367" s="20"/>
      <c r="K367" s="20"/>
      <c r="L367" s="20"/>
      <c r="M367" s="21"/>
      <c r="N367" s="21"/>
      <c r="O367" s="20"/>
      <c r="P367" s="20"/>
      <c r="Q367" s="21"/>
    </row>
    <row r="368" spans="1:17" ht="14.25" customHeight="1" x14ac:dyDescent="0.25">
      <c r="A368" s="20"/>
      <c r="B368" s="20"/>
      <c r="C368" s="20"/>
      <c r="D368" s="21"/>
      <c r="E368" s="21"/>
      <c r="F368" s="21"/>
      <c r="G368" s="21"/>
      <c r="H368" s="21"/>
      <c r="I368" s="20"/>
      <c r="J368" s="20"/>
      <c r="K368" s="20"/>
      <c r="L368" s="20"/>
      <c r="M368" s="21"/>
      <c r="N368" s="21"/>
      <c r="O368" s="20"/>
      <c r="P368" s="20"/>
      <c r="Q368" s="21"/>
    </row>
    <row r="369" spans="1:17" ht="14.25" customHeight="1" x14ac:dyDescent="0.25">
      <c r="A369" s="20"/>
      <c r="B369" s="20"/>
      <c r="C369" s="20"/>
      <c r="D369" s="21"/>
      <c r="E369" s="21"/>
      <c r="F369" s="21"/>
      <c r="G369" s="21"/>
      <c r="H369" s="21"/>
      <c r="I369" s="20"/>
      <c r="J369" s="20"/>
      <c r="K369" s="20"/>
      <c r="L369" s="20"/>
      <c r="M369" s="21"/>
      <c r="N369" s="21"/>
      <c r="O369" s="20"/>
      <c r="P369" s="20"/>
      <c r="Q369" s="21"/>
    </row>
    <row r="370" spans="1:17" ht="14.25" customHeight="1" x14ac:dyDescent="0.25">
      <c r="A370" s="20"/>
      <c r="B370" s="20"/>
      <c r="C370" s="20"/>
      <c r="D370" s="21"/>
      <c r="E370" s="21"/>
      <c r="F370" s="21"/>
      <c r="G370" s="21"/>
      <c r="H370" s="21"/>
      <c r="I370" s="20"/>
      <c r="J370" s="20"/>
      <c r="K370" s="20"/>
      <c r="L370" s="20"/>
      <c r="M370" s="21"/>
      <c r="N370" s="21"/>
      <c r="O370" s="20"/>
      <c r="P370" s="20"/>
      <c r="Q370" s="21"/>
    </row>
    <row r="371" spans="1:17" ht="14.25" customHeight="1" x14ac:dyDescent="0.25">
      <c r="A371" s="20"/>
      <c r="B371" s="20"/>
      <c r="C371" s="20"/>
      <c r="D371" s="21"/>
      <c r="E371" s="21"/>
      <c r="F371" s="21"/>
      <c r="G371" s="21"/>
      <c r="H371" s="21"/>
      <c r="I371" s="20"/>
      <c r="J371" s="20"/>
      <c r="K371" s="20"/>
      <c r="L371" s="20"/>
      <c r="M371" s="21"/>
      <c r="N371" s="21"/>
      <c r="O371" s="20"/>
      <c r="P371" s="20"/>
      <c r="Q371" s="21"/>
    </row>
    <row r="372" spans="1:17" ht="14.25" customHeight="1" x14ac:dyDescent="0.25">
      <c r="A372" s="20"/>
      <c r="B372" s="20"/>
      <c r="C372" s="20"/>
      <c r="D372" s="21"/>
      <c r="E372" s="21"/>
      <c r="F372" s="21"/>
      <c r="G372" s="21"/>
      <c r="H372" s="21"/>
      <c r="I372" s="20"/>
      <c r="J372" s="20"/>
      <c r="K372" s="20"/>
      <c r="L372" s="20"/>
      <c r="M372" s="21"/>
      <c r="N372" s="21"/>
      <c r="O372" s="20"/>
      <c r="P372" s="20"/>
      <c r="Q372" s="21"/>
    </row>
    <row r="373" spans="1:17" ht="14.25" customHeight="1" x14ac:dyDescent="0.25">
      <c r="A373" s="20"/>
      <c r="B373" s="20"/>
      <c r="C373" s="20"/>
      <c r="D373" s="21"/>
      <c r="E373" s="21"/>
      <c r="F373" s="21"/>
      <c r="G373" s="21"/>
      <c r="H373" s="21"/>
      <c r="I373" s="20"/>
      <c r="J373" s="20"/>
      <c r="K373" s="20"/>
      <c r="L373" s="20"/>
      <c r="M373" s="21"/>
      <c r="N373" s="21"/>
      <c r="O373" s="20"/>
      <c r="P373" s="20"/>
      <c r="Q373" s="21"/>
    </row>
    <row r="374" spans="1:17" ht="14.25" customHeight="1" x14ac:dyDescent="0.25">
      <c r="A374" s="20"/>
      <c r="B374" s="20"/>
      <c r="C374" s="20"/>
      <c r="D374" s="21"/>
      <c r="E374" s="21"/>
      <c r="F374" s="21"/>
      <c r="G374" s="21"/>
      <c r="H374" s="21"/>
      <c r="I374" s="20"/>
      <c r="J374" s="20"/>
      <c r="K374" s="20"/>
      <c r="L374" s="20"/>
      <c r="M374" s="21"/>
      <c r="N374" s="21"/>
      <c r="O374" s="20"/>
      <c r="P374" s="20"/>
      <c r="Q374" s="21"/>
    </row>
    <row r="375" spans="1:17" ht="14.25" customHeight="1" x14ac:dyDescent="0.25">
      <c r="A375" s="20"/>
      <c r="B375" s="20"/>
      <c r="C375" s="20"/>
      <c r="D375" s="21"/>
      <c r="E375" s="21"/>
      <c r="F375" s="21"/>
      <c r="G375" s="21"/>
      <c r="H375" s="21"/>
      <c r="I375" s="20"/>
      <c r="J375" s="20"/>
      <c r="K375" s="20"/>
      <c r="L375" s="20"/>
      <c r="M375" s="21"/>
      <c r="N375" s="21"/>
      <c r="O375" s="20"/>
      <c r="P375" s="20"/>
      <c r="Q375" s="21"/>
    </row>
    <row r="376" spans="1:17" ht="14.25" customHeight="1" x14ac:dyDescent="0.25">
      <c r="A376" s="20"/>
      <c r="B376" s="20"/>
      <c r="C376" s="20"/>
      <c r="D376" s="21"/>
      <c r="E376" s="21"/>
      <c r="F376" s="21"/>
      <c r="G376" s="21"/>
      <c r="H376" s="21"/>
      <c r="I376" s="20"/>
      <c r="J376" s="20"/>
      <c r="K376" s="20"/>
      <c r="L376" s="20"/>
      <c r="M376" s="21"/>
      <c r="N376" s="21"/>
      <c r="O376" s="20"/>
      <c r="P376" s="20"/>
      <c r="Q376" s="21"/>
    </row>
    <row r="377" spans="1:17" ht="14.25" customHeight="1" x14ac:dyDescent="0.25">
      <c r="A377" s="20"/>
      <c r="B377" s="20"/>
      <c r="C377" s="20"/>
      <c r="D377" s="21"/>
      <c r="E377" s="21"/>
      <c r="F377" s="21"/>
      <c r="G377" s="21"/>
      <c r="H377" s="21"/>
      <c r="I377" s="20"/>
      <c r="J377" s="20"/>
      <c r="K377" s="20"/>
      <c r="L377" s="20"/>
      <c r="M377" s="21"/>
      <c r="N377" s="21"/>
      <c r="O377" s="20"/>
      <c r="P377" s="20"/>
      <c r="Q377" s="21"/>
    </row>
    <row r="378" spans="1:17" ht="14.25" customHeight="1" x14ac:dyDescent="0.25">
      <c r="A378" s="20"/>
      <c r="B378" s="20"/>
      <c r="C378" s="20"/>
      <c r="D378" s="21"/>
      <c r="E378" s="21"/>
      <c r="F378" s="21"/>
      <c r="G378" s="21"/>
      <c r="H378" s="21"/>
      <c r="I378" s="20"/>
      <c r="J378" s="20"/>
      <c r="K378" s="20"/>
      <c r="L378" s="20"/>
      <c r="M378" s="21"/>
      <c r="N378" s="21"/>
      <c r="O378" s="20"/>
      <c r="P378" s="20"/>
      <c r="Q378" s="21"/>
    </row>
    <row r="379" spans="1:17" ht="14.25" customHeight="1" x14ac:dyDescent="0.25">
      <c r="A379" s="20"/>
      <c r="B379" s="20"/>
      <c r="C379" s="20"/>
      <c r="D379" s="21"/>
      <c r="E379" s="21"/>
      <c r="F379" s="21"/>
      <c r="G379" s="21"/>
      <c r="H379" s="21"/>
      <c r="I379" s="20"/>
      <c r="J379" s="20"/>
      <c r="K379" s="20"/>
      <c r="L379" s="20"/>
      <c r="M379" s="21"/>
      <c r="N379" s="21"/>
      <c r="O379" s="20"/>
      <c r="P379" s="20"/>
      <c r="Q379" s="21"/>
    </row>
    <row r="380" spans="1:17" ht="14.25" customHeight="1" x14ac:dyDescent="0.25">
      <c r="A380" s="20"/>
      <c r="B380" s="20"/>
      <c r="C380" s="20"/>
      <c r="D380" s="21"/>
      <c r="E380" s="21"/>
      <c r="F380" s="21"/>
      <c r="G380" s="21"/>
      <c r="H380" s="21"/>
      <c r="I380" s="20"/>
      <c r="J380" s="20"/>
      <c r="K380" s="20"/>
      <c r="L380" s="20"/>
      <c r="M380" s="21"/>
      <c r="N380" s="21"/>
      <c r="O380" s="20"/>
      <c r="P380" s="20"/>
      <c r="Q380" s="21"/>
    </row>
    <row r="381" spans="1:17" ht="14.25" customHeight="1" x14ac:dyDescent="0.25">
      <c r="A381" s="20"/>
      <c r="B381" s="20"/>
      <c r="C381" s="20"/>
      <c r="D381" s="21"/>
      <c r="E381" s="21"/>
      <c r="F381" s="21"/>
      <c r="G381" s="21"/>
      <c r="H381" s="21"/>
      <c r="I381" s="20"/>
      <c r="J381" s="20"/>
      <c r="K381" s="20"/>
      <c r="L381" s="20"/>
      <c r="M381" s="21"/>
      <c r="N381" s="21"/>
      <c r="O381" s="20"/>
      <c r="P381" s="20"/>
      <c r="Q381" s="21"/>
    </row>
    <row r="382" spans="1:17" ht="14.25" customHeight="1" x14ac:dyDescent="0.25">
      <c r="A382" s="20"/>
      <c r="B382" s="20"/>
      <c r="C382" s="20"/>
      <c r="D382" s="21"/>
      <c r="E382" s="21"/>
      <c r="F382" s="21"/>
      <c r="G382" s="21"/>
      <c r="H382" s="21"/>
      <c r="I382" s="20"/>
      <c r="J382" s="20"/>
      <c r="K382" s="20"/>
      <c r="L382" s="20"/>
      <c r="M382" s="21"/>
      <c r="N382" s="21"/>
      <c r="O382" s="20"/>
      <c r="P382" s="20"/>
      <c r="Q382" s="21"/>
    </row>
    <row r="383" spans="1:17" ht="14.25" customHeight="1" x14ac:dyDescent="0.25">
      <c r="A383" s="20"/>
      <c r="B383" s="20"/>
      <c r="C383" s="20"/>
      <c r="D383" s="21"/>
      <c r="E383" s="21"/>
      <c r="F383" s="21"/>
      <c r="G383" s="21"/>
      <c r="H383" s="21"/>
      <c r="I383" s="20"/>
      <c r="J383" s="20"/>
      <c r="K383" s="20"/>
      <c r="L383" s="20"/>
      <c r="M383" s="21"/>
      <c r="N383" s="21"/>
      <c r="O383" s="20"/>
      <c r="P383" s="20"/>
      <c r="Q383" s="21"/>
    </row>
    <row r="384" spans="1:17" ht="14.25" customHeight="1" x14ac:dyDescent="0.25">
      <c r="A384" s="20"/>
      <c r="B384" s="20"/>
      <c r="C384" s="20"/>
      <c r="D384" s="21"/>
      <c r="E384" s="21"/>
      <c r="F384" s="21"/>
      <c r="G384" s="21"/>
      <c r="H384" s="21"/>
      <c r="I384" s="20"/>
      <c r="J384" s="20"/>
      <c r="K384" s="20"/>
      <c r="L384" s="20"/>
      <c r="M384" s="21"/>
      <c r="N384" s="21"/>
      <c r="O384" s="20"/>
      <c r="P384" s="20"/>
      <c r="Q384" s="21"/>
    </row>
    <row r="385" spans="1:17" ht="14.25" customHeight="1" x14ac:dyDescent="0.25">
      <c r="A385" s="20"/>
      <c r="B385" s="20"/>
      <c r="C385" s="20"/>
      <c r="D385" s="21"/>
      <c r="E385" s="21"/>
      <c r="F385" s="21"/>
      <c r="G385" s="21"/>
      <c r="H385" s="21"/>
      <c r="I385" s="20"/>
      <c r="J385" s="20"/>
      <c r="K385" s="20"/>
      <c r="L385" s="20"/>
      <c r="M385" s="21"/>
      <c r="N385" s="21"/>
      <c r="O385" s="20"/>
      <c r="P385" s="20"/>
      <c r="Q385" s="21"/>
    </row>
    <row r="386" spans="1:17" ht="14.25" customHeight="1" x14ac:dyDescent="0.25">
      <c r="A386" s="20"/>
      <c r="B386" s="20"/>
      <c r="C386" s="20"/>
      <c r="D386" s="21"/>
      <c r="E386" s="21"/>
      <c r="F386" s="21"/>
      <c r="G386" s="21"/>
      <c r="H386" s="21"/>
      <c r="I386" s="20"/>
      <c r="J386" s="20"/>
      <c r="K386" s="20"/>
      <c r="L386" s="20"/>
      <c r="M386" s="21"/>
      <c r="N386" s="21"/>
      <c r="O386" s="20"/>
      <c r="P386" s="20"/>
      <c r="Q386" s="21"/>
    </row>
    <row r="387" spans="1:17" ht="14.25" customHeight="1" x14ac:dyDescent="0.25">
      <c r="A387" s="20"/>
      <c r="B387" s="20"/>
      <c r="C387" s="20"/>
      <c r="D387" s="21"/>
      <c r="E387" s="21"/>
      <c r="F387" s="21"/>
      <c r="G387" s="21"/>
      <c r="H387" s="21"/>
      <c r="I387" s="20"/>
      <c r="J387" s="20"/>
      <c r="K387" s="20"/>
      <c r="L387" s="20"/>
      <c r="M387" s="21"/>
      <c r="N387" s="21"/>
      <c r="O387" s="20"/>
      <c r="P387" s="20"/>
      <c r="Q387" s="21"/>
    </row>
    <row r="388" spans="1:17" ht="14.25" customHeight="1" x14ac:dyDescent="0.25">
      <c r="A388" s="20"/>
      <c r="B388" s="20"/>
      <c r="C388" s="20"/>
      <c r="D388" s="21"/>
      <c r="E388" s="21"/>
      <c r="F388" s="21"/>
      <c r="G388" s="21"/>
      <c r="H388" s="21"/>
      <c r="I388" s="20"/>
      <c r="J388" s="20"/>
      <c r="K388" s="20"/>
      <c r="L388" s="20"/>
      <c r="M388" s="21"/>
      <c r="N388" s="21"/>
      <c r="O388" s="20"/>
      <c r="P388" s="20"/>
      <c r="Q388" s="21"/>
    </row>
    <row r="389" spans="1:17" ht="14.25" customHeight="1" x14ac:dyDescent="0.25">
      <c r="A389" s="20"/>
      <c r="B389" s="20"/>
      <c r="C389" s="20"/>
      <c r="D389" s="21"/>
      <c r="E389" s="21"/>
      <c r="F389" s="21"/>
      <c r="G389" s="21"/>
      <c r="H389" s="21"/>
      <c r="I389" s="20"/>
      <c r="J389" s="20"/>
      <c r="K389" s="20"/>
      <c r="L389" s="20"/>
      <c r="M389" s="21"/>
      <c r="N389" s="21"/>
      <c r="O389" s="20"/>
      <c r="P389" s="20"/>
      <c r="Q389" s="21"/>
    </row>
    <row r="390" spans="1:17" ht="14.25" customHeight="1" x14ac:dyDescent="0.25">
      <c r="A390" s="20"/>
      <c r="B390" s="20"/>
      <c r="C390" s="20"/>
      <c r="D390" s="21"/>
      <c r="E390" s="21"/>
      <c r="F390" s="21"/>
      <c r="G390" s="21"/>
      <c r="H390" s="21"/>
      <c r="I390" s="20"/>
      <c r="J390" s="20"/>
      <c r="K390" s="20"/>
      <c r="L390" s="20"/>
      <c r="M390" s="21"/>
      <c r="N390" s="21"/>
      <c r="O390" s="20"/>
      <c r="P390" s="20"/>
      <c r="Q390" s="21"/>
    </row>
    <row r="391" spans="1:17" ht="14.25" customHeight="1" x14ac:dyDescent="0.25">
      <c r="A391" s="20"/>
      <c r="B391" s="20"/>
      <c r="C391" s="20"/>
      <c r="D391" s="21"/>
      <c r="E391" s="21"/>
      <c r="F391" s="21"/>
      <c r="G391" s="21"/>
      <c r="H391" s="21"/>
      <c r="I391" s="20"/>
      <c r="J391" s="20"/>
      <c r="K391" s="20"/>
      <c r="L391" s="20"/>
      <c r="M391" s="21"/>
      <c r="N391" s="21"/>
      <c r="O391" s="20"/>
      <c r="P391" s="20"/>
      <c r="Q391" s="21"/>
    </row>
    <row r="392" spans="1:17" ht="14.25" customHeight="1" x14ac:dyDescent="0.25">
      <c r="A392" s="20"/>
      <c r="B392" s="20"/>
      <c r="C392" s="20"/>
      <c r="D392" s="21"/>
      <c r="E392" s="21"/>
      <c r="F392" s="21"/>
      <c r="G392" s="21"/>
      <c r="H392" s="21"/>
      <c r="I392" s="20"/>
      <c r="J392" s="20"/>
      <c r="K392" s="20"/>
      <c r="L392" s="20"/>
      <c r="M392" s="21"/>
      <c r="N392" s="21"/>
      <c r="O392" s="20"/>
      <c r="P392" s="20"/>
      <c r="Q392" s="21"/>
    </row>
    <row r="393" spans="1:17" ht="14.25" customHeight="1" x14ac:dyDescent="0.25">
      <c r="A393" s="20"/>
      <c r="B393" s="20"/>
      <c r="C393" s="20"/>
      <c r="D393" s="21"/>
      <c r="E393" s="21"/>
      <c r="F393" s="21"/>
      <c r="G393" s="21"/>
      <c r="H393" s="21"/>
      <c r="I393" s="20"/>
      <c r="J393" s="20"/>
      <c r="K393" s="20"/>
      <c r="L393" s="20"/>
      <c r="M393" s="21"/>
      <c r="N393" s="21"/>
      <c r="O393" s="20"/>
      <c r="P393" s="20"/>
      <c r="Q393" s="21"/>
    </row>
    <row r="394" spans="1:17" ht="14.25" customHeight="1" x14ac:dyDescent="0.25">
      <c r="A394" s="20"/>
      <c r="B394" s="20"/>
      <c r="C394" s="20"/>
      <c r="D394" s="21"/>
      <c r="E394" s="21"/>
      <c r="F394" s="21"/>
      <c r="G394" s="21"/>
      <c r="H394" s="21"/>
      <c r="I394" s="20"/>
      <c r="J394" s="20"/>
      <c r="K394" s="20"/>
      <c r="L394" s="20"/>
      <c r="M394" s="21"/>
      <c r="N394" s="21"/>
      <c r="O394" s="20"/>
      <c r="P394" s="20"/>
      <c r="Q394" s="21"/>
    </row>
    <row r="395" spans="1:17" ht="14.25" customHeight="1" x14ac:dyDescent="0.25">
      <c r="A395" s="20"/>
      <c r="B395" s="20"/>
      <c r="C395" s="20"/>
      <c r="D395" s="21"/>
      <c r="E395" s="21"/>
      <c r="F395" s="21"/>
      <c r="G395" s="21"/>
      <c r="H395" s="21"/>
      <c r="I395" s="20"/>
      <c r="J395" s="20"/>
      <c r="K395" s="20"/>
      <c r="L395" s="20"/>
      <c r="M395" s="21"/>
      <c r="N395" s="21"/>
      <c r="O395" s="20"/>
      <c r="P395" s="20"/>
      <c r="Q395" s="21"/>
    </row>
    <row r="396" spans="1:17" ht="14.25" customHeight="1" x14ac:dyDescent="0.25">
      <c r="A396" s="20"/>
      <c r="B396" s="20"/>
      <c r="C396" s="20"/>
      <c r="D396" s="21"/>
      <c r="E396" s="21"/>
      <c r="F396" s="21"/>
      <c r="G396" s="21"/>
      <c r="H396" s="21"/>
      <c r="I396" s="20"/>
      <c r="J396" s="20"/>
      <c r="K396" s="20"/>
      <c r="L396" s="20"/>
      <c r="M396" s="21"/>
      <c r="N396" s="21"/>
      <c r="O396" s="20"/>
      <c r="P396" s="20"/>
      <c r="Q396" s="21"/>
    </row>
    <row r="397" spans="1:17" ht="14.25" customHeight="1" x14ac:dyDescent="0.25">
      <c r="A397" s="20"/>
      <c r="B397" s="20"/>
      <c r="C397" s="20"/>
      <c r="D397" s="21"/>
      <c r="E397" s="21"/>
      <c r="F397" s="21"/>
      <c r="G397" s="21"/>
      <c r="H397" s="21"/>
      <c r="I397" s="20"/>
      <c r="J397" s="20"/>
      <c r="K397" s="20"/>
      <c r="L397" s="20"/>
      <c r="M397" s="21"/>
      <c r="N397" s="21"/>
      <c r="O397" s="20"/>
      <c r="P397" s="20"/>
      <c r="Q397" s="21"/>
    </row>
    <row r="398" spans="1:17" ht="14.25" customHeight="1" x14ac:dyDescent="0.25">
      <c r="A398" s="20"/>
      <c r="B398" s="20"/>
      <c r="C398" s="20"/>
      <c r="D398" s="21"/>
      <c r="E398" s="21"/>
      <c r="F398" s="21"/>
      <c r="G398" s="21"/>
      <c r="H398" s="21"/>
      <c r="I398" s="20"/>
      <c r="J398" s="20"/>
      <c r="K398" s="20"/>
      <c r="L398" s="20"/>
      <c r="M398" s="21"/>
      <c r="N398" s="21"/>
      <c r="O398" s="20"/>
      <c r="P398" s="20"/>
      <c r="Q398" s="21"/>
    </row>
    <row r="399" spans="1:17" ht="14.25" customHeight="1" x14ac:dyDescent="0.25">
      <c r="A399" s="20"/>
      <c r="B399" s="20"/>
      <c r="C399" s="20"/>
      <c r="D399" s="21"/>
      <c r="E399" s="21"/>
      <c r="F399" s="21"/>
      <c r="G399" s="21"/>
      <c r="H399" s="21"/>
      <c r="I399" s="20"/>
      <c r="J399" s="20"/>
      <c r="K399" s="20"/>
      <c r="L399" s="20"/>
      <c r="M399" s="21"/>
      <c r="N399" s="21"/>
      <c r="O399" s="20"/>
      <c r="P399" s="20"/>
      <c r="Q399" s="21"/>
    </row>
    <row r="400" spans="1:17" ht="14.25" customHeight="1" x14ac:dyDescent="0.25">
      <c r="A400" s="20"/>
      <c r="B400" s="20"/>
      <c r="C400" s="20"/>
      <c r="D400" s="21"/>
      <c r="E400" s="21"/>
      <c r="F400" s="21"/>
      <c r="G400" s="21"/>
      <c r="H400" s="21"/>
      <c r="I400" s="20"/>
      <c r="J400" s="20"/>
      <c r="K400" s="20"/>
      <c r="L400" s="20"/>
      <c r="M400" s="21"/>
      <c r="N400" s="21"/>
      <c r="O400" s="20"/>
      <c r="P400" s="20"/>
      <c r="Q400" s="21"/>
    </row>
    <row r="401" spans="1:17" ht="14.25" customHeight="1" x14ac:dyDescent="0.25">
      <c r="A401" s="20"/>
      <c r="B401" s="20"/>
      <c r="C401" s="20"/>
      <c r="D401" s="21"/>
      <c r="E401" s="21"/>
      <c r="F401" s="21"/>
      <c r="G401" s="21"/>
      <c r="H401" s="21"/>
      <c r="I401" s="20"/>
      <c r="J401" s="20"/>
      <c r="K401" s="20"/>
      <c r="L401" s="20"/>
      <c r="M401" s="21"/>
      <c r="N401" s="21"/>
      <c r="O401" s="20"/>
      <c r="P401" s="20"/>
      <c r="Q401" s="21"/>
    </row>
    <row r="402" spans="1:17" ht="14.25" customHeight="1" x14ac:dyDescent="0.25">
      <c r="A402" s="20"/>
      <c r="B402" s="20"/>
      <c r="C402" s="20"/>
      <c r="D402" s="21"/>
      <c r="E402" s="21"/>
      <c r="F402" s="21"/>
      <c r="G402" s="21"/>
      <c r="H402" s="21"/>
      <c r="I402" s="20"/>
      <c r="J402" s="20"/>
      <c r="K402" s="20"/>
      <c r="L402" s="20"/>
      <c r="M402" s="21"/>
      <c r="N402" s="21"/>
      <c r="O402" s="20"/>
      <c r="P402" s="20"/>
      <c r="Q402" s="21"/>
    </row>
    <row r="403" spans="1:17" ht="14.25" customHeight="1" x14ac:dyDescent="0.25">
      <c r="A403" s="20"/>
      <c r="B403" s="20"/>
      <c r="C403" s="20"/>
      <c r="D403" s="21"/>
      <c r="E403" s="21"/>
      <c r="F403" s="21"/>
      <c r="G403" s="21"/>
      <c r="H403" s="21"/>
      <c r="I403" s="20"/>
      <c r="J403" s="20"/>
      <c r="K403" s="20"/>
      <c r="L403" s="20"/>
      <c r="M403" s="21"/>
      <c r="N403" s="21"/>
      <c r="O403" s="20"/>
      <c r="P403" s="20"/>
      <c r="Q403" s="21"/>
    </row>
    <row r="404" spans="1:17" ht="14.25" customHeight="1" x14ac:dyDescent="0.25">
      <c r="A404" s="20"/>
      <c r="B404" s="20"/>
      <c r="C404" s="20"/>
      <c r="D404" s="21"/>
      <c r="E404" s="21"/>
      <c r="F404" s="21"/>
      <c r="G404" s="21"/>
      <c r="H404" s="21"/>
      <c r="I404" s="20"/>
      <c r="J404" s="20"/>
      <c r="K404" s="20"/>
      <c r="L404" s="20"/>
      <c r="M404" s="21"/>
      <c r="N404" s="21"/>
      <c r="O404" s="20"/>
      <c r="P404" s="20"/>
      <c r="Q404" s="21"/>
    </row>
    <row r="405" spans="1:17" ht="14.25" customHeight="1" x14ac:dyDescent="0.25">
      <c r="A405" s="20"/>
      <c r="B405" s="20"/>
      <c r="C405" s="20"/>
      <c r="D405" s="21"/>
      <c r="E405" s="21"/>
      <c r="F405" s="21"/>
      <c r="G405" s="21"/>
      <c r="H405" s="21"/>
      <c r="I405" s="20"/>
      <c r="J405" s="20"/>
      <c r="K405" s="20"/>
      <c r="L405" s="20"/>
      <c r="M405" s="21"/>
      <c r="N405" s="21"/>
      <c r="O405" s="20"/>
      <c r="P405" s="20"/>
      <c r="Q405" s="21"/>
    </row>
    <row r="406" spans="1:17" ht="14.25" customHeight="1" x14ac:dyDescent="0.25">
      <c r="A406" s="20"/>
      <c r="B406" s="20"/>
      <c r="C406" s="20"/>
      <c r="D406" s="21"/>
      <c r="E406" s="21"/>
      <c r="F406" s="21"/>
      <c r="G406" s="21"/>
      <c r="H406" s="21"/>
      <c r="I406" s="20"/>
      <c r="J406" s="20"/>
      <c r="K406" s="20"/>
      <c r="L406" s="20"/>
      <c r="M406" s="21"/>
      <c r="N406" s="21"/>
      <c r="O406" s="20"/>
      <c r="P406" s="20"/>
      <c r="Q406" s="21"/>
    </row>
    <row r="407" spans="1:17" ht="14.25" customHeight="1" x14ac:dyDescent="0.25">
      <c r="A407" s="20"/>
      <c r="B407" s="20"/>
      <c r="C407" s="20"/>
      <c r="D407" s="21"/>
      <c r="E407" s="21"/>
      <c r="F407" s="21"/>
      <c r="G407" s="21"/>
      <c r="H407" s="21"/>
      <c r="I407" s="20"/>
      <c r="J407" s="20"/>
      <c r="K407" s="20"/>
      <c r="L407" s="20"/>
      <c r="M407" s="21"/>
      <c r="N407" s="21"/>
      <c r="O407" s="20"/>
      <c r="P407" s="20"/>
      <c r="Q407" s="21"/>
    </row>
    <row r="408" spans="1:17" ht="14.25" customHeight="1" x14ac:dyDescent="0.25">
      <c r="A408" s="20"/>
      <c r="B408" s="20"/>
      <c r="C408" s="20"/>
      <c r="D408" s="21"/>
      <c r="E408" s="21"/>
      <c r="F408" s="21"/>
      <c r="G408" s="21"/>
      <c r="H408" s="21"/>
      <c r="I408" s="20"/>
      <c r="J408" s="20"/>
      <c r="K408" s="20"/>
      <c r="L408" s="20"/>
      <c r="M408" s="21"/>
      <c r="N408" s="21"/>
      <c r="O408" s="20"/>
      <c r="P408" s="20"/>
      <c r="Q408" s="21"/>
    </row>
    <row r="409" spans="1:17" ht="14.25" customHeight="1" x14ac:dyDescent="0.25">
      <c r="A409" s="20"/>
      <c r="B409" s="20"/>
      <c r="C409" s="20"/>
      <c r="D409" s="21"/>
      <c r="E409" s="21"/>
      <c r="F409" s="21"/>
      <c r="G409" s="21"/>
      <c r="H409" s="21"/>
      <c r="I409" s="20"/>
      <c r="J409" s="20"/>
      <c r="K409" s="20"/>
      <c r="L409" s="20"/>
      <c r="M409" s="21"/>
      <c r="N409" s="21"/>
      <c r="O409" s="20"/>
      <c r="P409" s="20"/>
      <c r="Q409" s="21"/>
    </row>
    <row r="410" spans="1:17" ht="14.25" customHeight="1" x14ac:dyDescent="0.25">
      <c r="A410" s="20"/>
      <c r="B410" s="20"/>
      <c r="C410" s="20"/>
      <c r="D410" s="21"/>
      <c r="E410" s="21"/>
      <c r="F410" s="21"/>
      <c r="G410" s="21"/>
      <c r="H410" s="21"/>
      <c r="I410" s="20"/>
      <c r="J410" s="20"/>
      <c r="K410" s="20"/>
      <c r="L410" s="20"/>
      <c r="M410" s="21"/>
      <c r="N410" s="21"/>
      <c r="O410" s="20"/>
      <c r="P410" s="20"/>
      <c r="Q410" s="21"/>
    </row>
    <row r="411" spans="1:17" ht="14.25" customHeight="1" x14ac:dyDescent="0.25">
      <c r="A411" s="20"/>
      <c r="B411" s="20"/>
      <c r="C411" s="20"/>
      <c r="D411" s="21"/>
      <c r="E411" s="21"/>
      <c r="F411" s="21"/>
      <c r="G411" s="21"/>
      <c r="H411" s="21"/>
      <c r="I411" s="20"/>
      <c r="J411" s="20"/>
      <c r="K411" s="20"/>
      <c r="L411" s="20"/>
      <c r="M411" s="21"/>
      <c r="N411" s="21"/>
      <c r="O411" s="20"/>
      <c r="P411" s="20"/>
      <c r="Q411" s="21"/>
    </row>
    <row r="412" spans="1:17" ht="14.25" customHeight="1" x14ac:dyDescent="0.25">
      <c r="A412" s="20"/>
      <c r="B412" s="20"/>
      <c r="C412" s="20"/>
      <c r="D412" s="21"/>
      <c r="E412" s="21"/>
      <c r="F412" s="21"/>
      <c r="G412" s="21"/>
      <c r="H412" s="21"/>
      <c r="I412" s="20"/>
      <c r="J412" s="20"/>
      <c r="K412" s="20"/>
      <c r="L412" s="20"/>
      <c r="M412" s="21"/>
      <c r="N412" s="21"/>
      <c r="O412" s="20"/>
      <c r="P412" s="20"/>
      <c r="Q412" s="21"/>
    </row>
    <row r="413" spans="1:17" ht="14.25" customHeight="1" x14ac:dyDescent="0.25">
      <c r="A413" s="20"/>
      <c r="B413" s="20"/>
      <c r="C413" s="20"/>
      <c r="D413" s="21"/>
      <c r="E413" s="21"/>
      <c r="F413" s="21"/>
      <c r="G413" s="21"/>
      <c r="H413" s="21"/>
      <c r="I413" s="20"/>
      <c r="J413" s="20"/>
      <c r="K413" s="20"/>
      <c r="L413" s="20"/>
      <c r="M413" s="21"/>
      <c r="N413" s="21"/>
      <c r="O413" s="20"/>
      <c r="P413" s="20"/>
      <c r="Q413" s="21"/>
    </row>
    <row r="414" spans="1:17" ht="14.25" customHeight="1" x14ac:dyDescent="0.25">
      <c r="A414" s="20"/>
      <c r="B414" s="20"/>
      <c r="C414" s="20"/>
      <c r="D414" s="21"/>
      <c r="E414" s="21"/>
      <c r="F414" s="21"/>
      <c r="G414" s="21"/>
      <c r="H414" s="21"/>
      <c r="I414" s="20"/>
      <c r="J414" s="20"/>
      <c r="K414" s="20"/>
      <c r="L414" s="20"/>
      <c r="M414" s="21"/>
      <c r="N414" s="21"/>
      <c r="O414" s="20"/>
      <c r="P414" s="20"/>
      <c r="Q414" s="21"/>
    </row>
    <row r="415" spans="1:17" ht="14.25" customHeight="1" x14ac:dyDescent="0.25">
      <c r="A415" s="20"/>
      <c r="B415" s="20"/>
      <c r="C415" s="20"/>
      <c r="D415" s="21"/>
      <c r="E415" s="21"/>
      <c r="F415" s="21"/>
      <c r="G415" s="21"/>
      <c r="H415" s="21"/>
      <c r="I415" s="20"/>
      <c r="J415" s="20"/>
      <c r="K415" s="20"/>
      <c r="L415" s="20"/>
      <c r="M415" s="21"/>
      <c r="N415" s="21"/>
      <c r="O415" s="20"/>
      <c r="P415" s="20"/>
      <c r="Q415" s="21"/>
    </row>
    <row r="416" spans="1:17" ht="14.25" customHeight="1" x14ac:dyDescent="0.25">
      <c r="A416" s="20"/>
      <c r="B416" s="20"/>
      <c r="C416" s="20"/>
      <c r="D416" s="21"/>
      <c r="E416" s="21"/>
      <c r="F416" s="21"/>
      <c r="G416" s="21"/>
      <c r="H416" s="21"/>
      <c r="I416" s="20"/>
      <c r="J416" s="20"/>
      <c r="K416" s="20"/>
      <c r="L416" s="20"/>
      <c r="M416" s="21"/>
      <c r="N416" s="21"/>
      <c r="O416" s="20"/>
      <c r="P416" s="20"/>
      <c r="Q416" s="21"/>
    </row>
    <row r="417" spans="1:17" ht="14.25" customHeight="1" x14ac:dyDescent="0.25">
      <c r="A417" s="20"/>
      <c r="B417" s="20"/>
      <c r="C417" s="20"/>
      <c r="D417" s="21"/>
      <c r="E417" s="21"/>
      <c r="F417" s="21"/>
      <c r="G417" s="21"/>
      <c r="H417" s="21"/>
      <c r="I417" s="20"/>
      <c r="J417" s="20"/>
      <c r="K417" s="20"/>
      <c r="L417" s="20"/>
      <c r="M417" s="21"/>
      <c r="N417" s="21"/>
      <c r="O417" s="20"/>
      <c r="P417" s="20"/>
      <c r="Q417" s="21"/>
    </row>
    <row r="418" spans="1:17" ht="14.25" customHeight="1" x14ac:dyDescent="0.25">
      <c r="A418" s="20"/>
      <c r="B418" s="20"/>
      <c r="C418" s="20"/>
      <c r="D418" s="21"/>
      <c r="E418" s="21"/>
      <c r="F418" s="21"/>
      <c r="G418" s="21"/>
      <c r="H418" s="21"/>
      <c r="I418" s="20"/>
      <c r="J418" s="20"/>
      <c r="K418" s="20"/>
      <c r="L418" s="20"/>
      <c r="M418" s="21"/>
      <c r="N418" s="21"/>
      <c r="O418" s="20"/>
      <c r="P418" s="20"/>
      <c r="Q418" s="21"/>
    </row>
    <row r="419" spans="1:17" ht="14.25" customHeight="1" x14ac:dyDescent="0.25">
      <c r="A419" s="20"/>
      <c r="B419" s="20"/>
      <c r="C419" s="20"/>
      <c r="D419" s="21"/>
      <c r="E419" s="21"/>
      <c r="F419" s="21"/>
      <c r="G419" s="21"/>
      <c r="H419" s="21"/>
      <c r="I419" s="20"/>
      <c r="J419" s="20"/>
      <c r="K419" s="20"/>
      <c r="L419" s="20"/>
      <c r="M419" s="21"/>
      <c r="N419" s="21"/>
      <c r="O419" s="20"/>
      <c r="P419" s="20"/>
      <c r="Q419" s="21"/>
    </row>
    <row r="420" spans="1:17" ht="14.25" customHeight="1" x14ac:dyDescent="0.25">
      <c r="A420" s="20"/>
      <c r="B420" s="20"/>
      <c r="C420" s="20"/>
      <c r="D420" s="21"/>
      <c r="E420" s="21"/>
      <c r="F420" s="21"/>
      <c r="G420" s="21"/>
      <c r="H420" s="21"/>
      <c r="I420" s="20"/>
      <c r="J420" s="20"/>
      <c r="K420" s="20"/>
      <c r="L420" s="20"/>
      <c r="M420" s="21"/>
      <c r="N420" s="21"/>
      <c r="O420" s="20"/>
      <c r="P420" s="20"/>
      <c r="Q420" s="21"/>
    </row>
    <row r="421" spans="1:17" ht="14.25" customHeight="1" x14ac:dyDescent="0.25">
      <c r="A421" s="20"/>
      <c r="B421" s="20"/>
      <c r="C421" s="20"/>
      <c r="D421" s="21"/>
      <c r="E421" s="21"/>
      <c r="F421" s="21"/>
      <c r="G421" s="21"/>
      <c r="H421" s="21"/>
      <c r="I421" s="20"/>
      <c r="J421" s="20"/>
      <c r="K421" s="20"/>
      <c r="L421" s="20"/>
      <c r="M421" s="21"/>
      <c r="N421" s="21"/>
      <c r="O421" s="20"/>
      <c r="P421" s="20"/>
      <c r="Q421" s="21"/>
    </row>
    <row r="422" spans="1:17" ht="14.25" customHeight="1" x14ac:dyDescent="0.25">
      <c r="A422" s="20"/>
      <c r="B422" s="20"/>
      <c r="C422" s="20"/>
      <c r="D422" s="21"/>
      <c r="E422" s="21"/>
      <c r="F422" s="21"/>
      <c r="G422" s="21"/>
      <c r="H422" s="21"/>
      <c r="I422" s="20"/>
      <c r="J422" s="20"/>
      <c r="K422" s="20"/>
      <c r="L422" s="20"/>
      <c r="M422" s="21"/>
      <c r="N422" s="21"/>
      <c r="O422" s="20"/>
      <c r="P422" s="20"/>
      <c r="Q422" s="21"/>
    </row>
    <row r="423" spans="1:17" ht="14.25" customHeight="1" x14ac:dyDescent="0.25">
      <c r="A423" s="20"/>
      <c r="B423" s="20"/>
      <c r="C423" s="20"/>
      <c r="D423" s="21"/>
      <c r="E423" s="21"/>
      <c r="F423" s="21"/>
      <c r="G423" s="21"/>
      <c r="H423" s="21"/>
      <c r="I423" s="20"/>
      <c r="J423" s="20"/>
      <c r="K423" s="20"/>
      <c r="L423" s="20"/>
      <c r="M423" s="21"/>
      <c r="N423" s="21"/>
      <c r="O423" s="20"/>
      <c r="P423" s="20"/>
      <c r="Q423" s="21"/>
    </row>
    <row r="424" spans="1:17" ht="14.25" customHeight="1" x14ac:dyDescent="0.25">
      <c r="A424" s="20"/>
      <c r="B424" s="20"/>
      <c r="C424" s="20"/>
      <c r="D424" s="21"/>
      <c r="E424" s="21"/>
      <c r="F424" s="21"/>
      <c r="G424" s="21"/>
      <c r="H424" s="21"/>
      <c r="I424" s="20"/>
      <c r="J424" s="20"/>
      <c r="K424" s="20"/>
      <c r="L424" s="20"/>
      <c r="M424" s="21"/>
      <c r="N424" s="21"/>
      <c r="O424" s="20"/>
      <c r="P424" s="20"/>
      <c r="Q424" s="21"/>
    </row>
    <row r="425" spans="1:17" ht="14.25" customHeight="1" x14ac:dyDescent="0.25">
      <c r="A425" s="20"/>
      <c r="B425" s="20"/>
      <c r="C425" s="20"/>
      <c r="D425" s="21"/>
      <c r="E425" s="21"/>
      <c r="F425" s="21"/>
      <c r="G425" s="21"/>
      <c r="H425" s="21"/>
      <c r="I425" s="20"/>
      <c r="J425" s="20"/>
      <c r="K425" s="20"/>
      <c r="L425" s="20"/>
      <c r="M425" s="21"/>
      <c r="N425" s="21"/>
      <c r="O425" s="20"/>
      <c r="P425" s="20"/>
      <c r="Q425" s="21"/>
    </row>
    <row r="426" spans="1:17" ht="14.25" customHeight="1" x14ac:dyDescent="0.25">
      <c r="A426" s="20"/>
      <c r="B426" s="20"/>
      <c r="C426" s="20"/>
      <c r="D426" s="21"/>
      <c r="E426" s="21"/>
      <c r="F426" s="21"/>
      <c r="G426" s="21"/>
      <c r="H426" s="21"/>
      <c r="I426" s="20"/>
      <c r="J426" s="20"/>
      <c r="K426" s="20"/>
      <c r="L426" s="20"/>
      <c r="M426" s="21"/>
      <c r="N426" s="21"/>
      <c r="O426" s="20"/>
      <c r="P426" s="20"/>
      <c r="Q426" s="21"/>
    </row>
    <row r="427" spans="1:17" ht="14.25" customHeight="1" x14ac:dyDescent="0.25">
      <c r="A427" s="20"/>
      <c r="B427" s="20"/>
      <c r="C427" s="20"/>
      <c r="D427" s="21"/>
      <c r="E427" s="21"/>
      <c r="F427" s="21"/>
      <c r="G427" s="21"/>
      <c r="H427" s="21"/>
      <c r="I427" s="20"/>
      <c r="J427" s="20"/>
      <c r="K427" s="20"/>
      <c r="L427" s="20"/>
      <c r="M427" s="21"/>
      <c r="N427" s="21"/>
      <c r="O427" s="20"/>
      <c r="P427" s="20"/>
      <c r="Q427" s="21"/>
    </row>
    <row r="428" spans="1:17" ht="14.25" customHeight="1" x14ac:dyDescent="0.25">
      <c r="A428" s="20"/>
      <c r="B428" s="20"/>
      <c r="C428" s="20"/>
      <c r="D428" s="21"/>
      <c r="E428" s="21"/>
      <c r="F428" s="21"/>
      <c r="G428" s="21"/>
      <c r="H428" s="21"/>
      <c r="I428" s="20"/>
      <c r="J428" s="20"/>
      <c r="K428" s="20"/>
      <c r="L428" s="20"/>
      <c r="M428" s="21"/>
      <c r="N428" s="21"/>
      <c r="O428" s="20"/>
      <c r="P428" s="20"/>
      <c r="Q428" s="21"/>
    </row>
    <row r="429" spans="1:17" ht="14.25" customHeight="1" x14ac:dyDescent="0.25">
      <c r="A429" s="20"/>
      <c r="B429" s="20"/>
      <c r="C429" s="20"/>
      <c r="D429" s="21"/>
      <c r="E429" s="21"/>
      <c r="F429" s="21"/>
      <c r="G429" s="21"/>
      <c r="H429" s="21"/>
      <c r="I429" s="20"/>
      <c r="J429" s="20"/>
      <c r="K429" s="20"/>
      <c r="L429" s="20"/>
      <c r="M429" s="21"/>
      <c r="N429" s="21"/>
      <c r="O429" s="20"/>
      <c r="P429" s="20"/>
      <c r="Q429" s="21"/>
    </row>
    <row r="430" spans="1:17" ht="14.25" customHeight="1" x14ac:dyDescent="0.25">
      <c r="A430" s="20"/>
      <c r="B430" s="20"/>
      <c r="C430" s="20"/>
      <c r="D430" s="21"/>
      <c r="E430" s="21"/>
      <c r="F430" s="21"/>
      <c r="G430" s="21"/>
      <c r="H430" s="21"/>
      <c r="I430" s="20"/>
      <c r="J430" s="20"/>
      <c r="K430" s="20"/>
      <c r="L430" s="20"/>
      <c r="M430" s="21"/>
      <c r="N430" s="21"/>
      <c r="O430" s="20"/>
      <c r="P430" s="20"/>
      <c r="Q430" s="21"/>
    </row>
    <row r="431" spans="1:17" ht="14.25" customHeight="1" x14ac:dyDescent="0.25">
      <c r="A431" s="20"/>
      <c r="B431" s="20"/>
      <c r="C431" s="20"/>
      <c r="D431" s="21"/>
      <c r="E431" s="21"/>
      <c r="F431" s="21"/>
      <c r="G431" s="21"/>
      <c r="H431" s="21"/>
      <c r="I431" s="20"/>
      <c r="J431" s="20"/>
      <c r="K431" s="20"/>
      <c r="L431" s="20"/>
      <c r="M431" s="21"/>
      <c r="N431" s="21"/>
      <c r="O431" s="20"/>
      <c r="P431" s="20"/>
      <c r="Q431" s="21"/>
    </row>
    <row r="432" spans="1:17" ht="14.25" customHeight="1" x14ac:dyDescent="0.25">
      <c r="A432" s="20"/>
      <c r="B432" s="20"/>
      <c r="C432" s="20"/>
      <c r="D432" s="21"/>
      <c r="E432" s="21"/>
      <c r="F432" s="21"/>
      <c r="G432" s="21"/>
      <c r="H432" s="21"/>
      <c r="I432" s="20"/>
      <c r="J432" s="20"/>
      <c r="K432" s="20"/>
      <c r="L432" s="20"/>
      <c r="M432" s="21"/>
      <c r="N432" s="21"/>
      <c r="O432" s="20"/>
      <c r="P432" s="20"/>
      <c r="Q432" s="21"/>
    </row>
    <row r="433" spans="1:17" ht="14.25" customHeight="1" x14ac:dyDescent="0.25">
      <c r="A433" s="20"/>
      <c r="B433" s="20"/>
      <c r="C433" s="20"/>
      <c r="D433" s="21"/>
      <c r="E433" s="21"/>
      <c r="F433" s="21"/>
      <c r="G433" s="21"/>
      <c r="H433" s="21"/>
      <c r="I433" s="20"/>
      <c r="J433" s="20"/>
      <c r="K433" s="20"/>
      <c r="L433" s="20"/>
      <c r="M433" s="21"/>
      <c r="N433" s="21"/>
      <c r="O433" s="20"/>
      <c r="P433" s="20"/>
      <c r="Q433" s="21"/>
    </row>
    <row r="434" spans="1:17" ht="14.25" customHeight="1" x14ac:dyDescent="0.25">
      <c r="A434" s="20"/>
      <c r="B434" s="20"/>
      <c r="C434" s="20"/>
      <c r="D434" s="21"/>
      <c r="E434" s="21"/>
      <c r="F434" s="21"/>
      <c r="G434" s="21"/>
      <c r="H434" s="21"/>
      <c r="I434" s="20"/>
      <c r="J434" s="20"/>
      <c r="K434" s="20"/>
      <c r="L434" s="20"/>
      <c r="M434" s="21"/>
      <c r="N434" s="21"/>
      <c r="O434" s="20"/>
      <c r="P434" s="20"/>
      <c r="Q434" s="21"/>
    </row>
    <row r="435" spans="1:17" ht="14.25" customHeight="1" x14ac:dyDescent="0.25">
      <c r="A435" s="20"/>
      <c r="B435" s="20"/>
      <c r="C435" s="20"/>
      <c r="D435" s="21"/>
      <c r="E435" s="21"/>
      <c r="F435" s="21"/>
      <c r="G435" s="21"/>
      <c r="H435" s="21"/>
      <c r="I435" s="20"/>
      <c r="J435" s="20"/>
      <c r="K435" s="20"/>
      <c r="L435" s="20"/>
      <c r="M435" s="21"/>
      <c r="N435" s="21"/>
      <c r="O435" s="20"/>
      <c r="P435" s="20"/>
      <c r="Q435" s="21"/>
    </row>
    <row r="436" spans="1:17" ht="14.25" customHeight="1" x14ac:dyDescent="0.25">
      <c r="A436" s="20"/>
      <c r="B436" s="20"/>
      <c r="C436" s="20"/>
      <c r="D436" s="21"/>
      <c r="E436" s="21"/>
      <c r="F436" s="21"/>
      <c r="G436" s="21"/>
      <c r="H436" s="21"/>
      <c r="I436" s="20"/>
      <c r="J436" s="20"/>
      <c r="K436" s="20"/>
      <c r="L436" s="20"/>
      <c r="M436" s="21"/>
      <c r="N436" s="21"/>
      <c r="O436" s="20"/>
      <c r="P436" s="20"/>
      <c r="Q436" s="21"/>
    </row>
    <row r="437" spans="1:17" ht="14.25" customHeight="1" x14ac:dyDescent="0.25">
      <c r="A437" s="20"/>
      <c r="B437" s="20"/>
      <c r="C437" s="20"/>
      <c r="D437" s="21"/>
      <c r="E437" s="21"/>
      <c r="F437" s="21"/>
      <c r="G437" s="21"/>
      <c r="H437" s="21"/>
      <c r="I437" s="20"/>
      <c r="J437" s="20"/>
      <c r="K437" s="20"/>
      <c r="L437" s="20"/>
      <c r="M437" s="21"/>
      <c r="N437" s="21"/>
      <c r="O437" s="20"/>
      <c r="P437" s="20"/>
      <c r="Q437" s="21"/>
    </row>
  </sheetData>
  <autoFilter ref="A7:AI228" xr:uid="{11EDAB9D-D4E1-484F-984E-C23E0F5BA036}">
    <sortState xmlns:xlrd2="http://schemas.microsoft.com/office/spreadsheetml/2017/richdata2" ref="A8:AI164">
      <sortCondition ref="J7:J151"/>
    </sortState>
  </autoFilter>
  <sortState xmlns:xlrd2="http://schemas.microsoft.com/office/spreadsheetml/2017/richdata2" ref="A8:P228">
    <sortCondition ref="B8:B228"/>
    <sortCondition ref="C8:C228"/>
    <sortCondition ref="D8:D228"/>
    <sortCondition ref="A8:A228"/>
  </sortState>
  <phoneticPr fontId="0" type="noConversion"/>
  <hyperlinks>
    <hyperlink ref="I129" r:id="rId1" display="https://www.google.com/search?q=la+mary+milano&amp;rlz=1C1RXQR_itIT982IT982&amp;oq=la+mary+milano&amp;gs_lcrp=EgZjaHJvbWUqDwgAECMYJxjjAhiABBiKBTIPCAAQIxgnGOMCGIAEGIoFMhUIARAuGCcYrwEYxwEYgAQYigUYjgUyCAgCEAAYFhgeMggIAxAAGBYYHjIICAQQABgWGB4yBggFEEUYPDIGCAYQRRg8MgYIBxBFGDzSAQgyNTc3ajBqN6gCALACAA&amp;sourceid=chrome&amp;ie=UTF-8" xr:uid="{D12CC89D-D1C4-46C6-A666-09D692238F70}"/>
  </hyperlinks>
  <pageMargins left="0.35433070866141736" right="0.35433070866141736" top="0.55118110236220474" bottom="0.59055118110236227" header="0.51181102362204722" footer="0.19685039370078741"/>
  <pageSetup paperSize="9" scale="91" fitToHeight="11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2017-07-19T17:39:32Z</cp:lastPrinted>
  <dcterms:created xsi:type="dcterms:W3CDTF">2003-01-08T15:13:21Z</dcterms:created>
  <dcterms:modified xsi:type="dcterms:W3CDTF">2026-05-20T07:16:26Z</dcterms:modified>
</cp:coreProperties>
</file>